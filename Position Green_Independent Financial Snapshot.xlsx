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feli\Downloads\"/>
    </mc:Choice>
  </mc:AlternateContent>
  <xr:revisionPtr revIDLastSave="0" documentId="13_ncr:1_{48C6C8A8-061B-4740-BDA6-B1CB6092A623}" xr6:coauthVersionLast="47" xr6:coauthVersionMax="47" xr10:uidLastSave="{00000000-0000-0000-0000-000000000000}"/>
  <bookViews>
    <workbookView xWindow="-120" yWindow="-120" windowWidth="38640" windowHeight="21390" xr2:uid="{AF2EB1B7-DB4C-4555-8099-4103FC8637FF}"/>
  </bookViews>
  <sheets>
    <sheet name="Cover" sheetId="1" r:id="rId1"/>
    <sheet name="Inputs" sheetId="3" r:id="rId2"/>
    <sheet name="Model" sheetId="2" r:id="rId3"/>
  </sheets>
  <definedNames>
    <definedName name="_xlnm.Print_Area" localSheetId="0">Cover!$B$2:$S$40</definedName>
    <definedName name="_xlnm.Print_Area" localSheetId="1">Inputs!$B$1:$L$47</definedName>
    <definedName name="_xlnm.Print_Area" localSheetId="2">Model!$B$1:$M$341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4" i="2" l="1"/>
  <c r="H117" i="2"/>
  <c r="H110" i="2"/>
  <c r="H119" i="2" s="1"/>
  <c r="H95" i="2"/>
  <c r="H98" i="2" s="1"/>
  <c r="H80" i="2"/>
  <c r="H76" i="2"/>
  <c r="H58" i="2"/>
  <c r="H41" i="2"/>
  <c r="G128" i="2"/>
  <c r="G117" i="2"/>
  <c r="G110" i="2"/>
  <c r="G119" i="2" s="1"/>
  <c r="G95" i="2"/>
  <c r="G98" i="2" s="1"/>
  <c r="G85" i="2"/>
  <c r="G80" i="2"/>
  <c r="G76" i="2"/>
  <c r="G88" i="2" s="1"/>
  <c r="G101" i="2" s="1"/>
  <c r="I335" i="2"/>
  <c r="H314" i="2"/>
  <c r="I312" i="2" s="1"/>
  <c r="J157" i="2"/>
  <c r="K157" i="2"/>
  <c r="L157" i="2"/>
  <c r="M157" i="2"/>
  <c r="I157" i="2"/>
  <c r="J123" i="2"/>
  <c r="K123" i="2" s="1"/>
  <c r="L123" i="2" s="1"/>
  <c r="M123" i="2" s="1"/>
  <c r="J124" i="2"/>
  <c r="K124" i="2" s="1"/>
  <c r="L124" i="2" s="1"/>
  <c r="M124" i="2" s="1"/>
  <c r="J125" i="2"/>
  <c r="K125" i="2" s="1"/>
  <c r="L125" i="2" s="1"/>
  <c r="M125" i="2" s="1"/>
  <c r="J126" i="2"/>
  <c r="K126" i="2" s="1"/>
  <c r="L126" i="2" s="1"/>
  <c r="M126" i="2" s="1"/>
  <c r="I152" i="2"/>
  <c r="H166" i="2"/>
  <c r="I164" i="2" s="1"/>
  <c r="I258" i="2"/>
  <c r="H201" i="2"/>
  <c r="J299" i="2"/>
  <c r="K299" i="2"/>
  <c r="L299" i="2"/>
  <c r="M299" i="2"/>
  <c r="I299" i="2"/>
  <c r="H339" i="2"/>
  <c r="J109" i="2"/>
  <c r="K109" i="2" s="1"/>
  <c r="L109" i="2" s="1"/>
  <c r="M109" i="2" s="1"/>
  <c r="J83" i="2"/>
  <c r="K83" i="2"/>
  <c r="L83" i="2"/>
  <c r="M83" i="2"/>
  <c r="I83" i="2"/>
  <c r="J300" i="2"/>
  <c r="K300" i="2"/>
  <c r="L300" i="2"/>
  <c r="M300" i="2"/>
  <c r="I300" i="2"/>
  <c r="I296" i="2"/>
  <c r="J296" i="2"/>
  <c r="K296" i="2"/>
  <c r="L296" i="2"/>
  <c r="M296" i="2"/>
  <c r="H188" i="2"/>
  <c r="H26" i="2" s="1"/>
  <c r="I26" i="2" s="1"/>
  <c r="H189" i="2"/>
  <c r="G189" i="2"/>
  <c r="G188" i="2"/>
  <c r="H270" i="2"/>
  <c r="I268" i="2" s="1"/>
  <c r="H250" i="2"/>
  <c r="H265" i="2"/>
  <c r="I263" i="2" s="1"/>
  <c r="H255" i="2"/>
  <c r="H18" i="2"/>
  <c r="H25" i="2" s="1"/>
  <c r="I25" i="2" s="1"/>
  <c r="G18" i="2"/>
  <c r="J7" i="2"/>
  <c r="K7" i="2" s="1"/>
  <c r="L7" i="2" s="1"/>
  <c r="M7" i="2" s="1"/>
  <c r="H309" i="2"/>
  <c r="E39" i="3"/>
  <c r="E38" i="3"/>
  <c r="I235" i="2"/>
  <c r="I238" i="2" s="1"/>
  <c r="I219" i="2"/>
  <c r="H222" i="2"/>
  <c r="H215" i="2"/>
  <c r="I212" i="2" s="1"/>
  <c r="I206" i="2"/>
  <c r="H203" i="2"/>
  <c r="H29" i="3" a="1"/>
  <c r="H29" i="3" s="1"/>
  <c r="L29" i="3" a="1"/>
  <c r="L29" i="3" s="1"/>
  <c r="K29" i="3" a="1"/>
  <c r="K29" i="3" s="1"/>
  <c r="J29" i="3" a="1"/>
  <c r="J29" i="3" s="1"/>
  <c r="I29" i="3" a="1"/>
  <c r="I29" i="3" s="1"/>
  <c r="I23" i="3" a="1"/>
  <c r="I23" i="3" s="1"/>
  <c r="J16" i="2" s="1"/>
  <c r="J23" i="3" a="1"/>
  <c r="J23" i="3" s="1"/>
  <c r="K16" i="2" s="1"/>
  <c r="K23" i="3" a="1"/>
  <c r="K23" i="3" s="1"/>
  <c r="L16" i="2" s="1"/>
  <c r="L23" i="3" a="1"/>
  <c r="L23" i="3" s="1"/>
  <c r="M16" i="2" s="1"/>
  <c r="H23" i="3" a="1"/>
  <c r="H23" i="3" s="1"/>
  <c r="I16" i="2" s="1"/>
  <c r="H180" i="2"/>
  <c r="G180" i="2"/>
  <c r="H11" i="2"/>
  <c r="H10" i="2"/>
  <c r="H178" i="2"/>
  <c r="H24" i="2" s="1"/>
  <c r="G178" i="2"/>
  <c r="I16" i="3" a="1"/>
  <c r="I16" i="3" s="1"/>
  <c r="J11" i="2" s="1"/>
  <c r="J16" i="3" a="1"/>
  <c r="J16" i="3" s="1"/>
  <c r="K11" i="2" s="1"/>
  <c r="K16" i="3" a="1"/>
  <c r="K16" i="3" s="1"/>
  <c r="L11" i="2" s="1"/>
  <c r="L16" i="3" a="1"/>
  <c r="L16" i="3" s="1"/>
  <c r="M11" i="2" s="1"/>
  <c r="H16" i="3" a="1"/>
  <c r="H16" i="3" s="1"/>
  <c r="G41" i="2"/>
  <c r="G15" i="2" s="1"/>
  <c r="I9" i="3" a="1"/>
  <c r="J9" i="3" a="1"/>
  <c r="K9" i="3" a="1"/>
  <c r="L9" i="3" a="1"/>
  <c r="H9" i="3" a="1"/>
  <c r="G58" i="2"/>
  <c r="H85" i="2"/>
  <c r="H88" i="2" l="1"/>
  <c r="H101" i="2" s="1"/>
  <c r="H29" i="2"/>
  <c r="H45" i="2"/>
  <c r="H50" i="2" s="1"/>
  <c r="H53" i="2" s="1"/>
  <c r="I11" i="2"/>
  <c r="I177" i="2"/>
  <c r="J177" i="2" s="1"/>
  <c r="K177" i="2" s="1"/>
  <c r="L177" i="2" s="1"/>
  <c r="M177" i="2" s="1"/>
  <c r="H202" i="2"/>
  <c r="I253" i="2"/>
  <c r="H28" i="2"/>
  <c r="I28" i="2" s="1"/>
  <c r="J25" i="2"/>
  <c r="H15" i="2"/>
  <c r="I15" i="2" s="1"/>
  <c r="G190" i="2"/>
  <c r="I301" i="2"/>
  <c r="I338" i="2" s="1"/>
  <c r="J26" i="2"/>
  <c r="I110" i="2"/>
  <c r="L301" i="2"/>
  <c r="L338" i="2" s="1"/>
  <c r="J301" i="2"/>
  <c r="J338" i="2" s="1"/>
  <c r="M301" i="2"/>
  <c r="M338" i="2" s="1"/>
  <c r="K301" i="2"/>
  <c r="K338" i="2" s="1"/>
  <c r="H190" i="2"/>
  <c r="H27" i="2" s="1"/>
  <c r="I27" i="2" s="1"/>
  <c r="H249" i="2"/>
  <c r="I24" i="2"/>
  <c r="H181" i="2"/>
  <c r="G181" i="2"/>
  <c r="E40" i="3"/>
  <c r="J235" i="2"/>
  <c r="J238" i="2" s="1"/>
  <c r="J110" i="2" s="1"/>
  <c r="G17" i="2"/>
  <c r="H12" i="2"/>
  <c r="I12" i="2" s="1"/>
  <c r="H17" i="2"/>
  <c r="I17" i="2" s="1"/>
  <c r="J17" i="2" s="1"/>
  <c r="K17" i="2" s="1"/>
  <c r="L17" i="2" s="1"/>
  <c r="M17" i="2" s="1"/>
  <c r="G45" i="2"/>
  <c r="G50" i="2" s="1"/>
  <c r="G53" i="2" s="1"/>
  <c r="G12" i="2"/>
  <c r="I9" i="3"/>
  <c r="J10" i="2" s="1"/>
  <c r="K9" i="3"/>
  <c r="L10" i="2" s="1"/>
  <c r="J9" i="3"/>
  <c r="K10" i="2" s="1"/>
  <c r="L9" i="3"/>
  <c r="M10" i="2" s="1"/>
  <c r="H9" i="3"/>
  <c r="G130" i="2"/>
  <c r="G132" i="2" s="1"/>
  <c r="H128" i="2" l="1"/>
  <c r="H130" i="2" s="1"/>
  <c r="H132" i="2" s="1"/>
  <c r="H63" i="2"/>
  <c r="H60" i="2"/>
  <c r="H308" i="2" s="1"/>
  <c r="J15" i="2"/>
  <c r="K15" i="2" s="1"/>
  <c r="L15" i="2" s="1"/>
  <c r="M15" i="2" s="1"/>
  <c r="I10" i="2"/>
  <c r="I176" i="2"/>
  <c r="H30" i="2"/>
  <c r="I30" i="2" s="1"/>
  <c r="K25" i="2"/>
  <c r="H31" i="2"/>
  <c r="I31" i="2" s="1"/>
  <c r="J31" i="2" s="1"/>
  <c r="I29" i="2"/>
  <c r="J27" i="2"/>
  <c r="K26" i="2"/>
  <c r="J28" i="2"/>
  <c r="J24" i="2"/>
  <c r="K240" i="2"/>
  <c r="J240" i="2"/>
  <c r="J241" i="2" s="1"/>
  <c r="J57" i="2" s="1"/>
  <c r="I240" i="2"/>
  <c r="I241" i="2" s="1"/>
  <c r="I57" i="2" s="1"/>
  <c r="L240" i="2"/>
  <c r="M240" i="2"/>
  <c r="K235" i="2"/>
  <c r="K238" i="2" s="1"/>
  <c r="K110" i="2" s="1"/>
  <c r="J12" i="2"/>
  <c r="I201" i="2"/>
  <c r="I203" i="2" s="1"/>
  <c r="I75" i="2" s="1"/>
  <c r="G63" i="2"/>
  <c r="G60" i="2"/>
  <c r="J176" i="2" l="1"/>
  <c r="I178" i="2"/>
  <c r="J29" i="2"/>
  <c r="L25" i="2"/>
  <c r="K27" i="2"/>
  <c r="L26" i="2"/>
  <c r="K31" i="2"/>
  <c r="J30" i="2"/>
  <c r="K29" i="2"/>
  <c r="K28" i="2"/>
  <c r="K24" i="2"/>
  <c r="J201" i="2"/>
  <c r="J203" i="2" s="1"/>
  <c r="J75" i="2" s="1"/>
  <c r="K241" i="2"/>
  <c r="K57" i="2" s="1"/>
  <c r="L235" i="2"/>
  <c r="L238" i="2" s="1"/>
  <c r="L110" i="2" s="1"/>
  <c r="K12" i="2"/>
  <c r="L12" i="2" s="1"/>
  <c r="M12" i="2" s="1"/>
  <c r="J219" i="2"/>
  <c r="K176" i="2" l="1"/>
  <c r="J178" i="2"/>
  <c r="I180" i="2"/>
  <c r="I39" i="2"/>
  <c r="L29" i="2"/>
  <c r="M29" i="2" s="1"/>
  <c r="M25" i="2"/>
  <c r="L27" i="2"/>
  <c r="M26" i="2"/>
  <c r="L31" i="2"/>
  <c r="K30" i="2"/>
  <c r="L28" i="2"/>
  <c r="L24" i="2"/>
  <c r="K201" i="2"/>
  <c r="K203" i="2" s="1"/>
  <c r="K75" i="2" s="1"/>
  <c r="L241" i="2"/>
  <c r="L57" i="2" s="1"/>
  <c r="M235" i="2"/>
  <c r="M238" i="2" s="1"/>
  <c r="K219" i="2"/>
  <c r="L176" i="2" l="1"/>
  <c r="K178" i="2"/>
  <c r="J180" i="2"/>
  <c r="J39" i="2"/>
  <c r="M27" i="2"/>
  <c r="M31" i="2"/>
  <c r="L30" i="2"/>
  <c r="M28" i="2"/>
  <c r="M24" i="2"/>
  <c r="M241" i="2"/>
  <c r="M57" i="2" s="1"/>
  <c r="M110" i="2"/>
  <c r="L201" i="2"/>
  <c r="L203" i="2" s="1"/>
  <c r="L75" i="2" s="1"/>
  <c r="L219" i="2"/>
  <c r="K180" i="2" l="1"/>
  <c r="K39" i="2"/>
  <c r="M176" i="2"/>
  <c r="M178" i="2" s="1"/>
  <c r="L178" i="2"/>
  <c r="M30" i="2"/>
  <c r="M201" i="2"/>
  <c r="M203" i="2" s="1"/>
  <c r="M75" i="2" s="1"/>
  <c r="M219" i="2"/>
  <c r="L180" i="2" l="1"/>
  <c r="L39" i="2"/>
  <c r="M180" i="2"/>
  <c r="M39" i="2"/>
  <c r="I40" i="2"/>
  <c r="I41" i="2"/>
  <c r="I21" i="2" s="1"/>
  <c r="I181" i="2"/>
  <c r="I188" i="2" l="1"/>
  <c r="I44" i="2"/>
  <c r="I45" i="2" s="1"/>
  <c r="I84" i="2"/>
  <c r="I189" i="2"/>
  <c r="I49" i="2" s="1"/>
  <c r="I198" i="2"/>
  <c r="I207" i="2" s="1"/>
  <c r="I270" i="2"/>
  <c r="I94" i="2"/>
  <c r="I249" i="2"/>
  <c r="I260" i="2"/>
  <c r="I93" i="2" s="1"/>
  <c r="I85" i="2" l="1"/>
  <c r="I158" i="2"/>
  <c r="I114" i="2"/>
  <c r="I278" i="2" s="1"/>
  <c r="I150" i="2" s="1"/>
  <c r="I48" i="2"/>
  <c r="I190" i="2"/>
  <c r="I208" i="2"/>
  <c r="I156" i="2"/>
  <c r="I116" i="2"/>
  <c r="J268" i="2"/>
  <c r="I269" i="2"/>
  <c r="I275" i="2"/>
  <c r="I148" i="2" s="1"/>
  <c r="I255" i="2"/>
  <c r="I259" i="2"/>
  <c r="I147" i="2" s="1"/>
  <c r="J258" i="2"/>
  <c r="I159" i="2" l="1"/>
  <c r="I337" i="2" s="1"/>
  <c r="I50" i="2"/>
  <c r="I18" i="2"/>
  <c r="I115" i="2"/>
  <c r="I250" i="2"/>
  <c r="I265" i="2" s="1"/>
  <c r="I220" i="2"/>
  <c r="I209" i="2"/>
  <c r="I151" i="2"/>
  <c r="I281" i="2"/>
  <c r="I254" i="2"/>
  <c r="J253" i="2"/>
  <c r="I92" i="2"/>
  <c r="I95" i="2" s="1"/>
  <c r="I264" i="2" l="1"/>
  <c r="I113" i="2"/>
  <c r="I117" i="2" s="1"/>
  <c r="I119" i="2" s="1"/>
  <c r="J263" i="2"/>
  <c r="I73" i="2"/>
  <c r="J206" i="2"/>
  <c r="I146" i="2"/>
  <c r="I274" i="2"/>
  <c r="I276" i="2" s="1"/>
  <c r="J40" i="2"/>
  <c r="J41" i="2" s="1"/>
  <c r="J21" i="2" s="1"/>
  <c r="K40" i="2"/>
  <c r="K41" i="2" s="1"/>
  <c r="K21" i="2" s="1"/>
  <c r="L40" i="2"/>
  <c r="L41" i="2" s="1"/>
  <c r="M40" i="2"/>
  <c r="M41" i="2" s="1"/>
  <c r="J181" i="2"/>
  <c r="J84" i="2" s="1"/>
  <c r="K181" i="2"/>
  <c r="K84" i="2" s="1"/>
  <c r="L181" i="2"/>
  <c r="L84" i="2" s="1"/>
  <c r="M181" i="2"/>
  <c r="M84" i="2" s="1"/>
  <c r="J158" i="2" l="1"/>
  <c r="J85" i="2"/>
  <c r="K85" i="2"/>
  <c r="K158" i="2"/>
  <c r="L85" i="2"/>
  <c r="L158" i="2"/>
  <c r="M85" i="2"/>
  <c r="M158" i="2"/>
  <c r="L188" i="2"/>
  <c r="L189" i="2"/>
  <c r="L49" i="2" s="1"/>
  <c r="M188" i="2"/>
  <c r="M189" i="2"/>
  <c r="M49" i="2" s="1"/>
  <c r="K189" i="2"/>
  <c r="K49" i="2" s="1"/>
  <c r="K188" i="2"/>
  <c r="J188" i="2"/>
  <c r="J189" i="2"/>
  <c r="J49" i="2" s="1"/>
  <c r="I279" i="2"/>
  <c r="I282" i="2" s="1"/>
  <c r="I284" i="2" s="1"/>
  <c r="I149" i="2"/>
  <c r="J44" i="2"/>
  <c r="J45" i="2" s="1"/>
  <c r="J198" i="2"/>
  <c r="J207" i="2" s="1"/>
  <c r="K44" i="2"/>
  <c r="K45" i="2" s="1"/>
  <c r="K198" i="2"/>
  <c r="K207" i="2" s="1"/>
  <c r="K156" i="2" s="1"/>
  <c r="L44" i="2"/>
  <c r="L45" i="2" s="1"/>
  <c r="L198" i="2"/>
  <c r="L207" i="2" s="1"/>
  <c r="L156" i="2" s="1"/>
  <c r="M44" i="2"/>
  <c r="M45" i="2" s="1"/>
  <c r="M198" i="2"/>
  <c r="M207" i="2" s="1"/>
  <c r="M156" i="2" s="1"/>
  <c r="L21" i="2"/>
  <c r="M21" i="2"/>
  <c r="J270" i="2"/>
  <c r="K260" i="2"/>
  <c r="J260" i="2"/>
  <c r="J94" i="2"/>
  <c r="J249" i="2"/>
  <c r="K270" i="2"/>
  <c r="L260" i="2"/>
  <c r="K94" i="2"/>
  <c r="K249" i="2"/>
  <c r="L270" i="2"/>
  <c r="L94" i="2"/>
  <c r="L249" i="2"/>
  <c r="M260" i="2"/>
  <c r="M270" i="2"/>
  <c r="M94" i="2"/>
  <c r="M249" i="2"/>
  <c r="K159" i="2" l="1"/>
  <c r="K337" i="2" s="1"/>
  <c r="L159" i="2"/>
  <c r="L337" i="2" s="1"/>
  <c r="M159" i="2"/>
  <c r="M337" i="2" s="1"/>
  <c r="L190" i="2"/>
  <c r="L48" i="2"/>
  <c r="L114" i="2"/>
  <c r="M48" i="2"/>
  <c r="M114" i="2"/>
  <c r="M190" i="2"/>
  <c r="K48" i="2"/>
  <c r="K190" i="2"/>
  <c r="K114" i="2"/>
  <c r="J48" i="2"/>
  <c r="J114" i="2"/>
  <c r="J190" i="2"/>
  <c r="L275" i="2"/>
  <c r="L148" i="2" s="1"/>
  <c r="L255" i="2"/>
  <c r="J156" i="2"/>
  <c r="J159" i="2" s="1"/>
  <c r="J337" i="2" s="1"/>
  <c r="J208" i="2"/>
  <c r="J269" i="2"/>
  <c r="K268" i="2"/>
  <c r="K269" i="2" s="1"/>
  <c r="J116" i="2"/>
  <c r="L258" i="2"/>
  <c r="L259" i="2" s="1"/>
  <c r="L147" i="2" s="1"/>
  <c r="K93" i="2"/>
  <c r="J259" i="2"/>
  <c r="J147" i="2" s="1"/>
  <c r="K258" i="2"/>
  <c r="K259" i="2" s="1"/>
  <c r="K147" i="2" s="1"/>
  <c r="J93" i="2"/>
  <c r="K275" i="2"/>
  <c r="K148" i="2" s="1"/>
  <c r="J275" i="2"/>
  <c r="J148" i="2" s="1"/>
  <c r="K255" i="2"/>
  <c r="J255" i="2"/>
  <c r="L268" i="2"/>
  <c r="L269" i="2" s="1"/>
  <c r="K116" i="2"/>
  <c r="M258" i="2"/>
  <c r="M259" i="2" s="1"/>
  <c r="M147" i="2" s="1"/>
  <c r="L93" i="2"/>
  <c r="M268" i="2"/>
  <c r="M269" i="2" s="1"/>
  <c r="L116" i="2"/>
  <c r="M93" i="2"/>
  <c r="M116" i="2"/>
  <c r="M275" i="2"/>
  <c r="M148" i="2" s="1"/>
  <c r="M255" i="2"/>
  <c r="M278" i="2" l="1"/>
  <c r="M150" i="2" s="1"/>
  <c r="J250" i="2"/>
  <c r="J265" i="2" s="1"/>
  <c r="J115" i="2"/>
  <c r="L278" i="2"/>
  <c r="L150" i="2" s="1"/>
  <c r="L50" i="2"/>
  <c r="L18" i="2"/>
  <c r="M50" i="2"/>
  <c r="M18" i="2"/>
  <c r="L115" i="2"/>
  <c r="L250" i="2"/>
  <c r="L265" i="2" s="1"/>
  <c r="M115" i="2"/>
  <c r="M250" i="2"/>
  <c r="M265" i="2" s="1"/>
  <c r="M113" i="2" s="1"/>
  <c r="M117" i="2" s="1"/>
  <c r="M119" i="2" s="1"/>
  <c r="K115" i="2"/>
  <c r="K250" i="2"/>
  <c r="K265" i="2" s="1"/>
  <c r="K50" i="2"/>
  <c r="K18" i="2"/>
  <c r="J50" i="2"/>
  <c r="J18" i="2"/>
  <c r="K278" i="2"/>
  <c r="K150" i="2" s="1"/>
  <c r="J278" i="2"/>
  <c r="J150" i="2" s="1"/>
  <c r="M253" i="2"/>
  <c r="M254" i="2" s="1"/>
  <c r="L92" i="2"/>
  <c r="L95" i="2" s="1"/>
  <c r="J220" i="2"/>
  <c r="J209" i="2"/>
  <c r="J151" i="2"/>
  <c r="J281" i="2"/>
  <c r="L253" i="2"/>
  <c r="L254" i="2" s="1"/>
  <c r="K92" i="2"/>
  <c r="K95" i="2" s="1"/>
  <c r="J254" i="2"/>
  <c r="K253" i="2"/>
  <c r="K254" i="2" s="1"/>
  <c r="J92" i="2"/>
  <c r="J95" i="2" s="1"/>
  <c r="K151" i="2"/>
  <c r="K281" i="2"/>
  <c r="L151" i="2"/>
  <c r="L281" i="2"/>
  <c r="M151" i="2"/>
  <c r="M281" i="2"/>
  <c r="M92" i="2"/>
  <c r="M95" i="2" s="1"/>
  <c r="M280" i="2" l="1"/>
  <c r="M152" i="2" s="1"/>
  <c r="K263" i="2"/>
  <c r="K264" i="2" s="1"/>
  <c r="J113" i="2"/>
  <c r="J117" i="2" s="1"/>
  <c r="J119" i="2" s="1"/>
  <c r="J264" i="2"/>
  <c r="L263" i="2"/>
  <c r="L264" i="2" s="1"/>
  <c r="K113" i="2"/>
  <c r="K117" i="2" s="1"/>
  <c r="K119" i="2" s="1"/>
  <c r="J280" i="2"/>
  <c r="J152" i="2" s="1"/>
  <c r="K280" i="2"/>
  <c r="K152" i="2" s="1"/>
  <c r="M263" i="2"/>
  <c r="M264" i="2" s="1"/>
  <c r="L113" i="2"/>
  <c r="L117" i="2" s="1"/>
  <c r="L119" i="2" s="1"/>
  <c r="L280" i="2"/>
  <c r="L152" i="2" s="1"/>
  <c r="L146" i="2"/>
  <c r="L274" i="2"/>
  <c r="L276" i="2" s="1"/>
  <c r="J73" i="2"/>
  <c r="K206" i="2"/>
  <c r="K146" i="2"/>
  <c r="K274" i="2"/>
  <c r="K276" i="2" s="1"/>
  <c r="J146" i="2"/>
  <c r="J274" i="2"/>
  <c r="J276" i="2" s="1"/>
  <c r="M146" i="2"/>
  <c r="M274" i="2"/>
  <c r="M276" i="2" s="1"/>
  <c r="L279" i="2" l="1"/>
  <c r="L282" i="2" s="1"/>
  <c r="L284" i="2" s="1"/>
  <c r="L149" i="2"/>
  <c r="J149" i="2"/>
  <c r="J279" i="2"/>
  <c r="J282" i="2" s="1"/>
  <c r="J284" i="2" s="1"/>
  <c r="M149" i="2"/>
  <c r="M279" i="2"/>
  <c r="M282" i="2" s="1"/>
  <c r="M284" i="2" s="1"/>
  <c r="K279" i="2"/>
  <c r="K282" i="2" s="1"/>
  <c r="K284" i="2" s="1"/>
  <c r="K149" i="2"/>
  <c r="K208" i="2"/>
  <c r="K220" i="2" l="1"/>
  <c r="K209" i="2"/>
  <c r="K73" i="2" l="1"/>
  <c r="L206" i="2"/>
  <c r="L208" i="2" l="1"/>
  <c r="L220" i="2" l="1"/>
  <c r="L209" i="2"/>
  <c r="L73" i="2" l="1"/>
  <c r="M206" i="2"/>
  <c r="M208" i="2" l="1"/>
  <c r="M220" i="2" l="1"/>
  <c r="M209" i="2"/>
  <c r="M73" i="2" s="1"/>
  <c r="Q20" i="1" l="1"/>
  <c r="I52" i="2"/>
  <c r="J52" i="2"/>
  <c r="K52" i="2"/>
  <c r="L52" i="2"/>
  <c r="M52" i="2"/>
  <c r="I53" i="2"/>
  <c r="J53" i="2"/>
  <c r="K53" i="2"/>
  <c r="L53" i="2"/>
  <c r="M53" i="2"/>
  <c r="I56" i="2"/>
  <c r="J56" i="2"/>
  <c r="K56" i="2"/>
  <c r="L56" i="2"/>
  <c r="M56" i="2"/>
  <c r="I58" i="2"/>
  <c r="J58" i="2"/>
  <c r="K58" i="2"/>
  <c r="L58" i="2"/>
  <c r="M58" i="2"/>
  <c r="I60" i="2"/>
  <c r="J60" i="2"/>
  <c r="K60" i="2"/>
  <c r="L60" i="2"/>
  <c r="M60" i="2"/>
  <c r="I62" i="2"/>
  <c r="J62" i="2"/>
  <c r="K62" i="2"/>
  <c r="L62" i="2"/>
  <c r="M62" i="2"/>
  <c r="I63" i="2"/>
  <c r="J63" i="2"/>
  <c r="K63" i="2"/>
  <c r="L63" i="2"/>
  <c r="M63" i="2"/>
  <c r="I74" i="2"/>
  <c r="J74" i="2"/>
  <c r="K74" i="2"/>
  <c r="L74" i="2"/>
  <c r="M74" i="2"/>
  <c r="I76" i="2"/>
  <c r="J76" i="2"/>
  <c r="K76" i="2"/>
  <c r="L76" i="2"/>
  <c r="M76" i="2"/>
  <c r="I79" i="2"/>
  <c r="J79" i="2"/>
  <c r="K79" i="2"/>
  <c r="L79" i="2"/>
  <c r="M79" i="2"/>
  <c r="I80" i="2"/>
  <c r="J80" i="2"/>
  <c r="K80" i="2"/>
  <c r="L80" i="2"/>
  <c r="M80" i="2"/>
  <c r="I88" i="2"/>
  <c r="J88" i="2"/>
  <c r="K88" i="2"/>
  <c r="L88" i="2"/>
  <c r="M88" i="2"/>
  <c r="I97" i="2"/>
  <c r="J97" i="2"/>
  <c r="K97" i="2"/>
  <c r="L97" i="2"/>
  <c r="M97" i="2"/>
  <c r="I98" i="2"/>
  <c r="J98" i="2"/>
  <c r="K98" i="2"/>
  <c r="L98" i="2"/>
  <c r="M98" i="2"/>
  <c r="I101" i="2"/>
  <c r="J101" i="2"/>
  <c r="K101" i="2"/>
  <c r="L101" i="2"/>
  <c r="M101" i="2"/>
  <c r="I127" i="2"/>
  <c r="J127" i="2"/>
  <c r="K127" i="2"/>
  <c r="L127" i="2"/>
  <c r="M127" i="2"/>
  <c r="I128" i="2"/>
  <c r="J128" i="2"/>
  <c r="K128" i="2"/>
  <c r="L128" i="2"/>
  <c r="M128" i="2"/>
  <c r="I130" i="2"/>
  <c r="J130" i="2"/>
  <c r="K130" i="2"/>
  <c r="L130" i="2"/>
  <c r="M130" i="2"/>
  <c r="I132" i="2"/>
  <c r="J132" i="2"/>
  <c r="K132" i="2"/>
  <c r="L132" i="2"/>
  <c r="M132" i="2"/>
  <c r="I139" i="2"/>
  <c r="J139" i="2"/>
  <c r="K139" i="2"/>
  <c r="L139" i="2"/>
  <c r="M139" i="2"/>
  <c r="I142" i="2"/>
  <c r="J142" i="2"/>
  <c r="K142" i="2"/>
  <c r="L142" i="2"/>
  <c r="M142" i="2"/>
  <c r="I143" i="2"/>
  <c r="J143" i="2"/>
  <c r="K143" i="2"/>
  <c r="L143" i="2"/>
  <c r="M143" i="2"/>
  <c r="I144" i="2"/>
  <c r="J144" i="2"/>
  <c r="K144" i="2"/>
  <c r="L144" i="2"/>
  <c r="M144" i="2"/>
  <c r="I153" i="2"/>
  <c r="J153" i="2"/>
  <c r="K153" i="2"/>
  <c r="L153" i="2"/>
  <c r="M153" i="2"/>
  <c r="J164" i="2"/>
  <c r="K164" i="2"/>
  <c r="L164" i="2"/>
  <c r="M164" i="2"/>
  <c r="I165" i="2"/>
  <c r="J165" i="2"/>
  <c r="K165" i="2"/>
  <c r="L165" i="2"/>
  <c r="M165" i="2"/>
  <c r="I166" i="2"/>
  <c r="J166" i="2"/>
  <c r="K166" i="2"/>
  <c r="L166" i="2"/>
  <c r="M166" i="2"/>
  <c r="J212" i="2"/>
  <c r="K212" i="2"/>
  <c r="L212" i="2"/>
  <c r="M212" i="2"/>
  <c r="I214" i="2"/>
  <c r="J214" i="2"/>
  <c r="K214" i="2"/>
  <c r="L214" i="2"/>
  <c r="M214" i="2"/>
  <c r="I215" i="2"/>
  <c r="J215" i="2"/>
  <c r="K215" i="2"/>
  <c r="L215" i="2"/>
  <c r="M215" i="2"/>
  <c r="I221" i="2"/>
  <c r="J221" i="2"/>
  <c r="K221" i="2"/>
  <c r="L221" i="2"/>
  <c r="M221" i="2"/>
  <c r="I222" i="2"/>
  <c r="J222" i="2"/>
  <c r="K222" i="2"/>
  <c r="L222" i="2"/>
  <c r="M222" i="2"/>
  <c r="I308" i="2"/>
  <c r="J308" i="2"/>
  <c r="K308" i="2"/>
  <c r="L308" i="2"/>
  <c r="M308" i="2"/>
  <c r="J312" i="2"/>
  <c r="K312" i="2"/>
  <c r="L312" i="2"/>
  <c r="M312" i="2"/>
  <c r="I313" i="2"/>
  <c r="J313" i="2"/>
  <c r="K313" i="2"/>
  <c r="L313" i="2"/>
  <c r="M313" i="2"/>
  <c r="I314" i="2"/>
  <c r="J314" i="2"/>
  <c r="K314" i="2"/>
  <c r="L314" i="2"/>
  <c r="M314" i="2"/>
  <c r="I316" i="2"/>
  <c r="J316" i="2"/>
  <c r="K316" i="2"/>
  <c r="L316" i="2"/>
  <c r="M316" i="2"/>
  <c r="J324" i="2"/>
  <c r="K324" i="2"/>
  <c r="L324" i="2"/>
  <c r="M324" i="2"/>
  <c r="I325" i="2"/>
  <c r="J325" i="2"/>
  <c r="K325" i="2"/>
  <c r="L325" i="2"/>
  <c r="M325" i="2"/>
  <c r="I327" i="2"/>
  <c r="J327" i="2"/>
  <c r="K327" i="2"/>
  <c r="L327" i="2"/>
  <c r="M327" i="2"/>
  <c r="J335" i="2"/>
  <c r="K335" i="2"/>
  <c r="L335" i="2"/>
  <c r="M335" i="2"/>
  <c r="I336" i="2"/>
  <c r="J336" i="2"/>
  <c r="K336" i="2"/>
  <c r="L336" i="2"/>
  <c r="M336" i="2"/>
  <c r="I339" i="2"/>
  <c r="J339" i="2"/>
  <c r="K339" i="2"/>
  <c r="L339" i="2"/>
  <c r="M339" i="2"/>
  <c r="I341" i="2"/>
  <c r="J341" i="2"/>
  <c r="K341" i="2"/>
  <c r="L341" i="2"/>
  <c r="M34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<sst xmlns="http://schemas.openxmlformats.org/spreadsheetml/2006/main" count="379" uniqueCount="213">
  <si>
    <t>Independent Financial Snapshot</t>
  </si>
  <si>
    <t>Prepared as part of application for FP&amp;A role</t>
  </si>
  <si>
    <t>Felicia Nata</t>
  </si>
  <si>
    <t>Table of Contents</t>
  </si>
  <si>
    <t>Model Checks</t>
  </si>
  <si>
    <t>This brief snapshot is based solely on publicly available information and is intended for discussion purposes only. The objective is to demonstrate analytical approach and driver-based thinking rather than provide a complete financial assessment.</t>
  </si>
  <si>
    <t>https://www.linkedin.com/in/yfelnt/</t>
  </si>
  <si>
    <t>Position Green - Public Data Review (2023–2024)</t>
  </si>
  <si>
    <t>Assumptions &amp; Drivers</t>
  </si>
  <si>
    <t>All figures in TNOK thousands unless stated</t>
  </si>
  <si>
    <t>Sales Revenue</t>
  </si>
  <si>
    <t>Other Revenue</t>
  </si>
  <si>
    <t>Consolidated Profit and Loss Account</t>
  </si>
  <si>
    <t>Financial income and expenses</t>
  </si>
  <si>
    <t>Gross Profit</t>
  </si>
  <si>
    <t>Operating Expenses</t>
  </si>
  <si>
    <t>Cost of goods sold</t>
  </si>
  <si>
    <t>Personnel expenses</t>
  </si>
  <si>
    <t>Other operating expenses</t>
  </si>
  <si>
    <t>Depreciation and amortization</t>
  </si>
  <si>
    <t>Finance income</t>
  </si>
  <si>
    <t>Finance expense</t>
  </si>
  <si>
    <t>Net financial profit/loss</t>
  </si>
  <si>
    <t>Income tax expense</t>
  </si>
  <si>
    <t>Year -1</t>
  </si>
  <si>
    <t>Year 0</t>
  </si>
  <si>
    <t>Year 1</t>
  </si>
  <si>
    <t>Year 2</t>
  </si>
  <si>
    <t>Year 3</t>
  </si>
  <si>
    <t>Year 4</t>
  </si>
  <si>
    <t>Year 5</t>
  </si>
  <si>
    <t>ASSETS</t>
  </si>
  <si>
    <t>Non-Current Assets</t>
  </si>
  <si>
    <t>Intangible assets</t>
  </si>
  <si>
    <t>Deferred tax asset</t>
  </si>
  <si>
    <t>Goodwill</t>
  </si>
  <si>
    <t>Total intangible assets</t>
  </si>
  <si>
    <t>Tangible assets</t>
  </si>
  <si>
    <t>Operating assets, inventory etc.</t>
  </si>
  <si>
    <t>Total tangible assets</t>
  </si>
  <si>
    <t>Financial Non-Current Assets</t>
  </si>
  <si>
    <t>Investments in shares</t>
  </si>
  <si>
    <t>Other non-current receivables</t>
  </si>
  <si>
    <t>Total financial non-current assets</t>
  </si>
  <si>
    <t>Current Assets</t>
  </si>
  <si>
    <t>Receivable</t>
  </si>
  <si>
    <t>Other current receivables</t>
  </si>
  <si>
    <t>Prepayments</t>
  </si>
  <si>
    <t>Total Receivables</t>
  </si>
  <si>
    <t>Cash and cash equivalents</t>
  </si>
  <si>
    <t>Total current assets</t>
  </si>
  <si>
    <t>Total Assets</t>
  </si>
  <si>
    <t>Total non-current assets</t>
  </si>
  <si>
    <t>EQUITY AND LIABILITIES</t>
  </si>
  <si>
    <t>Long-term loan</t>
  </si>
  <si>
    <t>Non-current liabilities</t>
  </si>
  <si>
    <t>Total non-current liabilities</t>
  </si>
  <si>
    <t>Current liabilities</t>
  </si>
  <si>
    <t>Account payable</t>
  </si>
  <si>
    <t>Public duties payable</t>
  </si>
  <si>
    <t>Other current liabilities</t>
  </si>
  <si>
    <t>Deferred revenue</t>
  </si>
  <si>
    <t>Total current liabilities</t>
  </si>
  <si>
    <t>Total Liabilities</t>
  </si>
  <si>
    <t>Liabilities</t>
  </si>
  <si>
    <t>Equity</t>
  </si>
  <si>
    <t>Paid-in equity</t>
  </si>
  <si>
    <t>Share capital</t>
  </si>
  <si>
    <t>Share premium</t>
  </si>
  <si>
    <t>Treasury shares</t>
  </si>
  <si>
    <t>Other equity</t>
  </si>
  <si>
    <t>Retained earnings</t>
  </si>
  <si>
    <t>Total equity</t>
  </si>
  <si>
    <t>Total equity and liabilities</t>
  </si>
  <si>
    <t xml:space="preserve"> </t>
  </si>
  <si>
    <t>Revenue</t>
  </si>
  <si>
    <t>Total Revenue</t>
  </si>
  <si>
    <t>Cost of Revenue</t>
  </si>
  <si>
    <t>EBITDA</t>
  </si>
  <si>
    <t>EBIT</t>
  </si>
  <si>
    <t>Net Income</t>
  </si>
  <si>
    <t>Consolidated Cash Flow</t>
  </si>
  <si>
    <t>Consolidated Balance Sheet</t>
  </si>
  <si>
    <t>Cash flow from operating activities</t>
  </si>
  <si>
    <t>Cash flow from investing activities</t>
  </si>
  <si>
    <t>Cash flow from financing activities</t>
  </si>
  <si>
    <t>EBT</t>
  </si>
  <si>
    <t>Net cash flow from operating activities</t>
  </si>
  <si>
    <t>Investments in PPE</t>
  </si>
  <si>
    <t>Net cash flow from investing activities</t>
  </si>
  <si>
    <t>Net cash flow from financing activities</t>
  </si>
  <si>
    <t>Total cash flow</t>
  </si>
  <si>
    <t>Cash and cash equivalents beginning of period</t>
  </si>
  <si>
    <t>Cash and cash equivalents end of period</t>
  </si>
  <si>
    <t>License Revenue Growth (%)</t>
  </si>
  <si>
    <t>Revenue Schedule</t>
  </si>
  <si>
    <t>License Revenue</t>
  </si>
  <si>
    <t>Drivers</t>
  </si>
  <si>
    <t>Driver Switch</t>
  </si>
  <si>
    <t>Base Case</t>
  </si>
  <si>
    <t>Upside</t>
  </si>
  <si>
    <t>Downside</t>
  </si>
  <si>
    <t>Consulting Revenue</t>
  </si>
  <si>
    <t>Total Sales Revenue</t>
  </si>
  <si>
    <t>Consulting Revenue Growth (%)</t>
  </si>
  <si>
    <t>Other Revenue (% of Revenue)</t>
  </si>
  <si>
    <t>License Revenue Growth</t>
  </si>
  <si>
    <t>Consulting Revenue Growth</t>
  </si>
  <si>
    <t>Cost of Goods Sold (% of Revenue)</t>
  </si>
  <si>
    <t>Personnel Expenses Growth</t>
  </si>
  <si>
    <t>Other Operating Expenses (% of Revenue)</t>
  </si>
  <si>
    <t>Depreciation &amp; Amortization Schedule</t>
  </si>
  <si>
    <t>Opening</t>
  </si>
  <si>
    <t>Capital Expenditure</t>
  </si>
  <si>
    <t>Capital Expenditure (% of Revenue)</t>
  </si>
  <si>
    <t>Amortization</t>
  </si>
  <si>
    <t>Closing</t>
  </si>
  <si>
    <t>Capex</t>
  </si>
  <si>
    <t>Depreciation</t>
  </si>
  <si>
    <t>Goodwill Amortization</t>
  </si>
  <si>
    <t>Depreciation and Amortization</t>
  </si>
  <si>
    <t>Ending</t>
  </si>
  <si>
    <t xml:space="preserve">Amortization </t>
  </si>
  <si>
    <t>PPE Depreciation</t>
  </si>
  <si>
    <r>
      <t xml:space="preserve">GOODWILL </t>
    </r>
    <r>
      <rPr>
        <b/>
        <vertAlign val="superscript"/>
        <sz val="10"/>
        <rFont val="Open Sans"/>
        <family val="2"/>
      </rPr>
      <t>(1)</t>
    </r>
  </si>
  <si>
    <t>Personnel Expenses (% of Revenue)</t>
  </si>
  <si>
    <t>Debt Schedule</t>
  </si>
  <si>
    <t>Repayment</t>
  </si>
  <si>
    <t>Interest</t>
  </si>
  <si>
    <t>Finance Expense</t>
  </si>
  <si>
    <t>Interest Rate</t>
  </si>
  <si>
    <t>Other Inputs</t>
  </si>
  <si>
    <t>Interest Rates</t>
  </si>
  <si>
    <t xml:space="preserve">Long Term Debt </t>
  </si>
  <si>
    <t>Finance Expenses</t>
  </si>
  <si>
    <t>Finance Income</t>
  </si>
  <si>
    <t>Nordic short-term rates</t>
  </si>
  <si>
    <t>Working Capital Schedule</t>
  </si>
  <si>
    <t>Trade Receivables</t>
  </si>
  <si>
    <t>Year in Period</t>
  </si>
  <si>
    <t>Account Payable (% of Operating Expenses)</t>
  </si>
  <si>
    <t>Deferred Revenue (% of Revenue)</t>
  </si>
  <si>
    <t>Deferred Revenue</t>
  </si>
  <si>
    <t>New Borrowing</t>
  </si>
  <si>
    <t>Swedish corporate tax-rate</t>
  </si>
  <si>
    <t>Deferred Tax Asset Schedule</t>
  </si>
  <si>
    <t>Opening DTA</t>
  </si>
  <si>
    <t>Closing DTA</t>
  </si>
  <si>
    <t>Tax-Rate</t>
  </si>
  <si>
    <t>DTA Schedule</t>
  </si>
  <si>
    <t>Days in Period (Days)</t>
  </si>
  <si>
    <t>Cost of Revenue Drivers</t>
  </si>
  <si>
    <t>Revenue Drivers</t>
  </si>
  <si>
    <t xml:space="preserve">Investments  </t>
  </si>
  <si>
    <t>Useful Life Assumptions</t>
  </si>
  <si>
    <t>Development Costs</t>
  </si>
  <si>
    <t>10 years</t>
  </si>
  <si>
    <t>Working Capital Drivers</t>
  </si>
  <si>
    <t>Trade Receivable (Days)</t>
  </si>
  <si>
    <t>LONG-TERM DEBT</t>
  </si>
  <si>
    <t>Change</t>
  </si>
  <si>
    <t>Accounts Payable</t>
  </si>
  <si>
    <t>WORKING CAPITAL</t>
  </si>
  <si>
    <t>Change in Deferred Revenue</t>
  </si>
  <si>
    <t>Change in Working Capital</t>
  </si>
  <si>
    <t>Cost Schedule</t>
  </si>
  <si>
    <t>Personnel Expenses</t>
  </si>
  <si>
    <t>Other Operating Expenses</t>
  </si>
  <si>
    <t>Total Operating Expenses</t>
  </si>
  <si>
    <t>Cash Schedule</t>
  </si>
  <si>
    <t>CFO</t>
  </si>
  <si>
    <t>CFI</t>
  </si>
  <si>
    <t>CFF</t>
  </si>
  <si>
    <t>Financing Schedule</t>
  </si>
  <si>
    <t>Equity Movements</t>
  </si>
  <si>
    <t>Share Issuance</t>
  </si>
  <si>
    <t>Share Buyback</t>
  </si>
  <si>
    <t>Sale of Treasury Shares</t>
  </si>
  <si>
    <t>Net Equity Cash Flow</t>
  </si>
  <si>
    <t>Net Debt Cash Flow</t>
  </si>
  <si>
    <t>Prepayment</t>
  </si>
  <si>
    <t>Public Duties Payable</t>
  </si>
  <si>
    <t>Other Current Liabilities</t>
  </si>
  <si>
    <t>Retained Earnings Schedule</t>
  </si>
  <si>
    <t>Retained Earnings</t>
  </si>
  <si>
    <t>Dividends</t>
  </si>
  <si>
    <t>Change in DTA</t>
  </si>
  <si>
    <t>Current Asset</t>
  </si>
  <si>
    <t>Change in Prepayments</t>
  </si>
  <si>
    <t>Current Liabilities</t>
  </si>
  <si>
    <t>Change in Public Duties Payable</t>
  </si>
  <si>
    <t>Change in Other Current Liabilities</t>
  </si>
  <si>
    <t>Change in Account Payable</t>
  </si>
  <si>
    <t>Change in Trade Receivables</t>
  </si>
  <si>
    <t>Other Current Receivables</t>
  </si>
  <si>
    <r>
      <t xml:space="preserve"> INTANGIBLE ASSET </t>
    </r>
    <r>
      <rPr>
        <b/>
        <vertAlign val="superscript"/>
        <sz val="10"/>
        <rFont val="Open Sans"/>
        <family val="2"/>
      </rPr>
      <t>(2)</t>
    </r>
  </si>
  <si>
    <t>Other Non-Current Receivables</t>
  </si>
  <si>
    <t>Trade Receivable</t>
  </si>
  <si>
    <t>PROPERTY PLANT &amp; EQUIPMENT</t>
  </si>
  <si>
    <t>Intangible Amortization</t>
  </si>
  <si>
    <t>Depreciation &amp; Amortization</t>
  </si>
  <si>
    <t>Change in Deferred Tax Asset (DTA)</t>
  </si>
  <si>
    <t>Change in Other Receivables</t>
  </si>
  <si>
    <t>Change in Accounts Payable</t>
  </si>
  <si>
    <t>Capitalized Development Costs</t>
  </si>
  <si>
    <t>Increase in Non-Current Receivables</t>
  </si>
  <si>
    <t xml:space="preserve">Historical goodwill decreased from 363,915 to 319,656 TNOK (–44,259), implying an amortization rate of ~12.2%. </t>
  </si>
  <si>
    <t>This suggests an effective remaining useful life of ~8 years, consistent with the disclosed 10-year economic life. Forecast assumes continuation of this historical run-rate. (1)</t>
  </si>
  <si>
    <t xml:space="preserve">Capitalized development costs are amortized on a straight-line basis over 10 years. </t>
  </si>
  <si>
    <t>Forecast amortization reflects historical run-rate behavior to account for the layered effect of accumulated development investments. (2)</t>
  </si>
  <si>
    <t>Balance Sheet Balanced?</t>
  </si>
  <si>
    <t>Inputs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</si>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</sst>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#,##0_)_%;\(#,##0\)_%;_(&quot;–&quot;_)_%;_(@_)_%"/>
    <numFmt numFmtId="165" formatCode="_-* #,##0_-;\(#,##0\)_-;_-* &quot;-&quot;_-;_-@_-"/>
    <numFmt numFmtId="166" formatCode="_(#,##0.0%_);\(#,##0.0%\);_(&quot;–&quot;_)_%;_(@_)_%"/>
    <numFmt numFmtId="167" formatCode="_(#,##0_);\(#,##0\);_(&quot;–&quot;_);_(@_)"/>
    <numFmt numFmtId="168" formatCode="_(#,##0.00%_);\(#,##0.00%\);_(&quot;–&quot;_)_%;_(@_)_%"/>
    <numFmt numFmtId="169" formatCode="[=1]&quot;Yes&quot;;[=0]&quot;No&quot;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Open Sans"/>
      <family val="2"/>
    </font>
    <font>
      <sz val="11"/>
      <color theme="1"/>
      <name val="Open Sans"/>
      <family val="2"/>
    </font>
    <font>
      <u/>
      <sz val="11"/>
      <color theme="10"/>
      <name val="Calibri"/>
      <family val="2"/>
      <scheme val="minor"/>
    </font>
    <font>
      <sz val="10"/>
      <color theme="1"/>
      <name val="Open Sans"/>
      <family val="2"/>
    </font>
    <font>
      <u/>
      <sz val="10"/>
      <color theme="10"/>
      <name val="Arial"/>
      <family val="2"/>
    </font>
    <font>
      <sz val="11"/>
      <color theme="0"/>
      <name val="Open Sans"/>
      <family val="2"/>
    </font>
    <font>
      <b/>
      <sz val="11"/>
      <color rgb="FF22B46D"/>
      <name val="Open Sans"/>
      <family val="2"/>
    </font>
    <font>
      <sz val="11"/>
      <color rgb="FF22B46D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sz val="10"/>
      <name val="Bookman"/>
      <family val="1"/>
    </font>
    <font>
      <i/>
      <sz val="9"/>
      <color rgb="FF000000"/>
      <name val="Open Sans"/>
      <family val="2"/>
    </font>
    <font>
      <b/>
      <sz val="10"/>
      <color theme="1"/>
      <name val="Open Sans"/>
      <family val="2"/>
    </font>
    <font>
      <b/>
      <sz val="10"/>
      <color rgb="FF22B46D"/>
      <name val="Open Sans"/>
      <family val="2"/>
    </font>
    <font>
      <sz val="8"/>
      <name val="Calibri"/>
      <family val="2"/>
      <scheme val="minor"/>
    </font>
    <font>
      <b/>
      <sz val="16"/>
      <color theme="0"/>
      <name val="Open Sans"/>
      <family val="2"/>
    </font>
    <font>
      <sz val="10"/>
      <color rgb="FF22B46D"/>
      <name val="Open Sans"/>
      <family val="2"/>
    </font>
    <font>
      <b/>
      <sz val="10"/>
      <name val="Open Sans"/>
      <family val="2"/>
    </font>
    <font>
      <sz val="9"/>
      <color rgb="FF22B46D"/>
      <name val="Open Sans"/>
      <family val="2"/>
    </font>
    <font>
      <sz val="10"/>
      <name val="Open Sans"/>
      <family val="2"/>
    </font>
    <font>
      <sz val="10"/>
      <name val="Arial"/>
      <family val="2"/>
    </font>
    <font>
      <i/>
      <sz val="10"/>
      <color theme="1"/>
      <name val="Open Sans"/>
      <family val="2"/>
    </font>
    <font>
      <sz val="11"/>
      <name val="Open Sans"/>
      <family val="2"/>
    </font>
    <font>
      <b/>
      <sz val="9"/>
      <color rgb="FF22B46D"/>
      <name val="Open Sans"/>
      <family val="2"/>
    </font>
    <font>
      <sz val="8"/>
      <color theme="1"/>
      <name val="Open Sans"/>
      <family val="2"/>
    </font>
    <font>
      <b/>
      <vertAlign val="superscript"/>
      <sz val="10"/>
      <name val="Open Sans"/>
      <family val="2"/>
    </font>
    <font>
      <u/>
      <sz val="11"/>
      <color theme="10"/>
      <name val="Open Sans"/>
      <family val="2"/>
    </font>
    <font>
      <u/>
      <sz val="11"/>
      <color rgb="FF22B46D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22B4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22B46D"/>
      </bottom>
      <diagonal/>
    </border>
    <border>
      <left/>
      <right/>
      <top/>
      <bottom style="thin">
        <color rgb="FF22B46D"/>
      </bottom>
      <diagonal/>
    </border>
    <border>
      <left/>
      <right/>
      <top style="thin">
        <color rgb="FF22B46D"/>
      </top>
      <bottom style="double">
        <color rgb="FF22B46D"/>
      </bottom>
      <diagonal/>
    </border>
    <border>
      <left/>
      <right/>
      <top/>
      <bottom style="double">
        <color rgb="FF22B46D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0" fontId="22" fillId="0" borderId="0"/>
    <xf numFmtId="0" fontId="4" fillId="0" borderId="0" applyNumberForma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2" fillId="0" borderId="0" xfId="0" applyFont="1"/>
    <xf numFmtId="0" fontId="7" fillId="2" borderId="0" xfId="0" applyFont="1" applyFill="1" applyAlignment="1">
      <alignment vertical="center" wrapText="1"/>
    </xf>
    <xf numFmtId="0" fontId="8" fillId="0" borderId="9" xfId="0" applyFont="1" applyBorder="1"/>
    <xf numFmtId="0" fontId="5" fillId="0" borderId="0" xfId="0" applyFont="1"/>
    <xf numFmtId="0" fontId="15" fillId="0" borderId="0" xfId="0" applyFont="1"/>
    <xf numFmtId="0" fontId="3" fillId="2" borderId="0" xfId="0" applyFont="1" applyFill="1"/>
    <xf numFmtId="0" fontId="3" fillId="0" borderId="13" xfId="0" applyFont="1" applyBorder="1"/>
    <xf numFmtId="0" fontId="9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0" fillId="0" borderId="1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7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0" fillId="2" borderId="0" xfId="0" applyFont="1" applyFill="1" applyAlignment="1">
      <alignment horizontal="right"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165" fontId="13" fillId="0" borderId="0" xfId="5" applyNumberFormat="1" applyFont="1" applyFill="1" applyAlignment="1" applyProtection="1">
      <alignment horizontal="left" vertical="center"/>
      <protection locked="0"/>
    </xf>
    <xf numFmtId="0" fontId="14" fillId="0" borderId="12" xfId="0" applyFont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20" fillId="3" borderId="0" xfId="0" applyFont="1" applyFill="1" applyAlignment="1">
      <alignment horizontal="right" vertical="center"/>
    </xf>
    <xf numFmtId="164" fontId="18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4" fontId="21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164" fontId="14" fillId="0" borderId="12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horizontal="right" vertical="center"/>
    </xf>
    <xf numFmtId="164" fontId="5" fillId="0" borderId="13" xfId="0" applyNumberFormat="1" applyFont="1" applyBorder="1" applyAlignment="1">
      <alignment vertical="center"/>
    </xf>
    <xf numFmtId="164" fontId="14" fillId="0" borderId="0" xfId="0" applyNumberFormat="1" applyFont="1" applyAlignment="1">
      <alignment vertical="center"/>
    </xf>
    <xf numFmtId="164" fontId="19" fillId="0" borderId="0" xfId="0" applyNumberFormat="1" applyFont="1" applyAlignment="1">
      <alignment vertical="center"/>
    </xf>
    <xf numFmtId="164" fontId="18" fillId="0" borderId="13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164" fontId="18" fillId="0" borderId="13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5" fillId="4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168" fontId="18" fillId="0" borderId="0" xfId="0" applyNumberFormat="1" applyFont="1" applyAlignment="1">
      <alignment vertical="center"/>
    </xf>
    <xf numFmtId="164" fontId="21" fillId="0" borderId="13" xfId="0" applyNumberFormat="1" applyFont="1" applyBorder="1" applyAlignment="1">
      <alignment vertical="center"/>
    </xf>
    <xf numFmtId="164" fontId="21" fillId="0" borderId="15" xfId="0" applyNumberFormat="1" applyFont="1" applyBorder="1" applyAlignment="1">
      <alignment vertical="center"/>
    </xf>
    <xf numFmtId="164" fontId="18" fillId="0" borderId="15" xfId="0" applyNumberFormat="1" applyFont="1" applyBorder="1" applyAlignment="1">
      <alignment vertical="center"/>
    </xf>
    <xf numFmtId="164" fontId="21" fillId="4" borderId="0" xfId="0" applyNumberFormat="1" applyFont="1" applyFill="1" applyAlignment="1">
      <alignment vertical="center"/>
    </xf>
    <xf numFmtId="164" fontId="14" fillId="0" borderId="12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165" fontId="13" fillId="0" borderId="0" xfId="5" applyNumberFormat="1" applyFont="1" applyFill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15" fillId="0" borderId="12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164" fontId="15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15" fillId="0" borderId="12" xfId="0" applyNumberFormat="1" applyFont="1" applyBorder="1" applyAlignment="1">
      <alignment horizontal="center" vertical="center"/>
    </xf>
    <xf numFmtId="164" fontId="14" fillId="0" borderId="14" xfId="0" applyNumberFormat="1" applyFont="1" applyBorder="1" applyAlignment="1">
      <alignment vertical="center"/>
    </xf>
    <xf numFmtId="0" fontId="2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67" fontId="18" fillId="0" borderId="0" xfId="0" applyNumberFormat="1" applyFont="1" applyAlignment="1">
      <alignment vertical="center"/>
    </xf>
    <xf numFmtId="10" fontId="5" fillId="0" borderId="0" xfId="1" applyNumberFormat="1" applyFont="1"/>
    <xf numFmtId="10" fontId="5" fillId="4" borderId="0" xfId="1" applyNumberFormat="1" applyFont="1" applyFill="1"/>
    <xf numFmtId="10" fontId="3" fillId="0" borderId="0" xfId="0" applyNumberFormat="1" applyFont="1"/>
    <xf numFmtId="0" fontId="5" fillId="0" borderId="13" xfId="0" applyFont="1" applyBorder="1"/>
    <xf numFmtId="164" fontId="19" fillId="0" borderId="14" xfId="0" applyNumberFormat="1" applyFont="1" applyBorder="1" applyAlignment="1">
      <alignment vertical="center"/>
    </xf>
    <xf numFmtId="164" fontId="15" fillId="0" borderId="14" xfId="0" applyNumberFormat="1" applyFont="1" applyBorder="1" applyAlignment="1">
      <alignment vertical="center"/>
    </xf>
    <xf numFmtId="164" fontId="19" fillId="0" borderId="12" xfId="0" applyNumberFormat="1" applyFont="1" applyBorder="1" applyAlignment="1">
      <alignment horizontal="right" vertical="center"/>
    </xf>
    <xf numFmtId="164" fontId="15" fillId="0" borderId="0" xfId="0" applyNumberFormat="1" applyFont="1" applyAlignment="1">
      <alignment horizontal="right" vertical="center"/>
    </xf>
    <xf numFmtId="164" fontId="19" fillId="0" borderId="0" xfId="0" applyNumberFormat="1" applyFont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167" fontId="21" fillId="0" borderId="0" xfId="0" applyNumberFormat="1" applyFont="1" applyAlignment="1">
      <alignment vertical="center"/>
    </xf>
    <xf numFmtId="164" fontId="21" fillId="0" borderId="13" xfId="0" applyNumberFormat="1" applyFont="1" applyBorder="1" applyAlignment="1">
      <alignment horizontal="right" vertical="center"/>
    </xf>
    <xf numFmtId="169" fontId="3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right" vertical="center" wrapText="1"/>
    </xf>
    <xf numFmtId="0" fontId="26" fillId="0" borderId="0" xfId="0" applyFont="1" applyAlignment="1">
      <alignment horizontal="right" wrapText="1"/>
    </xf>
    <xf numFmtId="9" fontId="3" fillId="0" borderId="0" xfId="1" applyFont="1" applyAlignment="1">
      <alignment vertical="center"/>
    </xf>
    <xf numFmtId="3" fontId="21" fillId="0" borderId="0" xfId="0" applyNumberFormat="1" applyFont="1" applyAlignment="1">
      <alignment vertical="center"/>
    </xf>
    <xf numFmtId="164" fontId="3" fillId="0" borderId="13" xfId="0" applyNumberFormat="1" applyFont="1" applyBorder="1" applyAlignment="1">
      <alignment vertical="center"/>
    </xf>
    <xf numFmtId="164" fontId="19" fillId="0" borderId="15" xfId="0" applyNumberFormat="1" applyFont="1" applyBorder="1" applyAlignment="1">
      <alignment vertical="center"/>
    </xf>
    <xf numFmtId="164" fontId="21" fillId="3" borderId="13" xfId="0" applyNumberFormat="1" applyFont="1" applyFill="1" applyBorder="1" applyAlignment="1">
      <alignment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horizontal="right"/>
    </xf>
    <xf numFmtId="164" fontId="25" fillId="0" borderId="0" xfId="0" applyNumberFormat="1" applyFont="1" applyAlignment="1">
      <alignment horizontal="right" vertical="center"/>
    </xf>
    <xf numFmtId="169" fontId="11" fillId="2" borderId="0" xfId="0" applyNumberFormat="1" applyFont="1" applyFill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Alignment="1">
      <alignment horizontal="right"/>
    </xf>
    <xf numFmtId="0" fontId="3" fillId="0" borderId="9" xfId="0" applyFont="1" applyBorder="1"/>
    <xf numFmtId="0" fontId="28" fillId="0" borderId="0" xfId="7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29" fillId="0" borderId="0" xfId="7" applyFont="1"/>
    <xf numFmtId="0" fontId="9" fillId="0" borderId="0" xfId="0" applyFont="1"/>
    <xf numFmtId="0" fontId="10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</cellXfs>
  <cellStyles count="8">
    <cellStyle name="Comma 2" xfId="5" xr:uid="{886B564D-175A-44C9-89A7-B0FF21BD0113}"/>
    <cellStyle name="Hyperlink" xfId="7" builtinId="8"/>
    <cellStyle name="Hyperlink 2" xfId="3" xr:uid="{3ED3615C-95C1-4823-A168-A04649A20D21}"/>
    <cellStyle name="Hyperlink 2 2" xfId="4" xr:uid="{D95E853C-1A53-4CAF-B91E-184D4C1727A7}"/>
    <cellStyle name="Normal" xfId="0" builtinId="0"/>
    <cellStyle name="Normal 2" xfId="6" xr:uid="{2CF0896C-72CC-486C-9051-73767C144CB5}"/>
    <cellStyle name="Normal 2 2 2" xfId="2" xr:uid="{71284D43-4467-487C-A597-B3A0641F6121}"/>
    <cellStyle name="Percent" xfId="1" builtinId="5"/>
  </cellStyles>
  <dxfs count="0"/>
  <tableStyles count="0" defaultTableStyle="TableStyleMedium2" defaultPivotStyle="PivotStyleLight16"/>
  <colors>
    <mruColors>
      <color rgb="FF22B4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Link="$E$7" fmlaRange="$C$11:$C$13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266287</xdr:colOff>
      <xdr:row>4</xdr:row>
      <xdr:rowOff>99390</xdr:rowOff>
    </xdr:from>
    <xdr:to>
      <xdr:col>7</xdr:col>
      <xdr:colOff>382243</xdr:colOff>
      <xdr:row>6</xdr:row>
      <xdr:rowOff>198781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3A6A54-C114-E84E-6B74-76EB8E5ABB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74" t="31900" r="9189" b="36707"/>
        <a:stretch>
          <a:fillRect/>
        </a:stretch>
      </xdr:blipFill>
      <xdr:spPr>
        <a:xfrm>
          <a:off x="879200" y="869673"/>
          <a:ext cx="3172239" cy="513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536575</xdr:colOff>
      <xdr:row>0</xdr:row>
      <xdr:rowOff>288925</xdr:rowOff>
    </xdr:from>
    <xdr:to>
      <xdr:col>4</xdr:col>
      <xdr:colOff>735734</xdr:colOff>
      <xdr:row>0</xdr:row>
      <xdr:rowOff>756123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6F9DD2-A7C7-4CBB-AB72-50163BD04D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74" t="31900" r="9189" b="36707"/>
        <a:stretch>
          <a:fillRect/>
        </a:stretch>
      </xdr:blipFill>
      <xdr:spPr>
        <a:xfrm>
          <a:off x="536575" y="288925"/>
          <a:ext cx="2882034" cy="46719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5</xdr:col>
          <xdr:colOff>0</xdr:colOff>
          <xdr:row>7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189199</xdr:rowOff>
    </xdr:from>
    <xdr:to>
      <xdr:col>4</xdr:col>
      <xdr:colOff>787649</xdr:colOff>
      <xdr:row>0</xdr:row>
      <xdr:rowOff>656397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254E84-9E1E-4DA7-9978-2F507894DE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74" t="31900" r="9189" b="36707"/>
        <a:stretch>
          <a:fillRect/>
        </a:stretch>
      </xdr:blipFill>
      <xdr:spPr>
        <a:xfrm>
          <a:off x="533400" y="189199"/>
          <a:ext cx="2886075" cy="467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88CF-137A-4AB8-BDE9-7D128F831145}">
  <dimension ref="B1:S40"/>
  <sheetViews>
    <sheetView showGridLines="0" tabSelected="1" zoomScale="115" zoomScaleNormal="115" workbookViewId="0"/>
  </sheetViews>
  <sheetFormatPr defaultRowHeight="16.5"/>
  <cols>
    <col min="1" max="1" width="9.140625" style="1"/>
    <col min="2" max="2" width="6" style="1" customWidth="1"/>
    <col min="3" max="3" width="3.140625" style="1" customWidth="1"/>
    <col min="4" max="12" width="9.140625" style="1"/>
    <col min="13" max="13" width="3.140625" style="1" customWidth="1"/>
    <col min="14" max="16" width="9.140625" style="1"/>
    <col min="17" max="17" width="9.140625" style="1" customWidth="1"/>
    <col min="18" max="18" width="14" style="1" customWidth="1"/>
    <col min="19" max="19" width="4.85546875" style="1" customWidth="1"/>
    <col min="20" max="16384" width="9.140625" style="1"/>
  </cols>
  <sheetData>
    <row r="1" spans="2:19" ht="17.25" thickBot="1"/>
    <row r="2" spans="2:19">
      <c r="B2" s="101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3"/>
    </row>
    <row r="3" spans="2:19">
      <c r="B3" s="104"/>
      <c r="S3" s="105"/>
    </row>
    <row r="4" spans="2:19">
      <c r="B4" s="104"/>
      <c r="S4" s="105"/>
    </row>
    <row r="5" spans="2:19">
      <c r="B5" s="104"/>
      <c r="S5" s="105"/>
    </row>
    <row r="6" spans="2:19">
      <c r="B6" s="104"/>
      <c r="S6" s="105"/>
    </row>
    <row r="7" spans="2:19">
      <c r="B7" s="104"/>
      <c r="S7" s="105"/>
    </row>
    <row r="8" spans="2:19">
      <c r="B8" s="104"/>
      <c r="S8" s="105"/>
    </row>
    <row r="9" spans="2:19">
      <c r="B9" s="104"/>
      <c r="S9" s="105"/>
    </row>
    <row r="10" spans="2:19">
      <c r="B10" s="104"/>
      <c r="S10" s="105"/>
    </row>
    <row r="11" spans="2:19">
      <c r="B11" s="104"/>
      <c r="C11" s="2" t="s">
        <v>0</v>
      </c>
      <c r="S11" s="105"/>
    </row>
    <row r="12" spans="2:19">
      <c r="B12" s="104"/>
      <c r="C12" s="1" t="s">
        <v>7</v>
      </c>
      <c r="S12" s="105"/>
    </row>
    <row r="13" spans="2:19">
      <c r="B13" s="104"/>
      <c r="S13" s="105"/>
    </row>
    <row r="14" spans="2:19">
      <c r="B14" s="104"/>
      <c r="C14" s="1" t="s">
        <v>1</v>
      </c>
      <c r="S14" s="105"/>
    </row>
    <row r="15" spans="2:19">
      <c r="B15" s="104"/>
      <c r="C15" s="2" t="s">
        <v>2</v>
      </c>
      <c r="S15" s="105"/>
    </row>
    <row r="16" spans="2:19">
      <c r="B16" s="104"/>
      <c r="S16" s="105"/>
    </row>
    <row r="17" spans="2:19">
      <c r="B17" s="104"/>
      <c r="R17" s="106"/>
      <c r="S17" s="105"/>
    </row>
    <row r="18" spans="2:19">
      <c r="B18" s="104"/>
      <c r="C18" s="4" t="s">
        <v>3</v>
      </c>
      <c r="D18" s="107"/>
      <c r="E18" s="107"/>
      <c r="F18" s="107"/>
      <c r="G18" s="107"/>
      <c r="M18" s="4" t="s">
        <v>4</v>
      </c>
      <c r="N18" s="107"/>
      <c r="O18" s="107"/>
      <c r="P18" s="107"/>
      <c r="Q18" s="107"/>
      <c r="S18" s="105"/>
    </row>
    <row r="19" spans="2:19">
      <c r="B19" s="104"/>
      <c r="C19" s="108"/>
      <c r="S19" s="105"/>
    </row>
    <row r="20" spans="2:19">
      <c r="B20" s="104"/>
      <c r="C20" s="117" t="s">
        <v>211</v>
      </c>
      <c r="D20" s="118"/>
      <c r="M20" s="1" t="s">
        <v>210</v>
      </c>
      <c r="Q20" s="88">
        <f ca="1">IF(SUM(Model!G132:M132)&gt;0,1,0)</f>
        <v>1</v>
      </c>
      <c r="S20" s="105"/>
    </row>
    <row r="21" spans="2:19">
      <c r="B21" s="104"/>
      <c r="C21" s="117" t="s">
        <v>212</v>
      </c>
      <c r="D21" s="118"/>
      <c r="S21" s="105"/>
    </row>
    <row r="22" spans="2:19">
      <c r="B22" s="104"/>
      <c r="D22" s="118"/>
      <c r="S22" s="105"/>
    </row>
    <row r="23" spans="2:19">
      <c r="B23" s="104"/>
      <c r="D23" s="118"/>
      <c r="E23" s="118"/>
      <c r="S23" s="105"/>
    </row>
    <row r="24" spans="2:19">
      <c r="B24" s="104"/>
      <c r="S24" s="105"/>
    </row>
    <row r="25" spans="2:19">
      <c r="B25" s="104"/>
      <c r="S25" s="105"/>
    </row>
    <row r="26" spans="2:19">
      <c r="B26" s="104"/>
      <c r="S26" s="105"/>
    </row>
    <row r="27" spans="2:19">
      <c r="B27" s="104"/>
      <c r="S27" s="105"/>
    </row>
    <row r="28" spans="2:19">
      <c r="B28" s="104"/>
      <c r="S28" s="105"/>
    </row>
    <row r="29" spans="2:19">
      <c r="B29" s="104"/>
      <c r="S29" s="105"/>
    </row>
    <row r="30" spans="2:19">
      <c r="B30" s="104"/>
      <c r="S30" s="105"/>
    </row>
    <row r="31" spans="2:19">
      <c r="B31" s="104"/>
      <c r="S31" s="105"/>
    </row>
    <row r="32" spans="2:19">
      <c r="B32" s="104"/>
      <c r="S32" s="105"/>
    </row>
    <row r="33" spans="2:19">
      <c r="B33" s="104"/>
      <c r="S33" s="105"/>
    </row>
    <row r="34" spans="2:19" ht="17.25" thickBot="1">
      <c r="B34" s="104"/>
      <c r="S34" s="105"/>
    </row>
    <row r="35" spans="2:19">
      <c r="B35" s="109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1"/>
    </row>
    <row r="36" spans="2:19" ht="15" customHeight="1">
      <c r="B36" s="112"/>
      <c r="C36" s="119" t="s">
        <v>5</v>
      </c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3"/>
    </row>
    <row r="37" spans="2:19" ht="15" customHeight="1">
      <c r="B37" s="112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3"/>
    </row>
    <row r="38" spans="2:19" ht="15" customHeight="1">
      <c r="B38" s="11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113"/>
    </row>
    <row r="39" spans="2:19" ht="15" customHeight="1">
      <c r="B39" s="112"/>
      <c r="C39" s="120" t="s">
        <v>6</v>
      </c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13"/>
    </row>
    <row r="40" spans="2:19" ht="17.25" thickBot="1">
      <c r="B40" s="114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6"/>
    </row>
  </sheetData>
  <mergeCells count="2">
    <mergeCell ref="C36:R37"/>
    <mergeCell ref="C39:R39"/>
  </mergeCells>
  <pageMargins left="0.7" right="0.7" top="0.75" bottom="0.75" header="0.3" footer="0.3"/>
  <pageSetup paperSize="9"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CB34-5970-492E-A37D-1D8CC6C5633A}">
  <dimension ref="B1:L48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6.5" outlineLevelRow="1"/>
  <cols>
    <col min="1" max="1" width="9.140625" style="1"/>
    <col min="2" max="2" width="2.85546875" style="1" customWidth="1"/>
    <col min="3" max="3" width="13.28515625" style="1" customWidth="1"/>
    <col min="4" max="4" width="15" style="1" customWidth="1"/>
    <col min="5" max="5" width="14.140625" style="1" customWidth="1"/>
    <col min="6" max="7" width="9.140625" style="1"/>
    <col min="8" max="12" width="14" style="1" customWidth="1"/>
    <col min="13" max="16384" width="9.140625" style="1"/>
  </cols>
  <sheetData>
    <row r="1" spans="2:12" ht="71.25" customHeight="1"/>
    <row r="3" spans="2:12" ht="22.5">
      <c r="B3" s="13" t="s">
        <v>97</v>
      </c>
      <c r="C3" s="14"/>
      <c r="D3" s="14"/>
      <c r="E3" s="7"/>
      <c r="F3" s="7"/>
      <c r="G3" s="7"/>
      <c r="H3" s="7"/>
      <c r="I3" s="7"/>
      <c r="J3" s="7"/>
      <c r="K3" s="7"/>
      <c r="L3" s="7"/>
    </row>
    <row r="4" spans="2:12" outlineLevel="1"/>
    <row r="5" spans="2:12" ht="17.25" outlineLevel="1" thickBot="1">
      <c r="H5" s="20" t="s">
        <v>26</v>
      </c>
      <c r="I5" s="20" t="s">
        <v>27</v>
      </c>
      <c r="J5" s="20" t="s">
        <v>28</v>
      </c>
      <c r="K5" s="20" t="s">
        <v>29</v>
      </c>
      <c r="L5" s="20" t="s">
        <v>30</v>
      </c>
    </row>
    <row r="6" spans="2:12" outlineLevel="1"/>
    <row r="7" spans="2:12" outlineLevel="1">
      <c r="B7" s="5" t="s">
        <v>98</v>
      </c>
      <c r="C7" s="5"/>
      <c r="D7" s="5"/>
      <c r="E7" s="49">
        <v>2</v>
      </c>
    </row>
    <row r="8" spans="2:12" outlineLevel="1">
      <c r="B8" s="5"/>
      <c r="C8" s="5"/>
      <c r="D8" s="5"/>
    </row>
    <row r="9" spans="2:12" outlineLevel="1">
      <c r="B9" s="6" t="s">
        <v>106</v>
      </c>
      <c r="C9" s="5"/>
      <c r="D9" s="5"/>
      <c r="H9" s="77" cm="1">
        <f t="array" ref="H9">INDEX(H11:H13,$E$7)</f>
        <v>0.55000000000000004</v>
      </c>
      <c r="I9" s="77" cm="1">
        <f t="array" ref="I9">INDEX(I11:I13,$E$7)</f>
        <v>0.45</v>
      </c>
      <c r="J9" s="77" cm="1">
        <f t="array" ref="J9">INDEX(J11:J13,$E$7)</f>
        <v>0.35</v>
      </c>
      <c r="K9" s="77" cm="1">
        <f t="array" ref="K9">INDEX(K11:K13,$E$7)</f>
        <v>0.28000000000000003</v>
      </c>
      <c r="L9" s="77" cm="1">
        <f t="array" ref="L9">INDEX(L11:L13,$E$7)</f>
        <v>0.22</v>
      </c>
    </row>
    <row r="10" spans="2:12" outlineLevel="1">
      <c r="H10" s="78"/>
      <c r="I10" s="78"/>
      <c r="J10" s="78"/>
      <c r="K10" s="78"/>
      <c r="L10" s="78"/>
    </row>
    <row r="11" spans="2:12" outlineLevel="1">
      <c r="B11" s="5"/>
      <c r="C11" s="5" t="s">
        <v>99</v>
      </c>
      <c r="D11" s="5"/>
      <c r="H11" s="76">
        <v>0.45</v>
      </c>
      <c r="I11" s="76">
        <v>0.35</v>
      </c>
      <c r="J11" s="76">
        <v>0.28000000000000003</v>
      </c>
      <c r="K11" s="76">
        <v>0.22</v>
      </c>
      <c r="L11" s="76">
        <v>0.18</v>
      </c>
    </row>
    <row r="12" spans="2:12" outlineLevel="1">
      <c r="B12" s="5"/>
      <c r="C12" s="5" t="s">
        <v>100</v>
      </c>
      <c r="D12" s="5"/>
      <c r="H12" s="76">
        <v>0.55000000000000004</v>
      </c>
      <c r="I12" s="76">
        <v>0.45</v>
      </c>
      <c r="J12" s="76">
        <v>0.35</v>
      </c>
      <c r="K12" s="76">
        <v>0.28000000000000003</v>
      </c>
      <c r="L12" s="76">
        <v>0.22</v>
      </c>
    </row>
    <row r="13" spans="2:12" outlineLevel="1">
      <c r="B13" s="5"/>
      <c r="C13" s="5" t="s">
        <v>101</v>
      </c>
      <c r="D13" s="5"/>
      <c r="H13" s="76">
        <v>0.35</v>
      </c>
      <c r="I13" s="76">
        <v>0.28000000000000003</v>
      </c>
      <c r="J13" s="76">
        <v>0.22</v>
      </c>
      <c r="K13" s="76">
        <v>0.18</v>
      </c>
      <c r="L13" s="76">
        <v>0.15</v>
      </c>
    </row>
    <row r="14" spans="2:12" outlineLevel="1">
      <c r="B14" s="5"/>
      <c r="C14" s="5"/>
      <c r="D14" s="5"/>
      <c r="H14" s="78"/>
      <c r="I14" s="78"/>
      <c r="J14" s="78"/>
      <c r="K14" s="78"/>
      <c r="L14" s="78"/>
    </row>
    <row r="15" spans="2:12" outlineLevel="1">
      <c r="H15" s="78"/>
      <c r="I15" s="78"/>
      <c r="J15" s="78"/>
      <c r="K15" s="78"/>
      <c r="L15" s="78"/>
    </row>
    <row r="16" spans="2:12" outlineLevel="1">
      <c r="B16" s="6" t="s">
        <v>107</v>
      </c>
      <c r="C16" s="5"/>
      <c r="D16" s="5"/>
      <c r="H16" s="77" cm="1">
        <f t="array" ref="H16">INDEX(H18:H20,$E$7)</f>
        <v>0.4</v>
      </c>
      <c r="I16" s="77" cm="1">
        <f t="array" ref="I16">INDEX(I18:I20,$E$7)</f>
        <v>0.3</v>
      </c>
      <c r="J16" s="77" cm="1">
        <f t="array" ref="J16">INDEX(J18:J20,$E$7)</f>
        <v>0.25</v>
      </c>
      <c r="K16" s="77" cm="1">
        <f t="array" ref="K16">INDEX(K18:K20,$E$7)</f>
        <v>0.2</v>
      </c>
      <c r="L16" s="77" cm="1">
        <f t="array" ref="L16">INDEX(L18:L20,$E$7)</f>
        <v>0.15</v>
      </c>
    </row>
    <row r="17" spans="2:12" outlineLevel="1">
      <c r="B17" s="6"/>
      <c r="H17" s="78"/>
      <c r="I17" s="78"/>
      <c r="J17" s="78"/>
      <c r="K17" s="78"/>
      <c r="L17" s="78"/>
    </row>
    <row r="18" spans="2:12" outlineLevel="1">
      <c r="B18" s="6"/>
      <c r="C18" s="5" t="s">
        <v>99</v>
      </c>
      <c r="D18" s="5"/>
      <c r="H18" s="76">
        <v>0.3</v>
      </c>
      <c r="I18" s="76">
        <v>0.25</v>
      </c>
      <c r="J18" s="76">
        <v>0.2</v>
      </c>
      <c r="K18" s="76">
        <v>0.15</v>
      </c>
      <c r="L18" s="76">
        <v>0.12</v>
      </c>
    </row>
    <row r="19" spans="2:12" outlineLevel="1">
      <c r="B19" s="6"/>
      <c r="C19" s="5" t="s">
        <v>100</v>
      </c>
      <c r="D19" s="5"/>
      <c r="H19" s="76">
        <v>0.4</v>
      </c>
      <c r="I19" s="76">
        <v>0.3</v>
      </c>
      <c r="J19" s="76">
        <v>0.25</v>
      </c>
      <c r="K19" s="76">
        <v>0.2</v>
      </c>
      <c r="L19" s="76">
        <v>0.15</v>
      </c>
    </row>
    <row r="20" spans="2:12" outlineLevel="1">
      <c r="B20" s="6"/>
      <c r="C20" s="5" t="s">
        <v>101</v>
      </c>
      <c r="D20" s="5"/>
      <c r="H20" s="76">
        <v>0.2</v>
      </c>
      <c r="I20" s="76">
        <v>0.15</v>
      </c>
      <c r="J20" s="76">
        <v>0.12</v>
      </c>
      <c r="K20" s="76">
        <v>0.1</v>
      </c>
      <c r="L20" s="76">
        <v>0.08</v>
      </c>
    </row>
    <row r="21" spans="2:12" outlineLevel="1">
      <c r="B21" s="6"/>
      <c r="H21" s="78"/>
      <c r="I21" s="78"/>
      <c r="J21" s="78"/>
      <c r="K21" s="78"/>
      <c r="L21" s="78"/>
    </row>
    <row r="22" spans="2:12" outlineLevel="1">
      <c r="B22" s="6"/>
      <c r="H22" s="78"/>
      <c r="I22" s="78"/>
      <c r="J22" s="78"/>
      <c r="K22" s="78"/>
      <c r="L22" s="78"/>
    </row>
    <row r="23" spans="2:12" outlineLevel="1">
      <c r="B23" s="6" t="s">
        <v>109</v>
      </c>
      <c r="H23" s="77" cm="1">
        <f t="array" ref="H23">INDEX(H24:H26,$E$7)</f>
        <v>0.82</v>
      </c>
      <c r="I23" s="77" cm="1">
        <f t="array" ref="I23">INDEX(I24:I26,$E$7)</f>
        <v>0.72</v>
      </c>
      <c r="J23" s="77" cm="1">
        <f t="array" ref="J23">INDEX(J24:J26,$E$7)</f>
        <v>0.62</v>
      </c>
      <c r="K23" s="77" cm="1">
        <f t="array" ref="K23">INDEX(K24:K26,$E$7)</f>
        <v>0.55000000000000004</v>
      </c>
      <c r="L23" s="77" cm="1">
        <f t="array" ref="L23">INDEX(L24:L26,$E$7)</f>
        <v>0.5</v>
      </c>
    </row>
    <row r="24" spans="2:12" outlineLevel="1">
      <c r="C24" s="5" t="s">
        <v>99</v>
      </c>
      <c r="H24" s="76">
        <v>0.85</v>
      </c>
      <c r="I24" s="76">
        <v>0.8</v>
      </c>
      <c r="J24" s="76">
        <v>0.75</v>
      </c>
      <c r="K24" s="76">
        <v>0.7</v>
      </c>
      <c r="L24" s="76">
        <v>0.65</v>
      </c>
    </row>
    <row r="25" spans="2:12" outlineLevel="1">
      <c r="C25" s="5" t="s">
        <v>100</v>
      </c>
      <c r="H25" s="76">
        <v>0.82</v>
      </c>
      <c r="I25" s="76">
        <v>0.72</v>
      </c>
      <c r="J25" s="76">
        <v>0.62</v>
      </c>
      <c r="K25" s="76">
        <v>0.55000000000000004</v>
      </c>
      <c r="L25" s="76">
        <v>0.5</v>
      </c>
    </row>
    <row r="26" spans="2:12" outlineLevel="1">
      <c r="C26" s="5" t="s">
        <v>101</v>
      </c>
      <c r="H26" s="76">
        <v>0.9</v>
      </c>
      <c r="I26" s="76">
        <v>0.88</v>
      </c>
      <c r="J26" s="76">
        <v>0.85</v>
      </c>
      <c r="K26" s="76">
        <v>0.82</v>
      </c>
      <c r="L26" s="76">
        <v>0.8</v>
      </c>
    </row>
    <row r="27" spans="2:12" outlineLevel="1">
      <c r="H27" s="78"/>
      <c r="I27" s="78"/>
      <c r="J27" s="78"/>
      <c r="K27" s="78"/>
      <c r="L27" s="78"/>
    </row>
    <row r="28" spans="2:12" outlineLevel="1">
      <c r="H28" s="78"/>
      <c r="I28" s="78"/>
      <c r="J28" s="78"/>
      <c r="K28" s="78"/>
      <c r="L28" s="78"/>
    </row>
    <row r="29" spans="2:12" outlineLevel="1">
      <c r="B29" s="6" t="s">
        <v>113</v>
      </c>
      <c r="H29" s="77" cm="1">
        <f t="array" ref="H29">INDEX(H30:H32,$E$7)</f>
        <v>0.08</v>
      </c>
      <c r="I29" s="77" cm="1">
        <f t="array" ref="I29">INDEX(I30:I32,$E$7)</f>
        <v>7.0000000000000007E-2</v>
      </c>
      <c r="J29" s="77" cm="1">
        <f t="array" ref="J29">INDEX(J30:J32,$E$7)</f>
        <v>0.06</v>
      </c>
      <c r="K29" s="77" cm="1">
        <f t="array" ref="K29">INDEX(K30:K32,$E$7)</f>
        <v>0.05</v>
      </c>
      <c r="L29" s="77" cm="1">
        <f t="array" ref="L29">INDEX(L30:L32,$E$7)</f>
        <v>0.04</v>
      </c>
    </row>
    <row r="30" spans="2:12" outlineLevel="1">
      <c r="C30" s="5" t="s">
        <v>99</v>
      </c>
      <c r="H30" s="76">
        <v>0.06</v>
      </c>
      <c r="I30" s="76">
        <v>0.05</v>
      </c>
      <c r="J30" s="76">
        <v>0.04</v>
      </c>
      <c r="K30" s="76">
        <v>0.04</v>
      </c>
      <c r="L30" s="76">
        <v>0.03</v>
      </c>
    </row>
    <row r="31" spans="2:12" outlineLevel="1">
      <c r="C31" s="5" t="s">
        <v>100</v>
      </c>
      <c r="H31" s="76">
        <v>0.08</v>
      </c>
      <c r="I31" s="76">
        <v>7.0000000000000007E-2</v>
      </c>
      <c r="J31" s="76">
        <v>0.06</v>
      </c>
      <c r="K31" s="76">
        <v>0.05</v>
      </c>
      <c r="L31" s="76">
        <v>0.04</v>
      </c>
    </row>
    <row r="32" spans="2:12" outlineLevel="1">
      <c r="C32" s="5" t="s">
        <v>101</v>
      </c>
      <c r="H32" s="76">
        <v>0.05</v>
      </c>
      <c r="I32" s="76">
        <v>0.04</v>
      </c>
      <c r="J32" s="76">
        <v>3.5000000000000003E-2</v>
      </c>
      <c r="K32" s="76">
        <v>0.03</v>
      </c>
      <c r="L32" s="76">
        <v>0.03</v>
      </c>
    </row>
    <row r="33" spans="2:12" outlineLevel="1"/>
    <row r="35" spans="2:12" ht="22.5">
      <c r="B35" s="13" t="s">
        <v>131</v>
      </c>
      <c r="C35" s="14"/>
      <c r="D35" s="14"/>
      <c r="E35" s="7"/>
      <c r="F35" s="7"/>
      <c r="G35" s="7"/>
      <c r="H35" s="7"/>
      <c r="I35" s="7"/>
      <c r="J35" s="7"/>
      <c r="K35" s="7"/>
      <c r="L35" s="7"/>
    </row>
    <row r="36" spans="2:12" outlineLevel="1"/>
    <row r="37" spans="2:12" outlineLevel="1">
      <c r="B37" s="6" t="s">
        <v>132</v>
      </c>
    </row>
    <row r="38" spans="2:12" outlineLevel="1">
      <c r="C38" s="5" t="s">
        <v>133</v>
      </c>
      <c r="E38" s="32">
        <f>Model!H109</f>
        <v>102930</v>
      </c>
    </row>
    <row r="39" spans="2:12" outlineLevel="1">
      <c r="C39" s="79" t="s">
        <v>134</v>
      </c>
      <c r="D39" s="8"/>
      <c r="E39" s="56">
        <f>Model!H57*-1</f>
        <v>11323</v>
      </c>
    </row>
    <row r="40" spans="2:12" outlineLevel="1">
      <c r="C40" s="5" t="s">
        <v>128</v>
      </c>
      <c r="E40" s="53">
        <f>E39/E38</f>
        <v>0.11000680073836588</v>
      </c>
    </row>
    <row r="41" spans="2:12" outlineLevel="1"/>
    <row r="42" spans="2:12" outlineLevel="1">
      <c r="B42" s="6"/>
      <c r="C42" s="5" t="s">
        <v>144</v>
      </c>
      <c r="E42" s="53">
        <v>0.20599999999999999</v>
      </c>
    </row>
    <row r="43" spans="2:12" outlineLevel="1">
      <c r="C43" s="5" t="s">
        <v>136</v>
      </c>
      <c r="E43" s="53">
        <v>3.5000000000000003E-2</v>
      </c>
    </row>
    <row r="44" spans="2:12" outlineLevel="1"/>
    <row r="45" spans="2:12" outlineLevel="1">
      <c r="B45" s="6" t="s">
        <v>154</v>
      </c>
      <c r="C45" s="24"/>
    </row>
    <row r="46" spans="2:12" outlineLevel="1">
      <c r="B46" s="24"/>
      <c r="C46" s="24" t="s">
        <v>35</v>
      </c>
      <c r="E46" s="85" t="s">
        <v>156</v>
      </c>
    </row>
    <row r="47" spans="2:12" outlineLevel="1">
      <c r="B47" s="24"/>
      <c r="C47" s="24" t="s">
        <v>155</v>
      </c>
      <c r="E47" s="85" t="s">
        <v>156</v>
      </c>
    </row>
    <row r="48" spans="2:12" outlineLevel="1"/>
  </sheetData>
  <pageMargins left="0.7" right="0.7" top="0.75" bottom="0.75" header="0.3" footer="0.3"/>
  <pageSetup paperSize="9" scale="6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6</xdr:row>
                    <xdr:rowOff>0</xdr:rowOff>
                  </from>
                  <to>
                    <xdr:col>5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790D-3A41-4C06-85ED-E133B92FF581}">
  <dimension ref="A1:M350"/>
  <sheetViews>
    <sheetView showGridLines="0" zoomScale="90" zoomScaleNormal="90" workbookViewId="0">
      <selection activeCell="A331" sqref="A331:XFD342"/>
    </sheetView>
  </sheetViews>
  <sheetFormatPr defaultRowHeight="16.5" outlineLevelRow="1"/>
  <cols>
    <col min="1" max="2" width="4" style="12" customWidth="1"/>
    <col min="3" max="3" width="5" style="12" customWidth="1"/>
    <col min="4" max="4" width="22.140625" style="12" bestFit="1" customWidth="1"/>
    <col min="5" max="5" width="13.85546875" style="12" bestFit="1" customWidth="1"/>
    <col min="6" max="6" width="10.140625" style="18" customWidth="1"/>
    <col min="7" max="7" width="13.28515625" style="12" bestFit="1" customWidth="1"/>
    <col min="8" max="13" width="15.5703125" style="12" customWidth="1"/>
    <col min="14" max="16384" width="9.140625" style="12"/>
  </cols>
  <sheetData>
    <row r="1" spans="1:13" s="10" customFormat="1" ht="67.5" customHeight="1" thickBot="1">
      <c r="A1" s="9"/>
      <c r="F1" s="11"/>
    </row>
    <row r="3" spans="1:13" ht="22.5">
      <c r="A3" s="12" t="s">
        <v>74</v>
      </c>
      <c r="B3" s="13" t="s">
        <v>8</v>
      </c>
      <c r="C3" s="14"/>
      <c r="D3" s="14"/>
      <c r="E3" s="14"/>
      <c r="F3" s="15"/>
      <c r="G3" s="14"/>
      <c r="H3" s="14"/>
      <c r="I3" s="14"/>
      <c r="J3" s="14"/>
      <c r="K3" s="14"/>
      <c r="L3" s="14"/>
      <c r="M3" s="14"/>
    </row>
    <row r="4" spans="1:13" ht="22.5" hidden="1" outlineLevel="1">
      <c r="B4" s="16"/>
      <c r="C4" s="17"/>
      <c r="D4" s="17"/>
      <c r="E4" s="17"/>
      <c r="G4" s="17"/>
      <c r="H4" s="17"/>
      <c r="I4" s="17"/>
      <c r="J4" s="17"/>
      <c r="K4" s="17"/>
      <c r="L4" s="17"/>
      <c r="M4" s="17"/>
    </row>
    <row r="5" spans="1:13" s="61" customFormat="1" ht="17.25" hidden="1" outlineLevel="1" thickBot="1">
      <c r="B5" s="64"/>
      <c r="C5" s="19" t="s">
        <v>9</v>
      </c>
      <c r="D5" s="62"/>
      <c r="E5" s="62"/>
      <c r="F5" s="63"/>
      <c r="G5" s="36" t="s">
        <v>24</v>
      </c>
      <c r="H5" s="36" t="s">
        <v>25</v>
      </c>
      <c r="I5" s="20" t="s">
        <v>26</v>
      </c>
      <c r="J5" s="20" t="s">
        <v>27</v>
      </c>
      <c r="K5" s="20" t="s">
        <v>28</v>
      </c>
      <c r="L5" s="20" t="s">
        <v>29</v>
      </c>
      <c r="M5" s="20" t="s">
        <v>30</v>
      </c>
    </row>
    <row r="6" spans="1:13" ht="15" hidden="1" customHeight="1" outlineLevel="1">
      <c r="B6" s="16"/>
      <c r="G6" s="21"/>
      <c r="H6" s="21"/>
      <c r="I6" s="21"/>
      <c r="J6" s="21"/>
      <c r="K6" s="21"/>
      <c r="L6" s="21"/>
      <c r="M6" s="21"/>
    </row>
    <row r="7" spans="1:13" ht="15" hidden="1" customHeight="1" outlineLevel="1">
      <c r="B7" s="16"/>
      <c r="C7" s="24" t="s">
        <v>150</v>
      </c>
      <c r="G7" s="21"/>
      <c r="H7" s="21">
        <v>365</v>
      </c>
      <c r="I7" s="21">
        <v>365</v>
      </c>
      <c r="J7" s="21">
        <f>I7</f>
        <v>365</v>
      </c>
      <c r="K7" s="21">
        <f t="shared" ref="K7:M7" si="0">J7</f>
        <v>365</v>
      </c>
      <c r="L7" s="21">
        <f t="shared" si="0"/>
        <v>365</v>
      </c>
      <c r="M7" s="21">
        <f t="shared" si="0"/>
        <v>365</v>
      </c>
    </row>
    <row r="8" spans="1:13" ht="15" hidden="1" customHeight="1" outlineLevel="1">
      <c r="B8" s="16"/>
      <c r="G8" s="21"/>
      <c r="H8" s="21"/>
      <c r="I8" s="21"/>
      <c r="J8" s="21"/>
      <c r="K8" s="21"/>
      <c r="L8" s="21"/>
      <c r="M8" s="21"/>
    </row>
    <row r="9" spans="1:13" ht="16.5" hidden="1" customHeight="1" outlineLevel="1">
      <c r="B9" s="16"/>
      <c r="C9" s="22" t="s">
        <v>152</v>
      </c>
      <c r="D9" s="22"/>
      <c r="E9" s="22"/>
      <c r="G9" s="21"/>
      <c r="H9" s="21"/>
      <c r="I9" s="21"/>
      <c r="J9" s="21"/>
      <c r="K9" s="21"/>
      <c r="L9" s="21"/>
      <c r="M9" s="21"/>
    </row>
    <row r="10" spans="1:13" ht="16.5" hidden="1" customHeight="1" outlineLevel="1">
      <c r="B10" s="16"/>
      <c r="C10" s="24" t="s">
        <v>94</v>
      </c>
      <c r="E10" s="24"/>
      <c r="G10" s="21"/>
      <c r="H10" s="54">
        <f>H176/G176-1</f>
        <v>1.0628194558944766</v>
      </c>
      <c r="I10" s="51">
        <f>Inputs!H9</f>
        <v>0.55000000000000004</v>
      </c>
      <c r="J10" s="51">
        <f>Inputs!I9</f>
        <v>0.45</v>
      </c>
      <c r="K10" s="51">
        <f>Inputs!J9</f>
        <v>0.35</v>
      </c>
      <c r="L10" s="51">
        <f>Inputs!K9</f>
        <v>0.28000000000000003</v>
      </c>
      <c r="M10" s="51">
        <f>Inputs!L9</f>
        <v>0.22</v>
      </c>
    </row>
    <row r="11" spans="1:13" ht="16.5" hidden="1" customHeight="1" outlineLevel="1">
      <c r="B11" s="16"/>
      <c r="C11" s="24" t="s">
        <v>104</v>
      </c>
      <c r="E11" s="24"/>
      <c r="G11" s="21"/>
      <c r="H11" s="54">
        <f>H177/G177-1</f>
        <v>0.68602741456635719</v>
      </c>
      <c r="I11" s="51">
        <f>Inputs!H16</f>
        <v>0.4</v>
      </c>
      <c r="J11" s="51">
        <f>Inputs!I16</f>
        <v>0.3</v>
      </c>
      <c r="K11" s="51">
        <f>Inputs!J16</f>
        <v>0.25</v>
      </c>
      <c r="L11" s="51">
        <f>Inputs!K16</f>
        <v>0.2</v>
      </c>
      <c r="M11" s="51">
        <f>Inputs!L16</f>
        <v>0.15</v>
      </c>
    </row>
    <row r="12" spans="1:13" ht="16.5" hidden="1" customHeight="1" outlineLevel="1">
      <c r="B12" s="16"/>
      <c r="C12" s="24" t="s">
        <v>105</v>
      </c>
      <c r="E12" s="24"/>
      <c r="G12" s="55">
        <f>G40/G41</f>
        <v>9.5962052363803285E-3</v>
      </c>
      <c r="H12" s="55">
        <f>H40/H41</f>
        <v>4.0433036600448918E-3</v>
      </c>
      <c r="I12" s="53">
        <f>H12</f>
        <v>4.0433036600448918E-3</v>
      </c>
      <c r="J12" s="53">
        <f t="shared" ref="J12:M12" si="1">I12</f>
        <v>4.0433036600448918E-3</v>
      </c>
      <c r="K12" s="53">
        <f t="shared" si="1"/>
        <v>4.0433036600448918E-3</v>
      </c>
      <c r="L12" s="53">
        <f t="shared" si="1"/>
        <v>4.0433036600448918E-3</v>
      </c>
      <c r="M12" s="53">
        <f t="shared" si="1"/>
        <v>4.0433036600448918E-3</v>
      </c>
    </row>
    <row r="13" spans="1:13" ht="16.5" hidden="1" customHeight="1" outlineLevel="1">
      <c r="B13" s="16"/>
      <c r="C13" s="23"/>
      <c r="D13" s="24"/>
      <c r="E13" s="24"/>
      <c r="G13" s="29"/>
      <c r="H13" s="21"/>
      <c r="I13" s="21"/>
      <c r="J13" s="21"/>
      <c r="K13" s="21"/>
      <c r="L13" s="21"/>
      <c r="M13" s="21"/>
    </row>
    <row r="14" spans="1:13" ht="16.5" hidden="1" customHeight="1" outlineLevel="1">
      <c r="B14" s="16"/>
      <c r="C14" s="22" t="s">
        <v>151</v>
      </c>
      <c r="D14" s="22"/>
      <c r="E14" s="22"/>
      <c r="G14" s="29"/>
      <c r="H14" s="21"/>
      <c r="I14" s="21"/>
      <c r="J14" s="21"/>
      <c r="K14" s="21"/>
      <c r="L14" s="21"/>
      <c r="M14" s="21"/>
    </row>
    <row r="15" spans="1:13" ht="16.5" hidden="1" customHeight="1" outlineLevel="1">
      <c r="B15" s="16"/>
      <c r="C15" s="24" t="s">
        <v>108</v>
      </c>
      <c r="E15" s="24"/>
      <c r="G15" s="55">
        <f>G44/G41*-1</f>
        <v>4.0521561405330378E-2</v>
      </c>
      <c r="H15" s="55">
        <f>H44/H41*-1</f>
        <v>2.856270327220534E-2</v>
      </c>
      <c r="I15" s="53">
        <f>H15</f>
        <v>2.856270327220534E-2</v>
      </c>
      <c r="J15" s="53">
        <f t="shared" ref="J15:M15" si="2">I15</f>
        <v>2.856270327220534E-2</v>
      </c>
      <c r="K15" s="53">
        <f t="shared" si="2"/>
        <v>2.856270327220534E-2</v>
      </c>
      <c r="L15" s="53">
        <f t="shared" si="2"/>
        <v>2.856270327220534E-2</v>
      </c>
      <c r="M15" s="53">
        <f t="shared" si="2"/>
        <v>2.856270327220534E-2</v>
      </c>
    </row>
    <row r="16" spans="1:13" ht="16.5" hidden="1" customHeight="1" outlineLevel="1">
      <c r="B16" s="16"/>
      <c r="C16" s="24" t="s">
        <v>125</v>
      </c>
      <c r="E16" s="24"/>
      <c r="G16" s="55"/>
      <c r="H16" s="55"/>
      <c r="I16" s="53">
        <f>Inputs!H23</f>
        <v>0.82</v>
      </c>
      <c r="J16" s="53">
        <f>Inputs!I23</f>
        <v>0.72</v>
      </c>
      <c r="K16" s="53">
        <f>Inputs!J23</f>
        <v>0.62</v>
      </c>
      <c r="L16" s="53">
        <f>Inputs!K23</f>
        <v>0.55000000000000004</v>
      </c>
      <c r="M16" s="53">
        <f>Inputs!L23</f>
        <v>0.5</v>
      </c>
    </row>
    <row r="17" spans="2:13" ht="16.5" hidden="1" customHeight="1" outlineLevel="1">
      <c r="B17" s="16"/>
      <c r="C17" s="24" t="s">
        <v>110</v>
      </c>
      <c r="E17" s="24"/>
      <c r="G17" s="55">
        <f>G49/G41</f>
        <v>-0.36118018022941267</v>
      </c>
      <c r="H17" s="55">
        <f>H49/H41</f>
        <v>-0.24292192820387534</v>
      </c>
      <c r="I17" s="53">
        <f>H17</f>
        <v>-0.24292192820387534</v>
      </c>
      <c r="J17" s="53">
        <f>I17</f>
        <v>-0.24292192820387534</v>
      </c>
      <c r="K17" s="53">
        <f t="shared" ref="K17:M17" si="3">J17</f>
        <v>-0.24292192820387534</v>
      </c>
      <c r="L17" s="53">
        <f t="shared" si="3"/>
        <v>-0.24292192820387534</v>
      </c>
      <c r="M17" s="53">
        <f t="shared" si="3"/>
        <v>-0.24292192820387534</v>
      </c>
    </row>
    <row r="18" spans="2:13" ht="16.5" hidden="1" customHeight="1" outlineLevel="1">
      <c r="B18" s="16"/>
      <c r="C18" s="24" t="s">
        <v>15</v>
      </c>
      <c r="E18" s="24"/>
      <c r="G18" s="75">
        <f>G48+G49</f>
        <v>-275412</v>
      </c>
      <c r="H18" s="75">
        <f>H48+H49</f>
        <v>-379117</v>
      </c>
      <c r="I18" s="86">
        <f>I48+I49</f>
        <v>-505299.95346312341</v>
      </c>
      <c r="J18" s="86">
        <f t="shared" ref="J18:M18" si="4">J48+J49</f>
        <v>-620400.0622331237</v>
      </c>
      <c r="K18" s="86">
        <f t="shared" si="4"/>
        <v>-716889.88359194552</v>
      </c>
      <c r="L18" s="86">
        <f t="shared" si="4"/>
        <v>-812242.2542803922</v>
      </c>
      <c r="M18" s="86">
        <f t="shared" si="4"/>
        <v>-898011.00325017818</v>
      </c>
    </row>
    <row r="19" spans="2:13" ht="16.5" hidden="1" customHeight="1" outlineLevel="1">
      <c r="B19" s="16"/>
      <c r="C19" s="23"/>
      <c r="D19" s="24"/>
      <c r="E19" s="24"/>
      <c r="G19" s="55"/>
      <c r="H19" s="55"/>
      <c r="I19" s="53"/>
      <c r="J19" s="53"/>
      <c r="K19" s="53"/>
      <c r="L19" s="53"/>
      <c r="M19" s="53"/>
    </row>
    <row r="20" spans="2:13" ht="16.5" hidden="1" customHeight="1" outlineLevel="1">
      <c r="B20" s="16"/>
      <c r="C20" s="22" t="s">
        <v>153</v>
      </c>
      <c r="D20" s="24"/>
      <c r="E20" s="24"/>
      <c r="G20" s="55"/>
      <c r="H20" s="55"/>
      <c r="I20" s="53"/>
      <c r="J20" s="53"/>
      <c r="K20" s="53"/>
      <c r="L20" s="53"/>
      <c r="M20" s="53"/>
    </row>
    <row r="21" spans="2:13" ht="16.5" hidden="1" customHeight="1" outlineLevel="1">
      <c r="B21" s="16"/>
      <c r="C21" s="24" t="s">
        <v>114</v>
      </c>
      <c r="D21" s="24"/>
      <c r="E21" s="24"/>
      <c r="G21" s="21"/>
      <c r="H21" s="21"/>
      <c r="I21" s="52">
        <f>I41*Inputs!H29</f>
        <v>38031.011689972671</v>
      </c>
      <c r="J21" s="52">
        <f>J41*Inputs!I29</f>
        <v>45100.234073310916</v>
      </c>
      <c r="K21" s="52">
        <f>K41*Inputs!J29</f>
        <v>49846.216221491493</v>
      </c>
      <c r="L21" s="52">
        <f>L41*Inputs!K29</f>
        <v>51218.29939299832</v>
      </c>
      <c r="M21" s="52">
        <f>M41*Inputs!L29</f>
        <v>48350.221963228563</v>
      </c>
    </row>
    <row r="22" spans="2:13" ht="16.5" hidden="1" customHeight="1" outlineLevel="1">
      <c r="B22" s="16"/>
      <c r="C22" s="24"/>
      <c r="D22" s="24"/>
      <c r="E22" s="24"/>
      <c r="F22" s="12"/>
      <c r="G22" s="75"/>
      <c r="H22" s="75"/>
      <c r="I22" s="52"/>
      <c r="J22" s="52"/>
      <c r="K22" s="52"/>
      <c r="L22" s="52"/>
      <c r="M22" s="52"/>
    </row>
    <row r="23" spans="2:13" ht="16.5" hidden="1" customHeight="1" outlineLevel="1">
      <c r="B23" s="16"/>
      <c r="C23" s="22" t="s">
        <v>157</v>
      </c>
      <c r="D23" s="24"/>
      <c r="E23" s="24"/>
      <c r="F23" s="12"/>
      <c r="G23" s="75"/>
      <c r="H23" s="75"/>
      <c r="I23" s="52"/>
      <c r="J23" s="52"/>
      <c r="K23" s="52"/>
      <c r="L23" s="52"/>
      <c r="M23" s="52"/>
    </row>
    <row r="24" spans="2:13" ht="16.5" hidden="1" customHeight="1" outlineLevel="1">
      <c r="B24" s="16"/>
      <c r="C24" s="24" t="s">
        <v>158</v>
      </c>
      <c r="D24" s="24"/>
      <c r="E24" s="24"/>
      <c r="F24" s="12"/>
      <c r="G24" s="75"/>
      <c r="H24" s="75">
        <f>H92/H178*H7</f>
        <v>103.69670469841873</v>
      </c>
      <c r="I24" s="52">
        <f t="shared" ref="I24:I31" si="5">H24</f>
        <v>103.69670469841873</v>
      </c>
      <c r="J24" s="52">
        <f t="shared" ref="J24:M24" si="6">I24</f>
        <v>103.69670469841873</v>
      </c>
      <c r="K24" s="52">
        <f t="shared" si="6"/>
        <v>103.69670469841873</v>
      </c>
      <c r="L24" s="52">
        <f t="shared" si="6"/>
        <v>103.69670469841873</v>
      </c>
      <c r="M24" s="52">
        <f t="shared" si="6"/>
        <v>103.69670469841873</v>
      </c>
    </row>
    <row r="25" spans="2:13" ht="16.5" hidden="1" customHeight="1" outlineLevel="1">
      <c r="B25" s="16"/>
      <c r="C25" s="24" t="s">
        <v>140</v>
      </c>
      <c r="D25" s="24"/>
      <c r="E25" s="24"/>
      <c r="F25" s="12"/>
      <c r="G25" s="75"/>
      <c r="H25" s="55">
        <f>H113/H18*-1</f>
        <v>3.8317986268091381E-2</v>
      </c>
      <c r="I25" s="53">
        <f t="shared" si="5"/>
        <v>3.8317986268091381E-2</v>
      </c>
      <c r="J25" s="53">
        <f t="shared" ref="J25:M28" si="7">I25</f>
        <v>3.8317986268091381E-2</v>
      </c>
      <c r="K25" s="53">
        <f t="shared" si="7"/>
        <v>3.8317986268091381E-2</v>
      </c>
      <c r="L25" s="53">
        <f t="shared" si="7"/>
        <v>3.8317986268091381E-2</v>
      </c>
      <c r="M25" s="53">
        <f t="shared" si="7"/>
        <v>3.8317986268091381E-2</v>
      </c>
    </row>
    <row r="26" spans="2:13" ht="16.5" hidden="1" customHeight="1" outlineLevel="1">
      <c r="B26" s="16"/>
      <c r="C26" s="24" t="s">
        <v>181</v>
      </c>
      <c r="D26" s="24"/>
      <c r="E26" s="24"/>
      <c r="G26" s="55"/>
      <c r="H26" s="55">
        <f>H114/H188*-1</f>
        <v>9.1427407859906329E-2</v>
      </c>
      <c r="I26" s="53">
        <f t="shared" si="5"/>
        <v>9.1427407859906329E-2</v>
      </c>
      <c r="J26" s="53">
        <f t="shared" ref="J26:M26" si="8">I26</f>
        <v>9.1427407859906329E-2</v>
      </c>
      <c r="K26" s="53">
        <f t="shared" si="8"/>
        <v>9.1427407859906329E-2</v>
      </c>
      <c r="L26" s="53">
        <f t="shared" si="8"/>
        <v>9.1427407859906329E-2</v>
      </c>
      <c r="M26" s="53">
        <f t="shared" si="8"/>
        <v>9.1427407859906329E-2</v>
      </c>
    </row>
    <row r="27" spans="2:13" ht="16.5" hidden="1" customHeight="1" outlineLevel="1">
      <c r="B27" s="16"/>
      <c r="C27" s="24" t="s">
        <v>182</v>
      </c>
      <c r="D27" s="24"/>
      <c r="E27" s="24"/>
      <c r="G27" s="55"/>
      <c r="H27" s="55">
        <f>H115/H190*-1</f>
        <v>0.10883975131687579</v>
      </c>
      <c r="I27" s="53">
        <f t="shared" si="5"/>
        <v>0.10883975131687579</v>
      </c>
      <c r="J27" s="53">
        <f t="shared" ref="J27:M27" si="9">I27</f>
        <v>0.10883975131687579</v>
      </c>
      <c r="K27" s="53">
        <f t="shared" si="9"/>
        <v>0.10883975131687579</v>
      </c>
      <c r="L27" s="53">
        <f t="shared" si="9"/>
        <v>0.10883975131687579</v>
      </c>
      <c r="M27" s="53">
        <f t="shared" si="9"/>
        <v>0.10883975131687579</v>
      </c>
    </row>
    <row r="28" spans="2:13" ht="16.5" hidden="1" customHeight="1" outlineLevel="1">
      <c r="B28" s="16"/>
      <c r="C28" s="24" t="s">
        <v>141</v>
      </c>
      <c r="D28" s="24"/>
      <c r="E28" s="24"/>
      <c r="F28" s="12"/>
      <c r="G28" s="75"/>
      <c r="H28" s="55">
        <f>H116/H41</f>
        <v>0.30382189919225544</v>
      </c>
      <c r="I28" s="53">
        <f t="shared" si="5"/>
        <v>0.30382189919225544</v>
      </c>
      <c r="J28" s="53">
        <f t="shared" si="7"/>
        <v>0.30382189919225544</v>
      </c>
      <c r="K28" s="53">
        <f t="shared" si="7"/>
        <v>0.30382189919225544</v>
      </c>
      <c r="L28" s="53">
        <f t="shared" si="7"/>
        <v>0.30382189919225544</v>
      </c>
      <c r="M28" s="53">
        <f t="shared" si="7"/>
        <v>0.30382189919225544</v>
      </c>
    </row>
    <row r="29" spans="2:13" ht="16.5" hidden="1" customHeight="1" outlineLevel="1">
      <c r="B29" s="16"/>
      <c r="C29" s="24" t="s">
        <v>194</v>
      </c>
      <c r="D29" s="24"/>
      <c r="E29" s="24"/>
      <c r="F29" s="12"/>
      <c r="G29" s="55"/>
      <c r="H29" s="55">
        <f>H93/H41</f>
        <v>4.4583225175978382E-2</v>
      </c>
      <c r="I29" s="53">
        <f t="shared" si="5"/>
        <v>4.4583225175978382E-2</v>
      </c>
      <c r="J29" s="53">
        <f>I29</f>
        <v>4.4583225175978382E-2</v>
      </c>
      <c r="K29" s="53">
        <f t="shared" ref="K29:M29" si="10">MEDIAN(I29:J29)</f>
        <v>4.4583225175978382E-2</v>
      </c>
      <c r="L29" s="53">
        <f t="shared" si="10"/>
        <v>4.4583225175978382E-2</v>
      </c>
      <c r="M29" s="53">
        <f t="shared" si="10"/>
        <v>4.4583225175978382E-2</v>
      </c>
    </row>
    <row r="30" spans="2:13" ht="16.5" hidden="1" customHeight="1" outlineLevel="1">
      <c r="B30" s="16"/>
      <c r="C30" s="24" t="s">
        <v>196</v>
      </c>
      <c r="D30" s="24"/>
      <c r="E30" s="24"/>
      <c r="F30" s="12"/>
      <c r="G30" s="55"/>
      <c r="H30" s="55">
        <f>H84/H181</f>
        <v>4.2363072788627443E-2</v>
      </c>
      <c r="I30" s="53">
        <f t="shared" si="5"/>
        <v>4.2363072788627443E-2</v>
      </c>
      <c r="J30" s="53">
        <f t="shared" ref="J30:M31" si="11">I30</f>
        <v>4.2363072788627443E-2</v>
      </c>
      <c r="K30" s="53">
        <f t="shared" si="11"/>
        <v>4.2363072788627443E-2</v>
      </c>
      <c r="L30" s="53">
        <f t="shared" si="11"/>
        <v>4.2363072788627443E-2</v>
      </c>
      <c r="M30" s="53">
        <f t="shared" si="11"/>
        <v>4.2363072788627443E-2</v>
      </c>
    </row>
    <row r="31" spans="2:13" ht="16.5" hidden="1" customHeight="1" outlineLevel="1">
      <c r="B31" s="16"/>
      <c r="C31" s="24" t="s">
        <v>180</v>
      </c>
      <c r="D31" s="24"/>
      <c r="E31" s="24"/>
      <c r="F31" s="12"/>
      <c r="G31" s="55"/>
      <c r="H31" s="55">
        <f>H94/H181</f>
        <v>3.1524942358492007E-2</v>
      </c>
      <c r="I31" s="53">
        <f t="shared" si="5"/>
        <v>3.1524942358492007E-2</v>
      </c>
      <c r="J31" s="53">
        <f t="shared" si="11"/>
        <v>3.1524942358492007E-2</v>
      </c>
      <c r="K31" s="53">
        <f t="shared" si="11"/>
        <v>3.1524942358492007E-2</v>
      </c>
      <c r="L31" s="53">
        <f t="shared" si="11"/>
        <v>3.1524942358492007E-2</v>
      </c>
      <c r="M31" s="53">
        <f t="shared" si="11"/>
        <v>3.1524942358492007E-2</v>
      </c>
    </row>
    <row r="32" spans="2:13" ht="16.5" hidden="1" customHeight="1" outlineLevel="1">
      <c r="B32" s="16"/>
      <c r="C32" s="24"/>
      <c r="D32" s="24"/>
      <c r="E32" s="24"/>
      <c r="F32" s="12"/>
      <c r="G32" s="75"/>
      <c r="H32" s="75"/>
      <c r="I32" s="52"/>
      <c r="J32" s="52"/>
      <c r="K32" s="52"/>
      <c r="L32" s="52"/>
      <c r="M32" s="52"/>
    </row>
    <row r="33" spans="1:13" ht="16.5" customHeight="1" collapsed="1"/>
    <row r="34" spans="1:13" ht="22.5">
      <c r="A34" s="12" t="s">
        <v>74</v>
      </c>
      <c r="B34" s="13" t="s">
        <v>12</v>
      </c>
      <c r="C34" s="25"/>
      <c r="D34" s="25"/>
      <c r="E34" s="25"/>
      <c r="F34" s="15"/>
      <c r="G34" s="25"/>
      <c r="H34" s="25"/>
      <c r="I34" s="25"/>
      <c r="J34" s="25"/>
      <c r="K34" s="25"/>
      <c r="L34" s="25"/>
      <c r="M34" s="25"/>
    </row>
    <row r="35" spans="1:13" s="26" customFormat="1" ht="22.5" hidden="1" outlineLevel="1">
      <c r="B35" s="27"/>
      <c r="F35" s="28"/>
    </row>
    <row r="36" spans="1:13" ht="17.25" hidden="1" outlineLevel="1" thickBot="1">
      <c r="B36" s="24"/>
      <c r="C36" s="19" t="s">
        <v>9</v>
      </c>
      <c r="D36" s="19"/>
      <c r="E36" s="19"/>
      <c r="G36" s="65" t="s">
        <v>24</v>
      </c>
      <c r="H36" s="65" t="s">
        <v>25</v>
      </c>
      <c r="I36" s="60" t="s">
        <v>26</v>
      </c>
      <c r="J36" s="60" t="s">
        <v>27</v>
      </c>
      <c r="K36" s="60" t="s">
        <v>28</v>
      </c>
      <c r="L36" s="60" t="s">
        <v>29</v>
      </c>
      <c r="M36" s="60" t="s">
        <v>30</v>
      </c>
    </row>
    <row r="37" spans="1:13" hidden="1" outlineLevel="1">
      <c r="G37" s="66"/>
      <c r="H37" s="66"/>
    </row>
    <row r="38" spans="1:13" hidden="1" outlineLevel="1">
      <c r="C38" s="22" t="s">
        <v>75</v>
      </c>
      <c r="D38" s="22"/>
      <c r="E38" s="22"/>
      <c r="F38" s="45"/>
      <c r="G38" s="37"/>
      <c r="H38" s="37"/>
      <c r="I38" s="24"/>
      <c r="J38" s="24"/>
      <c r="K38" s="24"/>
      <c r="L38" s="24"/>
      <c r="M38" s="24"/>
    </row>
    <row r="39" spans="1:13" hidden="1" outlineLevel="1">
      <c r="C39" s="24" t="s">
        <v>10</v>
      </c>
      <c r="D39" s="24"/>
      <c r="E39" s="24"/>
      <c r="F39" s="45"/>
      <c r="G39" s="29">
        <v>181233</v>
      </c>
      <c r="H39" s="29">
        <v>326131</v>
      </c>
      <c r="I39" s="32">
        <f>I178</f>
        <v>473473.25</v>
      </c>
      <c r="J39" s="32">
        <f t="shared" ref="J39:M39" si="12">J178</f>
        <v>641694.49249999993</v>
      </c>
      <c r="K39" s="32">
        <f t="shared" si="12"/>
        <v>827424.74087500002</v>
      </c>
      <c r="L39" s="32">
        <f t="shared" si="12"/>
        <v>1020240.84432</v>
      </c>
      <c r="M39" s="32">
        <f t="shared" si="12"/>
        <v>1203887.8648703999</v>
      </c>
    </row>
    <row r="40" spans="1:13" hidden="1" outlineLevel="1">
      <c r="C40" s="24" t="s">
        <v>11</v>
      </c>
      <c r="D40" s="24"/>
      <c r="E40" s="24"/>
      <c r="F40" s="45"/>
      <c r="G40" s="46">
        <v>1756</v>
      </c>
      <c r="H40" s="46">
        <v>1324</v>
      </c>
      <c r="I40" s="56">
        <f>I180</f>
        <v>1914.3961246583501</v>
      </c>
      <c r="J40" s="56">
        <f t="shared" ref="J40:M40" si="13">J180</f>
        <v>2594.5656901558991</v>
      </c>
      <c r="K40" s="56">
        <f t="shared" si="13"/>
        <v>3345.5294831915839</v>
      </c>
      <c r="L40" s="56">
        <f t="shared" si="13"/>
        <v>4125.1435399663469</v>
      </c>
      <c r="M40" s="56">
        <f t="shared" si="13"/>
        <v>4867.684210314118</v>
      </c>
    </row>
    <row r="41" spans="1:13" s="47" customFormat="1" hidden="1" outlineLevel="1">
      <c r="B41" s="31"/>
      <c r="C41" s="31" t="s">
        <v>76</v>
      </c>
      <c r="D41" s="31"/>
      <c r="E41" s="31"/>
      <c r="F41" s="67"/>
      <c r="G41" s="68">
        <f>SUM(G39:G40)</f>
        <v>182989</v>
      </c>
      <c r="H41" s="68">
        <f>SUM(H39:H40)</f>
        <v>327455</v>
      </c>
      <c r="I41" s="40">
        <f t="shared" ref="I41:M41" si="14">SUM(I39:I40)</f>
        <v>475387.64612465835</v>
      </c>
      <c r="J41" s="40">
        <f t="shared" si="14"/>
        <v>644289.05819015589</v>
      </c>
      <c r="K41" s="40">
        <f t="shared" si="14"/>
        <v>830770.27035819157</v>
      </c>
      <c r="L41" s="40">
        <f t="shared" si="14"/>
        <v>1024365.9878599663</v>
      </c>
      <c r="M41" s="40">
        <f t="shared" si="14"/>
        <v>1208755.5490807141</v>
      </c>
    </row>
    <row r="42" spans="1:13" hidden="1" outlineLevel="1">
      <c r="B42" s="24"/>
      <c r="C42" s="24"/>
      <c r="D42" s="24"/>
      <c r="E42" s="24"/>
      <c r="F42" s="45"/>
      <c r="G42" s="29"/>
      <c r="H42" s="29"/>
      <c r="I42" s="30"/>
      <c r="J42" s="30"/>
      <c r="K42" s="30"/>
      <c r="L42" s="30"/>
      <c r="M42" s="30"/>
    </row>
    <row r="43" spans="1:13" hidden="1" outlineLevel="1">
      <c r="B43" s="24"/>
      <c r="C43" s="22" t="s">
        <v>77</v>
      </c>
      <c r="D43" s="24"/>
      <c r="E43" s="24"/>
      <c r="F43" s="45"/>
      <c r="G43" s="29"/>
      <c r="H43" s="29"/>
      <c r="I43" s="30"/>
      <c r="J43" s="30"/>
      <c r="K43" s="30"/>
      <c r="L43" s="30"/>
      <c r="M43" s="30"/>
    </row>
    <row r="44" spans="1:13" hidden="1" outlineLevel="1">
      <c r="B44" s="24"/>
      <c r="C44" s="24" t="s">
        <v>16</v>
      </c>
      <c r="D44" s="24"/>
      <c r="E44" s="24"/>
      <c r="F44" s="45"/>
      <c r="G44" s="46">
        <v>-7415</v>
      </c>
      <c r="H44" s="46">
        <v>-9353</v>
      </c>
      <c r="I44" s="56">
        <f>I15*I181*-1</f>
        <v>-13578.356275530774</v>
      </c>
      <c r="J44" s="56">
        <f>J15*J181*-1</f>
        <v>-18402.637190614063</v>
      </c>
      <c r="K44" s="56">
        <f>K15*K181*-1</f>
        <v>-23729.044719610833</v>
      </c>
      <c r="L44" s="56">
        <f>L15*L181*-1</f>
        <v>-29258.661753383716</v>
      </c>
      <c r="M44" s="56">
        <f>M15*M181*-1</f>
        <v>-34525.326077024074</v>
      </c>
    </row>
    <row r="45" spans="1:13" s="47" customFormat="1" hidden="1" outlineLevel="1">
      <c r="B45" s="31"/>
      <c r="C45" s="31" t="s">
        <v>14</v>
      </c>
      <c r="D45" s="31"/>
      <c r="E45" s="31"/>
      <c r="F45" s="67"/>
      <c r="G45" s="68">
        <f>G41+G44</f>
        <v>175574</v>
      </c>
      <c r="H45" s="68">
        <f>H41+H44</f>
        <v>318102</v>
      </c>
      <c r="I45" s="40">
        <f t="shared" ref="I45:M45" si="15">I41+I44</f>
        <v>461809.28984912758</v>
      </c>
      <c r="J45" s="40">
        <f t="shared" si="15"/>
        <v>625886.42099954188</v>
      </c>
      <c r="K45" s="40">
        <f t="shared" si="15"/>
        <v>807041.22563858074</v>
      </c>
      <c r="L45" s="40">
        <f t="shared" si="15"/>
        <v>995107.32610658265</v>
      </c>
      <c r="M45" s="40">
        <f t="shared" si="15"/>
        <v>1174230.2230036901</v>
      </c>
    </row>
    <row r="46" spans="1:13" hidden="1" outlineLevel="1">
      <c r="B46" s="24"/>
      <c r="C46" s="24"/>
      <c r="D46" s="24"/>
      <c r="E46" s="24"/>
      <c r="F46" s="45"/>
      <c r="G46" s="29"/>
      <c r="H46" s="29"/>
      <c r="I46" s="30"/>
      <c r="J46" s="30"/>
      <c r="K46" s="30"/>
      <c r="L46" s="30"/>
      <c r="M46" s="30"/>
    </row>
    <row r="47" spans="1:13" hidden="1" outlineLevel="1">
      <c r="B47" s="24"/>
      <c r="C47" s="22" t="s">
        <v>15</v>
      </c>
      <c r="D47" s="24"/>
      <c r="E47" s="24"/>
      <c r="F47" s="45"/>
      <c r="G47" s="29"/>
      <c r="H47" s="29"/>
      <c r="I47" s="30"/>
      <c r="J47" s="30"/>
      <c r="K47" s="30"/>
      <c r="L47" s="30"/>
      <c r="M47" s="30"/>
    </row>
    <row r="48" spans="1:13" hidden="1" outlineLevel="1">
      <c r="B48" s="24"/>
      <c r="C48" s="24" t="s">
        <v>17</v>
      </c>
      <c r="D48" s="24"/>
      <c r="E48" s="24"/>
      <c r="F48" s="45"/>
      <c r="G48" s="29">
        <v>-209320</v>
      </c>
      <c r="H48" s="29">
        <v>-299571</v>
      </c>
      <c r="I48" s="32">
        <f>I188</f>
        <v>-389817.86982221983</v>
      </c>
      <c r="J48" s="32">
        <f t="shared" ref="J48:M48" si="16">J188</f>
        <v>-463888.12189691223</v>
      </c>
      <c r="K48" s="32">
        <f t="shared" si="16"/>
        <v>-515077.56762207876</v>
      </c>
      <c r="L48" s="32">
        <f t="shared" si="16"/>
        <v>-563401.29332298157</v>
      </c>
      <c r="M48" s="32">
        <f t="shared" si="16"/>
        <v>-604377.77454035706</v>
      </c>
    </row>
    <row r="49" spans="2:13" hidden="1" outlineLevel="1">
      <c r="B49" s="24"/>
      <c r="C49" s="24" t="s">
        <v>18</v>
      </c>
      <c r="D49" s="24"/>
      <c r="E49" s="24"/>
      <c r="F49" s="45"/>
      <c r="G49" s="46">
        <v>-66092</v>
      </c>
      <c r="H49" s="46">
        <v>-79546</v>
      </c>
      <c r="I49" s="56">
        <f>I189</f>
        <v>-115482.08364090355</v>
      </c>
      <c r="J49" s="56">
        <f t="shared" ref="J49:M49" si="17">J189</f>
        <v>-156511.94033621153</v>
      </c>
      <c r="K49" s="56">
        <f t="shared" si="17"/>
        <v>-201812.31596986673</v>
      </c>
      <c r="L49" s="56">
        <f t="shared" si="17"/>
        <v>-248840.9609574106</v>
      </c>
      <c r="M49" s="56">
        <f t="shared" si="17"/>
        <v>-293633.22870982112</v>
      </c>
    </row>
    <row r="50" spans="2:13" s="47" customFormat="1" hidden="1" outlineLevel="1">
      <c r="B50" s="31"/>
      <c r="C50" s="31" t="s">
        <v>78</v>
      </c>
      <c r="D50" s="31"/>
      <c r="E50" s="31"/>
      <c r="F50" s="31"/>
      <c r="G50" s="68">
        <f>G45+G48+G49</f>
        <v>-99838</v>
      </c>
      <c r="H50" s="68">
        <f>H45+H48+H49</f>
        <v>-61015</v>
      </c>
      <c r="I50" s="40">
        <f t="shared" ref="I50:M50" si="18">I45+I48+I49</f>
        <v>-43490.663613995799</v>
      </c>
      <c r="J50" s="40">
        <f t="shared" si="18"/>
        <v>5486.358766418125</v>
      </c>
      <c r="K50" s="40">
        <f t="shared" si="18"/>
        <v>90151.342046635255</v>
      </c>
      <c r="L50" s="40">
        <f t="shared" si="18"/>
        <v>182865.07182619048</v>
      </c>
      <c r="M50" s="40">
        <f t="shared" si="18"/>
        <v>276219.21975351195</v>
      </c>
    </row>
    <row r="51" spans="2:13" hidden="1" outlineLevel="1">
      <c r="B51" s="24"/>
      <c r="C51" s="24"/>
      <c r="D51" s="24"/>
      <c r="E51" s="24"/>
      <c r="F51" s="24"/>
      <c r="G51" s="37"/>
      <c r="H51" s="37"/>
      <c r="I51" s="24"/>
      <c r="J51" s="24"/>
      <c r="K51" s="24"/>
      <c r="L51" s="24"/>
      <c r="M51" s="24"/>
    </row>
    <row r="52" spans="2:13" hidden="1" outlineLevel="1">
      <c r="B52" s="24"/>
      <c r="C52" s="24" t="s">
        <v>19</v>
      </c>
      <c r="D52" s="24"/>
      <c r="E52" s="24"/>
      <c r="F52" s="45"/>
      <c r="G52" s="46">
        <v>-49846</v>
      </c>
      <c r="H52" s="46">
        <v>-56724</v>
      </c>
      <c r="I52" s="56">
        <f ca="1">I222*-1</f>
        <v>-54684.472597568696</v>
      </c>
      <c r="J52" s="56">
        <f t="shared" ref="J52:M52" ca="1" si="19">J222*-1</f>
        <v>-58281.713370993253</v>
      </c>
      <c r="K52" s="56">
        <f t="shared" ca="1" si="19"/>
        <v>-61994.155460383867</v>
      </c>
      <c r="L52" s="56">
        <f t="shared" ca="1" si="19"/>
        <v>-65472.857676620311</v>
      </c>
      <c r="M52" s="56">
        <f t="shared" ca="1" si="19"/>
        <v>-68317.149754639468</v>
      </c>
    </row>
    <row r="53" spans="2:13" s="47" customFormat="1" hidden="1" outlineLevel="1">
      <c r="B53" s="31"/>
      <c r="C53" s="31" t="s">
        <v>79</v>
      </c>
      <c r="D53" s="31"/>
      <c r="E53" s="31"/>
      <c r="F53" s="67"/>
      <c r="G53" s="68">
        <f>G50+G52</f>
        <v>-149684</v>
      </c>
      <c r="H53" s="68">
        <f>H50+H52</f>
        <v>-117739</v>
      </c>
      <c r="I53" s="40">
        <f ca="1">I50+I52</f>
        <v>-98175.136211564502</v>
      </c>
      <c r="J53" s="40">
        <f t="shared" ref="J53:M53" ca="1" si="20">J50+J52</f>
        <v>-52795.354604575128</v>
      </c>
      <c r="K53" s="40">
        <f t="shared" ca="1" si="20"/>
        <v>28157.186586251388</v>
      </c>
      <c r="L53" s="40">
        <f t="shared" ca="1" si="20"/>
        <v>117392.21414957018</v>
      </c>
      <c r="M53" s="40">
        <f t="shared" ca="1" si="20"/>
        <v>207902.06999887247</v>
      </c>
    </row>
    <row r="54" spans="2:13" hidden="1" outlineLevel="1">
      <c r="B54" s="24"/>
      <c r="C54" s="24"/>
      <c r="D54" s="24"/>
      <c r="E54" s="24"/>
      <c r="F54" s="45"/>
      <c r="G54" s="29"/>
      <c r="H54" s="29"/>
      <c r="I54" s="30"/>
      <c r="J54" s="30"/>
      <c r="K54" s="30"/>
      <c r="L54" s="30"/>
      <c r="M54" s="30"/>
    </row>
    <row r="55" spans="2:13" hidden="1" outlineLevel="1">
      <c r="B55" s="24"/>
      <c r="C55" s="22" t="s">
        <v>13</v>
      </c>
      <c r="D55" s="22"/>
      <c r="E55" s="22"/>
      <c r="F55" s="45"/>
      <c r="G55" s="29"/>
      <c r="H55" s="29"/>
      <c r="I55" s="30"/>
      <c r="J55" s="30"/>
      <c r="K55" s="30"/>
      <c r="L55" s="30"/>
      <c r="M55" s="30"/>
    </row>
    <row r="56" spans="2:13" hidden="1" outlineLevel="1">
      <c r="B56" s="24"/>
      <c r="C56" s="24" t="s">
        <v>20</v>
      </c>
      <c r="D56" s="24"/>
      <c r="E56" s="24"/>
      <c r="F56" s="45"/>
      <c r="G56" s="29">
        <v>3085</v>
      </c>
      <c r="H56" s="29">
        <v>5553</v>
      </c>
      <c r="I56" s="32">
        <f ca="1">I341</f>
        <v>-1251.4814730616881</v>
      </c>
      <c r="J56" s="32">
        <f t="shared" ref="J56:M56" ca="1" si="21">J341</f>
        <v>-3833.6665301539151</v>
      </c>
      <c r="K56" s="32">
        <f t="shared" ca="1" si="21"/>
        <v>-2642.2222764997205</v>
      </c>
      <c r="L56" s="32">
        <f t="shared" ca="1" si="21"/>
        <v>3223.0434935221638</v>
      </c>
      <c r="M56" s="32">
        <f t="shared" ca="1" si="21"/>
        <v>14167.868359244923</v>
      </c>
    </row>
    <row r="57" spans="2:13" hidden="1" outlineLevel="1">
      <c r="B57" s="24"/>
      <c r="C57" s="24" t="s">
        <v>21</v>
      </c>
      <c r="D57" s="24"/>
      <c r="E57" s="24"/>
      <c r="F57" s="45"/>
      <c r="G57" s="46">
        <v>-3492</v>
      </c>
      <c r="H57" s="46">
        <v>-11323</v>
      </c>
      <c r="I57" s="56">
        <f>I241*-1</f>
        <v>-11323</v>
      </c>
      <c r="J57" s="56">
        <f t="shared" ref="J57:M57" si="22">J241*-1</f>
        <v>-11323</v>
      </c>
      <c r="K57" s="56">
        <f t="shared" si="22"/>
        <v>-11323</v>
      </c>
      <c r="L57" s="56">
        <f t="shared" si="22"/>
        <v>-11323</v>
      </c>
      <c r="M57" s="56">
        <f t="shared" si="22"/>
        <v>-11323</v>
      </c>
    </row>
    <row r="58" spans="2:13" s="47" customFormat="1" hidden="1" outlineLevel="1">
      <c r="B58" s="31"/>
      <c r="C58" s="31" t="s">
        <v>22</v>
      </c>
      <c r="D58" s="31"/>
      <c r="E58" s="31"/>
      <c r="F58" s="67"/>
      <c r="G58" s="68">
        <f>SUM(G56:G57)</f>
        <v>-407</v>
      </c>
      <c r="H58" s="68">
        <f>SUM(H56:H57)</f>
        <v>-5770</v>
      </c>
      <c r="I58" s="41">
        <f t="shared" ref="I58:M58" ca="1" si="23">SUM(I56:I57)</f>
        <v>-12574.481473061689</v>
      </c>
      <c r="J58" s="41">
        <f t="shared" ca="1" si="23"/>
        <v>-15156.666530153914</v>
      </c>
      <c r="K58" s="41">
        <f t="shared" ca="1" si="23"/>
        <v>-13965.22227649972</v>
      </c>
      <c r="L58" s="41">
        <f t="shared" ca="1" si="23"/>
        <v>-8099.9565064778362</v>
      </c>
      <c r="M58" s="41">
        <f t="shared" ca="1" si="23"/>
        <v>2844.8683592449233</v>
      </c>
    </row>
    <row r="59" spans="2:13" hidden="1" outlineLevel="1">
      <c r="B59" s="24"/>
      <c r="D59" s="24"/>
      <c r="E59" s="24"/>
      <c r="F59" s="24"/>
      <c r="G59" s="37"/>
      <c r="H59" s="37"/>
      <c r="I59" s="93"/>
      <c r="J59" s="93"/>
      <c r="K59" s="93"/>
      <c r="L59" s="93"/>
      <c r="M59" s="93"/>
    </row>
    <row r="60" spans="2:13" s="47" customFormat="1" hidden="1" outlineLevel="1">
      <c r="B60" s="31"/>
      <c r="C60" s="31" t="s">
        <v>86</v>
      </c>
      <c r="D60" s="31"/>
      <c r="E60" s="31"/>
      <c r="F60" s="67"/>
      <c r="G60" s="68">
        <f>G53+G58</f>
        <v>-150091</v>
      </c>
      <c r="H60" s="68">
        <f>H53+H58</f>
        <v>-123509</v>
      </c>
      <c r="I60" s="41">
        <f ca="1">I53+I58</f>
        <v>-110749.6176846262</v>
      </c>
      <c r="J60" s="41">
        <f t="shared" ref="J60:M60" ca="1" si="24">J53+J58</f>
        <v>-67952.021134729046</v>
      </c>
      <c r="K60" s="41">
        <f t="shared" ca="1" si="24"/>
        <v>14191.964309751667</v>
      </c>
      <c r="L60" s="41">
        <f t="shared" ca="1" si="24"/>
        <v>109292.25764309234</v>
      </c>
      <c r="M60" s="41">
        <f t="shared" ca="1" si="24"/>
        <v>210746.93835811739</v>
      </c>
    </row>
    <row r="61" spans="2:13" hidden="1" outlineLevel="1">
      <c r="B61" s="24"/>
      <c r="C61" s="31"/>
      <c r="D61" s="31"/>
      <c r="E61" s="31"/>
      <c r="F61" s="45"/>
      <c r="G61" s="29"/>
      <c r="H61" s="29"/>
      <c r="I61" s="93"/>
      <c r="J61" s="93"/>
      <c r="K61" s="93"/>
      <c r="L61" s="93"/>
      <c r="M61" s="93"/>
    </row>
    <row r="62" spans="2:13" hidden="1" outlineLevel="1">
      <c r="B62" s="24"/>
      <c r="C62" s="24" t="s">
        <v>23</v>
      </c>
      <c r="D62" s="24"/>
      <c r="E62" s="24"/>
      <c r="F62" s="45"/>
      <c r="G62" s="29">
        <v>11518</v>
      </c>
      <c r="H62" s="29">
        <v>-410</v>
      </c>
      <c r="I62" s="56">
        <f ca="1">I60*Inputs!$E$42</f>
        <v>-22814.421243032994</v>
      </c>
      <c r="J62" s="56">
        <f ca="1">J60*Inputs!$E$42</f>
        <v>-13998.116353754183</v>
      </c>
      <c r="K62" s="56">
        <f ca="1">K60*Inputs!$E$42</f>
        <v>2923.5446478088434</v>
      </c>
      <c r="L62" s="56">
        <f ca="1">L60*Inputs!$E$42</f>
        <v>22514.20507447702</v>
      </c>
      <c r="M62" s="56">
        <f ca="1">M60*Inputs!$E$42</f>
        <v>43413.869301772182</v>
      </c>
    </row>
    <row r="63" spans="2:13" s="47" customFormat="1" ht="17.25" hidden="1" outlineLevel="1" thickBot="1">
      <c r="B63" s="31"/>
      <c r="C63" s="31" t="s">
        <v>80</v>
      </c>
      <c r="D63" s="31"/>
      <c r="E63" s="31"/>
      <c r="F63" s="31"/>
      <c r="G63" s="81">
        <f>G53+G58+G62</f>
        <v>-138573</v>
      </c>
      <c r="H63" s="81">
        <f>H53+H58+H62</f>
        <v>-123919</v>
      </c>
      <c r="I63" s="95">
        <f ca="1">I53+I58+I62</f>
        <v>-133564.03892765919</v>
      </c>
      <c r="J63" s="95">
        <f t="shared" ref="J63:M63" ca="1" si="25">J53+J58+J62</f>
        <v>-81950.137488483233</v>
      </c>
      <c r="K63" s="95">
        <f t="shared" ca="1" si="25"/>
        <v>17115.508957560509</v>
      </c>
      <c r="L63" s="95">
        <f t="shared" ca="1" si="25"/>
        <v>131806.46271756935</v>
      </c>
      <c r="M63" s="95">
        <f t="shared" ca="1" si="25"/>
        <v>254160.80765988957</v>
      </c>
    </row>
    <row r="64" spans="2:13" ht="17.25" hidden="1" outlineLevel="1" thickTop="1">
      <c r="B64" s="24"/>
      <c r="G64" s="33"/>
      <c r="H64" s="33"/>
      <c r="I64" s="33"/>
      <c r="K64" s="33"/>
    </row>
    <row r="65" spans="1:13" collapsed="1">
      <c r="B65" s="24"/>
      <c r="G65" s="33"/>
      <c r="H65" s="33"/>
    </row>
    <row r="66" spans="1:13" ht="22.5">
      <c r="A66" s="12" t="s">
        <v>74</v>
      </c>
      <c r="B66" s="13" t="s">
        <v>82</v>
      </c>
      <c r="C66" s="34"/>
      <c r="D66" s="34"/>
      <c r="E66" s="34"/>
      <c r="F66" s="15"/>
      <c r="G66" s="35"/>
      <c r="H66" s="35"/>
      <c r="I66" s="25"/>
      <c r="J66" s="25"/>
      <c r="K66" s="25"/>
      <c r="L66" s="25"/>
      <c r="M66" s="25"/>
    </row>
    <row r="67" spans="1:13" hidden="1" outlineLevel="1">
      <c r="B67" s="24"/>
      <c r="C67" s="24"/>
      <c r="D67" s="24"/>
      <c r="E67" s="24"/>
      <c r="G67" s="33"/>
      <c r="H67" s="33"/>
    </row>
    <row r="68" spans="1:13" ht="17.25" hidden="1" outlineLevel="1" thickBot="1">
      <c r="B68" s="24"/>
      <c r="C68" s="19" t="s">
        <v>9</v>
      </c>
      <c r="D68" s="19"/>
      <c r="E68" s="19"/>
      <c r="G68" s="60" t="s">
        <v>24</v>
      </c>
      <c r="H68" s="60" t="s">
        <v>25</v>
      </c>
      <c r="I68" s="60" t="s">
        <v>26</v>
      </c>
      <c r="J68" s="60" t="s">
        <v>27</v>
      </c>
      <c r="K68" s="60" t="s">
        <v>28</v>
      </c>
      <c r="L68" s="60" t="s">
        <v>29</v>
      </c>
      <c r="M68" s="60" t="s">
        <v>30</v>
      </c>
    </row>
    <row r="69" spans="1:13" hidden="1" outlineLevel="1">
      <c r="B69" s="24"/>
      <c r="C69" s="24"/>
      <c r="D69" s="24"/>
      <c r="E69" s="24"/>
      <c r="G69" s="33"/>
      <c r="H69" s="33"/>
    </row>
    <row r="70" spans="1:13" hidden="1" outlineLevel="1">
      <c r="B70" s="24"/>
      <c r="C70" s="22" t="s">
        <v>31</v>
      </c>
      <c r="D70" s="37"/>
      <c r="E70" s="37"/>
      <c r="G70" s="33"/>
      <c r="H70" s="33"/>
    </row>
    <row r="71" spans="1:13" hidden="1" outlineLevel="1">
      <c r="B71" s="24"/>
      <c r="C71" s="37"/>
      <c r="D71" s="22" t="s">
        <v>32</v>
      </c>
      <c r="E71" s="22"/>
      <c r="G71" s="33"/>
      <c r="H71" s="33"/>
      <c r="I71" s="33"/>
      <c r="J71" s="33"/>
      <c r="K71" s="33"/>
      <c r="L71" s="33"/>
      <c r="M71" s="33"/>
    </row>
    <row r="72" spans="1:13" hidden="1" outlineLevel="1">
      <c r="B72" s="24"/>
      <c r="C72" s="24"/>
      <c r="D72" s="31" t="s">
        <v>33</v>
      </c>
      <c r="E72" s="31"/>
      <c r="G72" s="33"/>
      <c r="H72" s="33"/>
      <c r="I72" s="33"/>
    </row>
    <row r="73" spans="1:13" hidden="1" outlineLevel="1">
      <c r="B73" s="24"/>
      <c r="D73" s="24" t="s">
        <v>33</v>
      </c>
      <c r="E73" s="24"/>
      <c r="G73" s="29">
        <v>29663</v>
      </c>
      <c r="H73" s="29">
        <v>60118</v>
      </c>
      <c r="I73" s="32">
        <f>I209</f>
        <v>88334.110520975402</v>
      </c>
      <c r="J73" s="32">
        <f t="shared" ref="J73:M73" si="26">J209</f>
        <v>120090.91013485768</v>
      </c>
      <c r="K73" s="32">
        <f t="shared" si="26"/>
        <v>152943.41372071428</v>
      </c>
      <c r="L73" s="32">
        <f t="shared" si="26"/>
        <v>183745.54180234135</v>
      </c>
      <c r="M73" s="32">
        <f t="shared" si="26"/>
        <v>208886.18738901292</v>
      </c>
    </row>
    <row r="74" spans="1:13" hidden="1" outlineLevel="1">
      <c r="D74" s="24" t="s">
        <v>34</v>
      </c>
      <c r="E74" s="24"/>
      <c r="G74" s="29">
        <v>20966</v>
      </c>
      <c r="H74" s="29">
        <v>21857</v>
      </c>
      <c r="I74" s="21">
        <f ca="1">I314</f>
        <v>44671.421243032994</v>
      </c>
      <c r="J74" s="21">
        <f t="shared" ref="J74:M74" ca="1" si="27">J314</f>
        <v>58669.537596787181</v>
      </c>
      <c r="K74" s="21">
        <f t="shared" ca="1" si="27"/>
        <v>55745.992948978339</v>
      </c>
      <c r="L74" s="21">
        <f t="shared" ca="1" si="27"/>
        <v>33231.787874501315</v>
      </c>
      <c r="M74" s="21">
        <f t="shared" ca="1" si="27"/>
        <v>-10182.081427270867</v>
      </c>
    </row>
    <row r="75" spans="1:13" hidden="1" outlineLevel="1">
      <c r="D75" s="24" t="s">
        <v>35</v>
      </c>
      <c r="E75" s="24"/>
      <c r="G75" s="46">
        <v>363915</v>
      </c>
      <c r="H75" s="46">
        <v>319656</v>
      </c>
      <c r="I75" s="56">
        <f>I203</f>
        <v>275397</v>
      </c>
      <c r="J75" s="56">
        <f t="shared" ref="J75:M75" si="28">J203</f>
        <v>231138</v>
      </c>
      <c r="K75" s="56">
        <f t="shared" si="28"/>
        <v>186879</v>
      </c>
      <c r="L75" s="56">
        <f t="shared" si="28"/>
        <v>142620</v>
      </c>
      <c r="M75" s="56">
        <f t="shared" si="28"/>
        <v>98361</v>
      </c>
    </row>
    <row r="76" spans="1:13" s="47" customFormat="1" hidden="1" outlineLevel="1">
      <c r="D76" s="31" t="s">
        <v>36</v>
      </c>
      <c r="E76" s="31"/>
      <c r="F76" s="48"/>
      <c r="G76" s="68">
        <f>SUM(G73:G75)</f>
        <v>414544</v>
      </c>
      <c r="H76" s="68">
        <f>SUM(H73:H75)</f>
        <v>401631</v>
      </c>
      <c r="I76" s="41">
        <f ca="1">SUM(I73:I75)</f>
        <v>408402.5317640084</v>
      </c>
      <c r="J76" s="41">
        <f t="shared" ref="J76:M76" ca="1" si="29">SUM(J73:J75)</f>
        <v>409898.44773164485</v>
      </c>
      <c r="K76" s="41">
        <f t="shared" ca="1" si="29"/>
        <v>395568.4066696926</v>
      </c>
      <c r="L76" s="41">
        <f t="shared" ca="1" si="29"/>
        <v>359597.32967684267</v>
      </c>
      <c r="M76" s="41">
        <f t="shared" ca="1" si="29"/>
        <v>297065.10596174205</v>
      </c>
    </row>
    <row r="77" spans="1:13" hidden="1" outlineLevel="1">
      <c r="D77" s="24"/>
      <c r="E77" s="24"/>
      <c r="G77" s="69"/>
      <c r="H77" s="69"/>
      <c r="I77" s="32"/>
      <c r="J77" s="32"/>
      <c r="K77" s="32"/>
      <c r="L77" s="32"/>
      <c r="M77" s="32"/>
    </row>
    <row r="78" spans="1:13" hidden="1" outlineLevel="1">
      <c r="B78" s="24"/>
      <c r="C78" s="24"/>
      <c r="D78" s="31" t="s">
        <v>37</v>
      </c>
      <c r="E78" s="31"/>
      <c r="G78" s="69"/>
      <c r="H78" s="69"/>
      <c r="I78" s="32"/>
      <c r="J78" s="32"/>
      <c r="K78" s="32"/>
      <c r="L78" s="32"/>
      <c r="M78" s="32"/>
    </row>
    <row r="79" spans="1:13" hidden="1" outlineLevel="1">
      <c r="B79" s="24"/>
      <c r="C79" s="24"/>
      <c r="D79" s="24" t="s">
        <v>38</v>
      </c>
      <c r="E79" s="24"/>
      <c r="G79" s="46">
        <v>6349</v>
      </c>
      <c r="H79" s="46">
        <v>5745</v>
      </c>
      <c r="I79" s="56">
        <f ca="1">I215</f>
        <v>6466.4285714285716</v>
      </c>
      <c r="J79" s="56">
        <f t="shared" ref="J79:M79" ca="1" si="30">J215</f>
        <v>7119.149659863946</v>
      </c>
      <c r="K79" s="56">
        <f t="shared" ca="1" si="30"/>
        <v>7709.7068351149992</v>
      </c>
      <c r="L79" s="56">
        <f t="shared" ca="1" si="30"/>
        <v>8244.0204698659509</v>
      </c>
      <c r="M79" s="56">
        <f t="shared" ca="1" si="30"/>
        <v>8727.4470917834788</v>
      </c>
    </row>
    <row r="80" spans="1:13" s="47" customFormat="1" hidden="1" outlineLevel="1">
      <c r="B80" s="31"/>
      <c r="C80" s="31"/>
      <c r="D80" s="31" t="s">
        <v>39</v>
      </c>
      <c r="E80" s="31"/>
      <c r="F80" s="48"/>
      <c r="G80" s="68">
        <f>SUM(G79)</f>
        <v>6349</v>
      </c>
      <c r="H80" s="68">
        <f>SUM(H79)</f>
        <v>5745</v>
      </c>
      <c r="I80" s="41">
        <f ca="1">SUM(I79)</f>
        <v>6466.4285714285716</v>
      </c>
      <c r="J80" s="41">
        <f t="shared" ref="J80:M80" ca="1" si="31">SUM(J79)</f>
        <v>7119.149659863946</v>
      </c>
      <c r="K80" s="41">
        <f t="shared" ca="1" si="31"/>
        <v>7709.7068351149992</v>
      </c>
      <c r="L80" s="41">
        <f t="shared" ca="1" si="31"/>
        <v>8244.0204698659509</v>
      </c>
      <c r="M80" s="41">
        <f t="shared" ca="1" si="31"/>
        <v>8727.4470917834788</v>
      </c>
    </row>
    <row r="81" spans="2:13" hidden="1" outlineLevel="1">
      <c r="B81" s="24"/>
      <c r="C81" s="24"/>
      <c r="D81" s="24"/>
      <c r="E81" s="24"/>
      <c r="G81" s="69"/>
      <c r="H81" s="69"/>
      <c r="I81" s="32"/>
      <c r="J81" s="32"/>
      <c r="K81" s="32"/>
      <c r="L81" s="32"/>
      <c r="M81" s="32"/>
    </row>
    <row r="82" spans="2:13" hidden="1" outlineLevel="1">
      <c r="B82" s="24"/>
      <c r="C82" s="24"/>
      <c r="D82" s="22" t="s">
        <v>40</v>
      </c>
      <c r="E82" s="22"/>
      <c r="G82" s="69"/>
      <c r="H82" s="69"/>
      <c r="I82" s="32"/>
      <c r="J82" s="32"/>
      <c r="K82" s="32"/>
      <c r="L82" s="32"/>
      <c r="M82" s="32"/>
    </row>
    <row r="83" spans="2:13" hidden="1" outlineLevel="1">
      <c r="B83" s="24"/>
      <c r="C83" s="24"/>
      <c r="D83" s="24" t="s">
        <v>41</v>
      </c>
      <c r="E83" s="24"/>
      <c r="G83" s="29">
        <v>11</v>
      </c>
      <c r="H83" s="38">
        <v>0</v>
      </c>
      <c r="I83" s="32">
        <f>I293</f>
        <v>0</v>
      </c>
      <c r="J83" s="32">
        <f t="shared" ref="J83:M83" si="32">J293</f>
        <v>0</v>
      </c>
      <c r="K83" s="32">
        <f t="shared" si="32"/>
        <v>0</v>
      </c>
      <c r="L83" s="32">
        <f t="shared" si="32"/>
        <v>0</v>
      </c>
      <c r="M83" s="32">
        <f t="shared" si="32"/>
        <v>0</v>
      </c>
    </row>
    <row r="84" spans="2:13" hidden="1" outlineLevel="1">
      <c r="B84" s="24"/>
      <c r="C84" s="24"/>
      <c r="D84" s="24" t="s">
        <v>42</v>
      </c>
      <c r="E84" s="24"/>
      <c r="G84" s="46">
        <v>4007</v>
      </c>
      <c r="H84" s="46">
        <v>13872</v>
      </c>
      <c r="I84" s="56">
        <f>I29*I181</f>
        <v>21194.314473053972</v>
      </c>
      <c r="J84" s="56">
        <f t="shared" ref="J84:M84" si="33">J29*J181</f>
        <v>28724.484159710759</v>
      </c>
      <c r="K84" s="56">
        <f t="shared" si="33"/>
        <v>37038.41803288769</v>
      </c>
      <c r="L84" s="56">
        <f t="shared" si="33"/>
        <v>45669.539499374419</v>
      </c>
      <c r="M84" s="56">
        <f t="shared" si="33"/>
        <v>53890.220827378864</v>
      </c>
    </row>
    <row r="85" spans="2:13" s="47" customFormat="1" hidden="1" outlineLevel="1">
      <c r="B85" s="31"/>
      <c r="C85" s="31"/>
      <c r="D85" s="31" t="s">
        <v>43</v>
      </c>
      <c r="E85" s="31"/>
      <c r="F85" s="48"/>
      <c r="G85" s="68">
        <f>SUM(G83:G84)</f>
        <v>4018</v>
      </c>
      <c r="H85" s="68">
        <f>SUM(H83:H84)</f>
        <v>13872</v>
      </c>
      <c r="I85" s="41">
        <f>SUM(I83:I84)</f>
        <v>21194.314473053972</v>
      </c>
      <c r="J85" s="41">
        <f t="shared" ref="J85:M85" si="34">SUM(J83:J84)</f>
        <v>28724.484159710759</v>
      </c>
      <c r="K85" s="41">
        <f t="shared" si="34"/>
        <v>37038.41803288769</v>
      </c>
      <c r="L85" s="41">
        <f t="shared" si="34"/>
        <v>45669.539499374419</v>
      </c>
      <c r="M85" s="41">
        <f t="shared" si="34"/>
        <v>53890.220827378864</v>
      </c>
    </row>
    <row r="86" spans="2:13" s="47" customFormat="1" hidden="1" outlineLevel="1">
      <c r="B86" s="31"/>
      <c r="C86" s="31"/>
      <c r="D86" s="31"/>
      <c r="E86" s="31"/>
      <c r="F86" s="48"/>
      <c r="G86" s="68"/>
      <c r="H86" s="68"/>
      <c r="I86" s="41"/>
      <c r="J86" s="41"/>
      <c r="K86" s="41"/>
      <c r="L86" s="41"/>
      <c r="M86" s="41"/>
    </row>
    <row r="87" spans="2:13" hidden="1" outlineLevel="1">
      <c r="B87" s="24"/>
      <c r="C87" s="24"/>
      <c r="D87" s="24"/>
      <c r="E87" s="24"/>
      <c r="G87" s="46"/>
      <c r="H87" s="46"/>
      <c r="I87" s="56"/>
      <c r="J87" s="56"/>
      <c r="K87" s="56"/>
      <c r="L87" s="56"/>
      <c r="M87" s="56"/>
    </row>
    <row r="88" spans="2:13" s="47" customFormat="1" hidden="1" outlineLevel="1">
      <c r="B88" s="31"/>
      <c r="C88" s="31"/>
      <c r="D88" s="31" t="s">
        <v>52</v>
      </c>
      <c r="E88" s="31"/>
      <c r="F88" s="48"/>
      <c r="G88" s="68">
        <f>G76+G80+G85</f>
        <v>424911</v>
      </c>
      <c r="H88" s="68">
        <f>H76+H80+H85</f>
        <v>421248</v>
      </c>
      <c r="I88" s="41">
        <f ca="1">I76+I80+I85</f>
        <v>436063.27480849094</v>
      </c>
      <c r="J88" s="41">
        <f t="shared" ref="J88:L88" ca="1" si="35">J76+J80+J85</f>
        <v>445742.08155121957</v>
      </c>
      <c r="K88" s="41">
        <f t="shared" ca="1" si="35"/>
        <v>440316.53153769526</v>
      </c>
      <c r="L88" s="41">
        <f t="shared" ca="1" si="35"/>
        <v>413510.889646083</v>
      </c>
      <c r="M88" s="41">
        <f ca="1">M76+M80+M85</f>
        <v>359682.77388090437</v>
      </c>
    </row>
    <row r="89" spans="2:13" hidden="1" outlineLevel="1">
      <c r="B89" s="24"/>
      <c r="C89" s="24"/>
      <c r="G89" s="69"/>
      <c r="H89" s="69"/>
      <c r="I89" s="32"/>
      <c r="J89" s="32"/>
      <c r="K89" s="32"/>
      <c r="L89" s="32"/>
      <c r="M89" s="32"/>
    </row>
    <row r="90" spans="2:13" hidden="1" outlineLevel="1">
      <c r="B90" s="24"/>
      <c r="C90" s="24"/>
      <c r="D90" s="22" t="s">
        <v>44</v>
      </c>
      <c r="E90" s="22"/>
      <c r="G90" s="69"/>
      <c r="H90" s="69"/>
      <c r="I90" s="32"/>
      <c r="J90" s="32"/>
      <c r="K90" s="32"/>
      <c r="L90" s="32"/>
      <c r="M90" s="32"/>
    </row>
    <row r="91" spans="2:13" hidden="1" outlineLevel="1">
      <c r="B91" s="24"/>
      <c r="C91" s="24"/>
      <c r="D91" s="31" t="s">
        <v>45</v>
      </c>
      <c r="E91" s="31"/>
      <c r="G91" s="29"/>
      <c r="H91" s="29"/>
      <c r="I91" s="32"/>
      <c r="J91" s="32"/>
      <c r="K91" s="32"/>
      <c r="L91" s="32"/>
      <c r="M91" s="32"/>
    </row>
    <row r="92" spans="2:13" hidden="1" outlineLevel="1">
      <c r="B92" s="24"/>
      <c r="C92" s="24"/>
      <c r="D92" s="24" t="s">
        <v>197</v>
      </c>
      <c r="E92" s="24"/>
      <c r="G92" s="29">
        <v>61729</v>
      </c>
      <c r="H92" s="29">
        <v>92654</v>
      </c>
      <c r="I92" s="32">
        <f>I255</f>
        <v>114377.58246159517</v>
      </c>
      <c r="J92" s="32">
        <f t="shared" ref="J92:M92" si="36">J255</f>
        <v>159515.5852722475</v>
      </c>
      <c r="K92" s="32">
        <f t="shared" si="36"/>
        <v>210145.43858770982</v>
      </c>
      <c r="L92" s="32">
        <f t="shared" si="36"/>
        <v>264293.38473244989</v>
      </c>
      <c r="M92" s="32">
        <f t="shared" si="36"/>
        <v>318143.34224908322</v>
      </c>
    </row>
    <row r="93" spans="2:13" hidden="1" outlineLevel="1">
      <c r="B93" s="24"/>
      <c r="C93" s="24"/>
      <c r="D93" s="24" t="s">
        <v>46</v>
      </c>
      <c r="E93" s="24"/>
      <c r="G93" s="29">
        <v>8427</v>
      </c>
      <c r="H93" s="29">
        <v>14599</v>
      </c>
      <c r="I93" s="32">
        <f>I260</f>
        <v>17005.440727796584</v>
      </c>
      <c r="J93" s="32">
        <f t="shared" ref="J93:M93" si="37">J260</f>
        <v>23716.472862309482</v>
      </c>
      <c r="K93" s="32">
        <f t="shared" si="37"/>
        <v>31244.022851418784</v>
      </c>
      <c r="L93" s="32">
        <f t="shared" si="37"/>
        <v>39294.636169858895</v>
      </c>
      <c r="M93" s="32">
        <f t="shared" si="37"/>
        <v>47300.945107634812</v>
      </c>
    </row>
    <row r="94" spans="2:13" hidden="1" outlineLevel="1">
      <c r="B94" s="24"/>
      <c r="C94" s="24"/>
      <c r="D94" s="24" t="s">
        <v>47</v>
      </c>
      <c r="E94" s="24"/>
      <c r="G94" s="46">
        <v>8280</v>
      </c>
      <c r="H94" s="46">
        <v>10323</v>
      </c>
      <c r="I94" s="56">
        <f>I31*I181</f>
        <v>14986.56814201905</v>
      </c>
      <c r="J94" s="56">
        <f t="shared" ref="J94:M94" si="38">J31*J181</f>
        <v>20311.175421651766</v>
      </c>
      <c r="K94" s="56">
        <f t="shared" si="38"/>
        <v>26189.98488619081</v>
      </c>
      <c r="L94" s="56">
        <f t="shared" si="38"/>
        <v>32293.078721285161</v>
      </c>
      <c r="M94" s="56">
        <f t="shared" si="38"/>
        <v>38105.949010276869</v>
      </c>
    </row>
    <row r="95" spans="2:13" s="47" customFormat="1" hidden="1" outlineLevel="1">
      <c r="B95" s="31"/>
      <c r="C95" s="31"/>
      <c r="D95" s="31" t="s">
        <v>48</v>
      </c>
      <c r="E95" s="31"/>
      <c r="F95" s="48"/>
      <c r="G95" s="68">
        <f>SUM(G92:G94)</f>
        <v>78436</v>
      </c>
      <c r="H95" s="68">
        <f>SUM(H92:H94)</f>
        <v>117576</v>
      </c>
      <c r="I95" s="41">
        <f>SUM(I92:I94)</f>
        <v>146369.5913314108</v>
      </c>
      <c r="J95" s="41">
        <f t="shared" ref="J95:L95" si="39">SUM(J92:J94)</f>
        <v>203543.23355620875</v>
      </c>
      <c r="K95" s="41">
        <f t="shared" si="39"/>
        <v>267579.44632531941</v>
      </c>
      <c r="L95" s="41">
        <f t="shared" si="39"/>
        <v>335881.09962359397</v>
      </c>
      <c r="M95" s="41">
        <f>SUM(M92:M94)</f>
        <v>403550.23636699491</v>
      </c>
    </row>
    <row r="96" spans="2:13" hidden="1" outlineLevel="1">
      <c r="B96" s="24"/>
      <c r="C96" s="24"/>
      <c r="D96" s="24"/>
      <c r="E96" s="24"/>
      <c r="G96" s="29"/>
      <c r="H96" s="29"/>
      <c r="I96" s="32"/>
      <c r="J96" s="32"/>
      <c r="K96" s="32"/>
      <c r="L96" s="32"/>
      <c r="M96" s="32"/>
    </row>
    <row r="97" spans="2:13" hidden="1" outlineLevel="1">
      <c r="B97" s="24"/>
      <c r="C97" s="24"/>
      <c r="D97" s="24" t="s">
        <v>49</v>
      </c>
      <c r="E97" s="24"/>
      <c r="G97" s="46">
        <v>43464</v>
      </c>
      <c r="H97" s="46">
        <v>71993</v>
      </c>
      <c r="I97" s="96">
        <f ca="1">I339</f>
        <v>-35756.61351604823</v>
      </c>
      <c r="J97" s="96">
        <f t="shared" ref="J97:M97" ca="1" si="40">J339</f>
        <v>-109533.329432969</v>
      </c>
      <c r="K97" s="96">
        <f t="shared" ca="1" si="40"/>
        <v>-75492.06504284915</v>
      </c>
      <c r="L97" s="96">
        <f t="shared" ca="1" si="40"/>
        <v>92086.956957776099</v>
      </c>
      <c r="M97" s="96">
        <f t="shared" ca="1" si="40"/>
        <v>404796.23883556918</v>
      </c>
    </row>
    <row r="98" spans="2:13" s="47" customFormat="1" hidden="1" outlineLevel="1">
      <c r="B98" s="31"/>
      <c r="C98" s="31"/>
      <c r="D98" s="31" t="s">
        <v>50</v>
      </c>
      <c r="E98" s="31"/>
      <c r="F98" s="48"/>
      <c r="G98" s="68">
        <f>G95+G97</f>
        <v>121900</v>
      </c>
      <c r="H98" s="68">
        <f>H95+H97</f>
        <v>189569</v>
      </c>
      <c r="I98" s="41">
        <f ca="1">I95+I97</f>
        <v>110612.97781536257</v>
      </c>
      <c r="J98" s="41">
        <f t="shared" ref="J98:L98" ca="1" si="41">J95+J97</f>
        <v>94009.904123239758</v>
      </c>
      <c r="K98" s="41">
        <f t="shared" ca="1" si="41"/>
        <v>192087.38128247025</v>
      </c>
      <c r="L98" s="41">
        <f t="shared" ca="1" si="41"/>
        <v>427968.05658137007</v>
      </c>
      <c r="M98" s="41">
        <f ca="1">M95+M97</f>
        <v>808346.47520256415</v>
      </c>
    </row>
    <row r="99" spans="2:13" s="47" customFormat="1" hidden="1" outlineLevel="1">
      <c r="B99" s="31"/>
      <c r="C99" s="31"/>
      <c r="D99" s="31"/>
      <c r="E99" s="31"/>
      <c r="F99" s="48"/>
      <c r="G99" s="68"/>
      <c r="H99" s="68"/>
      <c r="I99" s="41"/>
      <c r="J99" s="41"/>
      <c r="K99" s="41"/>
      <c r="L99" s="41"/>
      <c r="M99" s="41"/>
    </row>
    <row r="100" spans="2:13" hidden="1" outlineLevel="1">
      <c r="B100" s="24"/>
      <c r="C100" s="24"/>
      <c r="D100" s="24"/>
      <c r="E100" s="24"/>
      <c r="G100" s="29"/>
      <c r="H100" s="29"/>
      <c r="I100" s="32"/>
      <c r="J100" s="32"/>
      <c r="K100" s="32"/>
      <c r="L100" s="32"/>
      <c r="M100" s="32"/>
    </row>
    <row r="101" spans="2:13" s="47" customFormat="1" ht="17.25" hidden="1" outlineLevel="1" thickBot="1">
      <c r="B101" s="31"/>
      <c r="C101" s="31"/>
      <c r="D101" s="31" t="s">
        <v>51</v>
      </c>
      <c r="E101" s="31"/>
      <c r="F101" s="48"/>
      <c r="G101" s="81">
        <f>G98+G88</f>
        <v>546811</v>
      </c>
      <c r="H101" s="81">
        <f>H98+H88</f>
        <v>610817</v>
      </c>
      <c r="I101" s="80">
        <f ca="1">I98+I88</f>
        <v>546676.25262385351</v>
      </c>
      <c r="J101" s="80">
        <f t="shared" ref="J101:L101" ca="1" si="42">J98+J88</f>
        <v>539751.98567445937</v>
      </c>
      <c r="K101" s="80">
        <f t="shared" ca="1" si="42"/>
        <v>632403.91282016551</v>
      </c>
      <c r="L101" s="80">
        <f t="shared" ca="1" si="42"/>
        <v>841478.94622745307</v>
      </c>
      <c r="M101" s="80">
        <f ca="1">M98+M88</f>
        <v>1168029.2490834685</v>
      </c>
    </row>
    <row r="102" spans="2:13" ht="17.25" hidden="1" outlineLevel="1" thickTop="1">
      <c r="B102" s="24"/>
      <c r="C102" s="24"/>
      <c r="D102" s="31"/>
      <c r="E102" s="31"/>
      <c r="G102" s="40"/>
      <c r="H102" s="40"/>
      <c r="I102" s="30"/>
      <c r="J102" s="30"/>
      <c r="K102" s="30"/>
      <c r="L102" s="30"/>
      <c r="M102" s="30"/>
    </row>
    <row r="103" spans="2:13" hidden="1" outlineLevel="1">
      <c r="B103" s="24"/>
      <c r="C103" s="24"/>
      <c r="D103" s="24"/>
      <c r="E103" s="24"/>
      <c r="G103" s="41"/>
      <c r="H103" s="33"/>
    </row>
    <row r="104" spans="2:13" ht="17.25" hidden="1" outlineLevel="1" thickBot="1">
      <c r="B104" s="24"/>
      <c r="C104" s="19" t="s">
        <v>9</v>
      </c>
      <c r="D104" s="19"/>
      <c r="E104" s="19"/>
      <c r="G104" s="70" t="s">
        <v>24</v>
      </c>
      <c r="H104" s="70" t="s">
        <v>25</v>
      </c>
      <c r="I104" s="20" t="s">
        <v>26</v>
      </c>
      <c r="J104" s="20" t="s">
        <v>27</v>
      </c>
      <c r="K104" s="20" t="s">
        <v>28</v>
      </c>
      <c r="L104" s="20" t="s">
        <v>29</v>
      </c>
      <c r="M104" s="20" t="s">
        <v>30</v>
      </c>
    </row>
    <row r="105" spans="2:13" hidden="1" outlineLevel="1">
      <c r="B105" s="24"/>
      <c r="C105" s="24"/>
      <c r="D105" s="24"/>
      <c r="E105" s="24"/>
      <c r="G105" s="68"/>
      <c r="H105" s="69"/>
    </row>
    <row r="106" spans="2:13" hidden="1" outlineLevel="1">
      <c r="B106" s="24"/>
      <c r="C106" s="22" t="s">
        <v>53</v>
      </c>
      <c r="D106" s="24"/>
      <c r="E106" s="24"/>
      <c r="G106" s="69"/>
      <c r="H106" s="69"/>
    </row>
    <row r="107" spans="2:13" hidden="1" outlineLevel="1">
      <c r="B107" s="24"/>
      <c r="C107" s="24"/>
      <c r="D107" s="22" t="s">
        <v>64</v>
      </c>
      <c r="E107" s="22"/>
      <c r="G107" s="69"/>
      <c r="H107" s="69"/>
    </row>
    <row r="108" spans="2:13" hidden="1" outlineLevel="1">
      <c r="B108" s="24"/>
      <c r="C108" s="24"/>
      <c r="D108" s="31" t="s">
        <v>55</v>
      </c>
      <c r="E108" s="31"/>
      <c r="G108" s="69"/>
      <c r="H108" s="69"/>
    </row>
    <row r="109" spans="2:13" hidden="1" outlineLevel="1">
      <c r="B109" s="24"/>
      <c r="C109" s="24"/>
      <c r="D109" s="24" t="s">
        <v>54</v>
      </c>
      <c r="E109" s="24"/>
      <c r="G109" s="42">
        <v>0</v>
      </c>
      <c r="H109" s="42">
        <v>102930</v>
      </c>
      <c r="I109" s="56">
        <v>102930</v>
      </c>
      <c r="J109" s="56">
        <f t="shared" ref="J109:M109" si="43">I109</f>
        <v>102930</v>
      </c>
      <c r="K109" s="56">
        <f t="shared" si="43"/>
        <v>102930</v>
      </c>
      <c r="L109" s="56">
        <f t="shared" si="43"/>
        <v>102930</v>
      </c>
      <c r="M109" s="56">
        <f t="shared" si="43"/>
        <v>102930</v>
      </c>
    </row>
    <row r="110" spans="2:13" s="47" customFormat="1" hidden="1" outlineLevel="1">
      <c r="B110" s="31"/>
      <c r="C110" s="31"/>
      <c r="D110" s="31" t="s">
        <v>56</v>
      </c>
      <c r="E110" s="31"/>
      <c r="F110" s="48"/>
      <c r="G110" s="83">
        <f>SUM(G109)</f>
        <v>0</v>
      </c>
      <c r="H110" s="83">
        <f>SUM(H109)</f>
        <v>102930</v>
      </c>
      <c r="I110" s="84">
        <f t="shared" ref="I110:M110" si="44">SUM(I109)</f>
        <v>102930</v>
      </c>
      <c r="J110" s="84">
        <f t="shared" si="44"/>
        <v>102930</v>
      </c>
      <c r="K110" s="84">
        <f t="shared" si="44"/>
        <v>102930</v>
      </c>
      <c r="L110" s="84">
        <f t="shared" si="44"/>
        <v>102930</v>
      </c>
      <c r="M110" s="84">
        <f t="shared" si="44"/>
        <v>102930</v>
      </c>
    </row>
    <row r="111" spans="2:13" hidden="1" outlineLevel="1">
      <c r="B111" s="24"/>
      <c r="C111" s="24"/>
      <c r="D111" s="24"/>
      <c r="E111" s="24"/>
      <c r="G111" s="69"/>
      <c r="H111" s="69"/>
    </row>
    <row r="112" spans="2:13" hidden="1" outlineLevel="1">
      <c r="B112" s="24"/>
      <c r="C112" s="24"/>
      <c r="D112" s="31" t="s">
        <v>57</v>
      </c>
      <c r="E112" s="31"/>
      <c r="G112" s="69"/>
      <c r="H112" s="69"/>
    </row>
    <row r="113" spans="2:13" hidden="1" outlineLevel="1">
      <c r="B113" s="24"/>
      <c r="C113" s="24"/>
      <c r="D113" s="24" t="s">
        <v>58</v>
      </c>
      <c r="E113" s="24"/>
      <c r="G113" s="38">
        <v>12872</v>
      </c>
      <c r="H113" s="38">
        <v>14527</v>
      </c>
      <c r="I113" s="32">
        <f>I265</f>
        <v>19362.076678067177</v>
      </c>
      <c r="J113" s="32">
        <f t="shared" ref="J113:M113" si="45">J265</f>
        <v>23772.48106537187</v>
      </c>
      <c r="K113" s="32">
        <f t="shared" si="45"/>
        <v>27469.776715209795</v>
      </c>
      <c r="L113" s="32">
        <f t="shared" si="45"/>
        <v>31123.487545879656</v>
      </c>
      <c r="M113" s="32">
        <f t="shared" si="45"/>
        <v>34409.973291135291</v>
      </c>
    </row>
    <row r="114" spans="2:13" hidden="1" outlineLevel="1">
      <c r="B114" s="24"/>
      <c r="C114" s="24"/>
      <c r="D114" s="24" t="s">
        <v>59</v>
      </c>
      <c r="E114" s="24"/>
      <c r="G114" s="38">
        <v>20885</v>
      </c>
      <c r="H114" s="38">
        <v>27389</v>
      </c>
      <c r="I114" s="32">
        <f>I26*I188*-1</f>
        <v>35640.037375315966</v>
      </c>
      <c r="J114" s="32">
        <f t="shared" ref="J114:M114" si="46">J26*J188*-1</f>
        <v>42412.088522034937</v>
      </c>
      <c r="K114" s="32">
        <f t="shared" si="46"/>
        <v>47092.206854472279</v>
      </c>
      <c r="L114" s="32">
        <f t="shared" si="46"/>
        <v>51510.319833438953</v>
      </c>
      <c r="M114" s="32">
        <f t="shared" si="46"/>
        <v>55256.693294363737</v>
      </c>
    </row>
    <row r="115" spans="2:13" hidden="1" outlineLevel="1">
      <c r="B115" s="24"/>
      <c r="C115" s="24"/>
      <c r="D115" s="24" t="s">
        <v>60</v>
      </c>
      <c r="E115" s="24"/>
      <c r="G115" s="38">
        <v>18553</v>
      </c>
      <c r="H115" s="38">
        <v>41263</v>
      </c>
      <c r="I115" s="32">
        <f>I27*I190*-1</f>
        <v>54996.721275355259</v>
      </c>
      <c r="J115" s="32">
        <f t="shared" ref="J115:M115" si="47">J27*J190*-1</f>
        <v>67524.188490427448</v>
      </c>
      <c r="K115" s="32">
        <f t="shared" si="47"/>
        <v>78026.116651731383</v>
      </c>
      <c r="L115" s="32">
        <f t="shared" si="47"/>
        <v>88404.244964936472</v>
      </c>
      <c r="M115" s="32">
        <f t="shared" si="47"/>
        <v>97739.294273567531</v>
      </c>
    </row>
    <row r="116" spans="2:13" hidden="1" outlineLevel="1">
      <c r="B116" s="24"/>
      <c r="C116" s="24"/>
      <c r="D116" s="24" t="s">
        <v>61</v>
      </c>
      <c r="E116" s="24"/>
      <c r="G116" s="42">
        <v>46042</v>
      </c>
      <c r="H116" s="42">
        <v>99488</v>
      </c>
      <c r="I116" s="56">
        <f>I270</f>
        <v>144433.17749812955</v>
      </c>
      <c r="J116" s="56">
        <f t="shared" ref="J116:M116" si="48">J270</f>
        <v>195749.12528812274</v>
      </c>
      <c r="K116" s="56">
        <f t="shared" si="48"/>
        <v>252406.20133268926</v>
      </c>
      <c r="L116" s="56">
        <f t="shared" si="48"/>
        <v>311224.81989956583</v>
      </c>
      <c r="M116" s="56">
        <f t="shared" si="48"/>
        <v>367246.40658088011</v>
      </c>
    </row>
    <row r="117" spans="2:13" s="47" customFormat="1" hidden="1" outlineLevel="1">
      <c r="B117" s="31"/>
      <c r="C117" s="31"/>
      <c r="D117" s="31" t="s">
        <v>62</v>
      </c>
      <c r="E117" s="31"/>
      <c r="F117" s="48"/>
      <c r="G117" s="83">
        <f>SUM(G113:G116)</f>
        <v>98352</v>
      </c>
      <c r="H117" s="83">
        <f>SUM(H113:H116)</f>
        <v>182667</v>
      </c>
      <c r="I117" s="84">
        <f t="shared" ref="I117:M117" si="49">SUM(I113:I116)</f>
        <v>254432.01282686795</v>
      </c>
      <c r="J117" s="84">
        <f t="shared" si="49"/>
        <v>329457.88336595701</v>
      </c>
      <c r="K117" s="84">
        <f t="shared" si="49"/>
        <v>404994.30155410274</v>
      </c>
      <c r="L117" s="84">
        <f t="shared" si="49"/>
        <v>482262.87224382092</v>
      </c>
      <c r="M117" s="84">
        <f t="shared" si="49"/>
        <v>554652.36743994663</v>
      </c>
    </row>
    <row r="118" spans="2:13" hidden="1" outlineLevel="1">
      <c r="B118" s="24"/>
      <c r="C118" s="24"/>
      <c r="D118" s="24"/>
      <c r="E118" s="24"/>
      <c r="G118" s="42"/>
      <c r="H118" s="42"/>
      <c r="I118" s="87"/>
      <c r="J118" s="87"/>
      <c r="K118" s="87"/>
      <c r="L118" s="87"/>
      <c r="M118" s="87"/>
    </row>
    <row r="119" spans="2:13" s="47" customFormat="1" hidden="1" outlineLevel="1">
      <c r="B119" s="31"/>
      <c r="C119" s="31"/>
      <c r="D119" s="31" t="s">
        <v>63</v>
      </c>
      <c r="E119" s="31"/>
      <c r="F119" s="48"/>
      <c r="G119" s="83">
        <f>G110+G117</f>
        <v>98352</v>
      </c>
      <c r="H119" s="83">
        <f>H110+H117</f>
        <v>285597</v>
      </c>
      <c r="I119" s="84">
        <f t="shared" ref="I119:M119" si="50">I110+I117</f>
        <v>357362.01282686798</v>
      </c>
      <c r="J119" s="84">
        <f t="shared" si="50"/>
        <v>432387.88336595701</v>
      </c>
      <c r="K119" s="84">
        <f t="shared" si="50"/>
        <v>507924.30155410274</v>
      </c>
      <c r="L119" s="84">
        <f t="shared" si="50"/>
        <v>585192.87224382092</v>
      </c>
      <c r="M119" s="84">
        <f t="shared" si="50"/>
        <v>657582.36743994663</v>
      </c>
    </row>
    <row r="120" spans="2:13" hidden="1" outlineLevel="1">
      <c r="B120" s="24"/>
      <c r="C120" s="24"/>
      <c r="D120" s="24"/>
      <c r="E120" s="24"/>
      <c r="G120" s="38"/>
      <c r="H120" s="38"/>
    </row>
    <row r="121" spans="2:13" hidden="1" outlineLevel="1">
      <c r="B121" s="24"/>
      <c r="C121" s="24"/>
      <c r="D121" s="22" t="s">
        <v>65</v>
      </c>
      <c r="E121" s="22"/>
      <c r="G121" s="38"/>
      <c r="H121" s="38"/>
    </row>
    <row r="122" spans="2:13" hidden="1" outlineLevel="1">
      <c r="B122" s="24"/>
      <c r="C122" s="24"/>
      <c r="D122" s="31" t="s">
        <v>66</v>
      </c>
      <c r="E122" s="31"/>
      <c r="G122" s="38"/>
      <c r="H122" s="38"/>
    </row>
    <row r="123" spans="2:13" hidden="1" outlineLevel="1">
      <c r="B123" s="24"/>
      <c r="C123" s="24"/>
      <c r="D123" s="24" t="s">
        <v>67</v>
      </c>
      <c r="E123" s="24"/>
      <c r="G123" s="38">
        <v>6383</v>
      </c>
      <c r="H123" s="38">
        <v>6396</v>
      </c>
      <c r="I123" s="32">
        <v>6396</v>
      </c>
      <c r="J123" s="32">
        <f t="shared" ref="J123:M123" si="51">I123</f>
        <v>6396</v>
      </c>
      <c r="K123" s="32">
        <f t="shared" si="51"/>
        <v>6396</v>
      </c>
      <c r="L123" s="32">
        <f t="shared" si="51"/>
        <v>6396</v>
      </c>
      <c r="M123" s="32">
        <f t="shared" si="51"/>
        <v>6396</v>
      </c>
    </row>
    <row r="124" spans="2:13" hidden="1" outlineLevel="1">
      <c r="B124" s="24"/>
      <c r="C124" s="24"/>
      <c r="D124" s="24" t="s">
        <v>68</v>
      </c>
      <c r="E124" s="24"/>
      <c r="G124" s="38">
        <v>636332</v>
      </c>
      <c r="H124" s="38">
        <v>639178</v>
      </c>
      <c r="I124" s="32">
        <v>639178</v>
      </c>
      <c r="J124" s="32">
        <f t="shared" ref="J124:M124" si="52">I124</f>
        <v>639178</v>
      </c>
      <c r="K124" s="32">
        <f t="shared" si="52"/>
        <v>639178</v>
      </c>
      <c r="L124" s="32">
        <f t="shared" si="52"/>
        <v>639178</v>
      </c>
      <c r="M124" s="32">
        <f t="shared" si="52"/>
        <v>639178</v>
      </c>
    </row>
    <row r="125" spans="2:13" hidden="1" outlineLevel="1">
      <c r="B125" s="24"/>
      <c r="C125" s="24"/>
      <c r="D125" s="24" t="s">
        <v>69</v>
      </c>
      <c r="E125" s="24"/>
      <c r="G125" s="38">
        <v>-1022</v>
      </c>
      <c r="H125" s="38">
        <v>-2040</v>
      </c>
      <c r="I125" s="32">
        <v>-2040</v>
      </c>
      <c r="J125" s="32">
        <f t="shared" ref="J125:M125" si="53">I125</f>
        <v>-2040</v>
      </c>
      <c r="K125" s="32">
        <f t="shared" si="53"/>
        <v>-2040</v>
      </c>
      <c r="L125" s="32">
        <f t="shared" si="53"/>
        <v>-2040</v>
      </c>
      <c r="M125" s="32">
        <f t="shared" si="53"/>
        <v>-2040</v>
      </c>
    </row>
    <row r="126" spans="2:13" hidden="1" outlineLevel="1">
      <c r="B126" s="24"/>
      <c r="C126" s="24"/>
      <c r="D126" s="24" t="s">
        <v>70</v>
      </c>
      <c r="E126" s="24"/>
      <c r="G126" s="38">
        <v>3330</v>
      </c>
      <c r="H126" s="38">
        <v>1093</v>
      </c>
      <c r="I126" s="32">
        <v>1093</v>
      </c>
      <c r="J126" s="32">
        <f t="shared" ref="J126:M126" si="54">I126</f>
        <v>1093</v>
      </c>
      <c r="K126" s="32">
        <f t="shared" si="54"/>
        <v>1093</v>
      </c>
      <c r="L126" s="32">
        <f t="shared" si="54"/>
        <v>1093</v>
      </c>
      <c r="M126" s="32">
        <f t="shared" si="54"/>
        <v>1093</v>
      </c>
    </row>
    <row r="127" spans="2:13" hidden="1" outlineLevel="1">
      <c r="B127" s="24"/>
      <c r="C127" s="24"/>
      <c r="D127" s="24" t="s">
        <v>71</v>
      </c>
      <c r="E127" s="24"/>
      <c r="G127" s="42">
        <v>-196564</v>
      </c>
      <c r="H127" s="42">
        <v>-319407</v>
      </c>
      <c r="I127" s="56">
        <f t="shared" ref="I127:M127" ca="1" si="55">I327</f>
        <v>-452970.03892765916</v>
      </c>
      <c r="J127" s="56">
        <f t="shared" ca="1" si="55"/>
        <v>-534920.17641614238</v>
      </c>
      <c r="K127" s="56">
        <f t="shared" ca="1" si="55"/>
        <v>-517804.66745858185</v>
      </c>
      <c r="L127" s="56">
        <f t="shared" ca="1" si="55"/>
        <v>-385998.20474101254</v>
      </c>
      <c r="M127" s="56">
        <f t="shared" ca="1" si="55"/>
        <v>-131837.39708112297</v>
      </c>
    </row>
    <row r="128" spans="2:13" s="47" customFormat="1" hidden="1" outlineLevel="1">
      <c r="B128" s="31"/>
      <c r="C128" s="31"/>
      <c r="D128" s="31" t="s">
        <v>72</v>
      </c>
      <c r="E128" s="40"/>
      <c r="F128" s="99"/>
      <c r="G128" s="83">
        <f>SUM(G123:G127)</f>
        <v>448459</v>
      </c>
      <c r="H128" s="83">
        <f>H101-H119</f>
        <v>325220</v>
      </c>
      <c r="I128" s="84">
        <f ca="1">I101-I119</f>
        <v>189314.23979698552</v>
      </c>
      <c r="J128" s="84">
        <f t="shared" ref="J128:M128" ca="1" si="56">J101-J119</f>
        <v>107364.10230850236</v>
      </c>
      <c r="K128" s="84">
        <f t="shared" ca="1" si="56"/>
        <v>124479.61126606277</v>
      </c>
      <c r="L128" s="84">
        <f t="shared" ca="1" si="56"/>
        <v>256286.07398363214</v>
      </c>
      <c r="M128" s="84">
        <f t="shared" ca="1" si="56"/>
        <v>510446.88164352183</v>
      </c>
    </row>
    <row r="129" spans="1:13" hidden="1" outlineLevel="1">
      <c r="G129" s="42"/>
      <c r="H129" s="42"/>
      <c r="I129" s="43"/>
      <c r="J129" s="43"/>
      <c r="K129" s="43"/>
      <c r="L129" s="43"/>
      <c r="M129" s="43"/>
    </row>
    <row r="130" spans="1:13" s="47" customFormat="1" ht="17.25" hidden="1" outlineLevel="1" thickBot="1">
      <c r="D130" s="31" t="s">
        <v>73</v>
      </c>
      <c r="E130" s="31"/>
      <c r="F130" s="48"/>
      <c r="G130" s="65">
        <f>G119+G128</f>
        <v>546811</v>
      </c>
      <c r="H130" s="65">
        <f>H119+H128</f>
        <v>610817</v>
      </c>
      <c r="I130" s="82">
        <f ca="1">I119+I128</f>
        <v>546676.25262385351</v>
      </c>
      <c r="J130" s="82">
        <f t="shared" ref="J130:M130" ca="1" si="57">J119+J128</f>
        <v>539751.98567445937</v>
      </c>
      <c r="K130" s="82">
        <f t="shared" ca="1" si="57"/>
        <v>632403.91282016551</v>
      </c>
      <c r="L130" s="82">
        <f t="shared" ca="1" si="57"/>
        <v>841478.94622745307</v>
      </c>
      <c r="M130" s="82">
        <f t="shared" ca="1" si="57"/>
        <v>1168029.2490834685</v>
      </c>
    </row>
    <row r="131" spans="1:13" hidden="1" outlineLevel="1">
      <c r="G131" s="66"/>
      <c r="H131" s="66"/>
    </row>
    <row r="132" spans="1:13" s="24" customFormat="1" ht="15" hidden="1" outlineLevel="1">
      <c r="D132" s="44" t="s">
        <v>210</v>
      </c>
      <c r="E132" s="44"/>
      <c r="F132" s="45"/>
      <c r="G132" s="100">
        <f>IF((G101-G130)&gt;=0,1,0)</f>
        <v>1</v>
      </c>
      <c r="H132" s="100">
        <f t="shared" ref="H132:M132" si="58">IF((H101-H130)&gt;=0,1,0)</f>
        <v>1</v>
      </c>
      <c r="I132" s="100">
        <f t="shared" ca="1" si="58"/>
        <v>1</v>
      </c>
      <c r="J132" s="100">
        <f t="shared" ca="1" si="58"/>
        <v>1</v>
      </c>
      <c r="K132" s="100">
        <f t="shared" ca="1" si="58"/>
        <v>1</v>
      </c>
      <c r="L132" s="100">
        <f t="shared" ca="1" si="58"/>
        <v>1</v>
      </c>
      <c r="M132" s="100">
        <f t="shared" ca="1" si="58"/>
        <v>1</v>
      </c>
    </row>
    <row r="133" spans="1:13" hidden="1" outlineLevel="1">
      <c r="J133" s="33"/>
      <c r="K133" s="33"/>
      <c r="L133" s="33"/>
      <c r="M133" s="33"/>
    </row>
    <row r="134" spans="1:13" collapsed="1"/>
    <row r="135" spans="1:13" ht="22.5">
      <c r="A135" s="12" t="s">
        <v>74</v>
      </c>
      <c r="B135" s="13" t="s">
        <v>81</v>
      </c>
      <c r="C135" s="34"/>
      <c r="D135" s="34"/>
      <c r="E135" s="34"/>
      <c r="F135" s="15"/>
      <c r="G135" s="35"/>
      <c r="H135" s="35"/>
      <c r="I135" s="25"/>
      <c r="J135" s="25"/>
      <c r="K135" s="25"/>
      <c r="L135" s="25"/>
      <c r="M135" s="25"/>
    </row>
    <row r="136" spans="1:13" hidden="1" outlineLevel="1"/>
    <row r="137" spans="1:13" ht="17.25" hidden="1" outlineLevel="1" thickBot="1">
      <c r="C137" s="19" t="s">
        <v>9</v>
      </c>
      <c r="D137" s="19"/>
      <c r="E137" s="19"/>
      <c r="G137" s="50"/>
      <c r="H137" s="50"/>
      <c r="I137" s="20" t="s">
        <v>26</v>
      </c>
      <c r="J137" s="20" t="s">
        <v>27</v>
      </c>
      <c r="K137" s="20" t="s">
        <v>28</v>
      </c>
      <c r="L137" s="20" t="s">
        <v>29</v>
      </c>
      <c r="M137" s="20" t="s">
        <v>30</v>
      </c>
    </row>
    <row r="138" spans="1:13" hidden="1" outlineLevel="1"/>
    <row r="139" spans="1:13" s="47" customFormat="1" hidden="1" outlineLevel="1">
      <c r="C139" s="31" t="s">
        <v>80</v>
      </c>
      <c r="D139" s="31"/>
      <c r="E139" s="31"/>
      <c r="F139" s="48"/>
      <c r="G139" s="40"/>
      <c r="H139" s="40"/>
      <c r="I139" s="40">
        <f ca="1">I63</f>
        <v>-133564.03892765919</v>
      </c>
      <c r="J139" s="40">
        <f t="shared" ref="J139:M139" ca="1" si="59">J63</f>
        <v>-81950.137488483233</v>
      </c>
      <c r="K139" s="40">
        <f t="shared" ca="1" si="59"/>
        <v>17115.508957560509</v>
      </c>
      <c r="L139" s="40">
        <f t="shared" ca="1" si="59"/>
        <v>131806.46271756935</v>
      </c>
      <c r="M139" s="40">
        <f t="shared" ca="1" si="59"/>
        <v>254160.80765988957</v>
      </c>
    </row>
    <row r="140" spans="1:13" hidden="1" outlineLevel="1">
      <c r="C140" s="24"/>
      <c r="D140" s="24"/>
      <c r="E140" s="24"/>
      <c r="G140" s="21"/>
      <c r="H140" s="21"/>
      <c r="I140" s="21"/>
      <c r="J140" s="21"/>
      <c r="K140" s="21"/>
      <c r="L140" s="21"/>
      <c r="M140" s="21"/>
    </row>
    <row r="141" spans="1:13" hidden="1" outlineLevel="1">
      <c r="C141" s="22" t="s">
        <v>83</v>
      </c>
      <c r="D141" s="24"/>
      <c r="E141" s="24"/>
      <c r="G141" s="29"/>
      <c r="H141" s="29"/>
      <c r="I141" s="21"/>
      <c r="J141" s="21"/>
      <c r="K141" s="21"/>
      <c r="L141" s="21"/>
      <c r="M141" s="21"/>
    </row>
    <row r="142" spans="1:13" hidden="1" outlineLevel="1">
      <c r="C142" s="24" t="s">
        <v>200</v>
      </c>
      <c r="D142" s="24"/>
      <c r="E142" s="24"/>
      <c r="G142" s="29"/>
      <c r="H142" s="29"/>
      <c r="I142" s="21">
        <f ca="1">I222</f>
        <v>54684.472597568696</v>
      </c>
      <c r="J142" s="21">
        <f t="shared" ref="J142:M142" ca="1" si="60">J222</f>
        <v>58281.713370993253</v>
      </c>
      <c r="K142" s="21">
        <f t="shared" ca="1" si="60"/>
        <v>61994.155460383867</v>
      </c>
      <c r="L142" s="21">
        <f t="shared" ca="1" si="60"/>
        <v>65472.857676620311</v>
      </c>
      <c r="M142" s="21">
        <f t="shared" ca="1" si="60"/>
        <v>68317.149754639468</v>
      </c>
    </row>
    <row r="143" spans="1:13" hidden="1" outlineLevel="1">
      <c r="C143" s="24" t="s">
        <v>201</v>
      </c>
      <c r="D143" s="24"/>
      <c r="E143" s="24"/>
      <c r="G143" s="29"/>
      <c r="H143" s="29"/>
      <c r="I143" s="39">
        <f ca="1">I313*-1</f>
        <v>-22814.421243032994</v>
      </c>
      <c r="J143" s="39">
        <f t="shared" ref="J143:M143" ca="1" si="61">J313*-1</f>
        <v>-13998.116353754183</v>
      </c>
      <c r="K143" s="39">
        <f t="shared" ca="1" si="61"/>
        <v>2923.5446478088434</v>
      </c>
      <c r="L143" s="39">
        <f t="shared" ca="1" si="61"/>
        <v>22514.20507447702</v>
      </c>
      <c r="M143" s="39">
        <f t="shared" ca="1" si="61"/>
        <v>43413.869301772182</v>
      </c>
    </row>
    <row r="144" spans="1:13" hidden="1" outlineLevel="1">
      <c r="C144" s="24"/>
      <c r="D144" s="24"/>
      <c r="E144" s="24"/>
      <c r="G144" s="29"/>
      <c r="H144" s="29"/>
      <c r="I144" s="41">
        <f ca="1">I139+I142+I143</f>
        <v>-101693.98757312348</v>
      </c>
      <c r="J144" s="41">
        <f t="shared" ref="J144:M144" ca="1" si="62">J139+J142+J143</f>
        <v>-37666.540471244167</v>
      </c>
      <c r="K144" s="41">
        <f t="shared" ca="1" si="62"/>
        <v>82033.209065753224</v>
      </c>
      <c r="L144" s="41">
        <f t="shared" ca="1" si="62"/>
        <v>219793.52546866666</v>
      </c>
      <c r="M144" s="41">
        <f t="shared" ca="1" si="62"/>
        <v>365891.82671630126</v>
      </c>
    </row>
    <row r="145" spans="3:13" hidden="1" outlineLevel="1">
      <c r="C145" s="24"/>
      <c r="D145" s="24"/>
      <c r="E145" s="24"/>
      <c r="G145" s="29"/>
      <c r="H145" s="29"/>
      <c r="I145" s="41"/>
      <c r="J145" s="41"/>
      <c r="K145" s="41"/>
      <c r="L145" s="41"/>
      <c r="M145" s="41"/>
    </row>
    <row r="146" spans="3:13" hidden="1" outlineLevel="1">
      <c r="C146" s="24" t="s">
        <v>193</v>
      </c>
      <c r="D146" s="24"/>
      <c r="E146" s="24"/>
      <c r="G146" s="29"/>
      <c r="H146" s="29"/>
      <c r="I146" s="21">
        <f>-(I254)</f>
        <v>-21723.582461595171</v>
      </c>
      <c r="J146" s="21">
        <f t="shared" ref="J146:M146" si="63">-(J254)</f>
        <v>-45138.002810652324</v>
      </c>
      <c r="K146" s="21">
        <f t="shared" si="63"/>
        <v>-50629.853315462329</v>
      </c>
      <c r="L146" s="21">
        <f t="shared" si="63"/>
        <v>-54147.946144740068</v>
      </c>
      <c r="M146" s="21">
        <f t="shared" si="63"/>
        <v>-53849.957516633323</v>
      </c>
    </row>
    <row r="147" spans="3:13" hidden="1" outlineLevel="1">
      <c r="C147" s="24" t="s">
        <v>202</v>
      </c>
      <c r="D147" s="24"/>
      <c r="E147" s="24"/>
      <c r="G147" s="29"/>
      <c r="H147" s="29"/>
      <c r="I147" s="21">
        <f>I259*-1</f>
        <v>-2406.4407277965838</v>
      </c>
      <c r="J147" s="21">
        <f t="shared" ref="J147:M147" si="64">J259*-1</f>
        <v>-6711.0321345128978</v>
      </c>
      <c r="K147" s="21">
        <f t="shared" si="64"/>
        <v>-7527.5499891093023</v>
      </c>
      <c r="L147" s="21">
        <f t="shared" si="64"/>
        <v>-8050.6133184401115</v>
      </c>
      <c r="M147" s="21">
        <f t="shared" si="64"/>
        <v>-8006.308937775917</v>
      </c>
    </row>
    <row r="148" spans="3:13" hidden="1" outlineLevel="1">
      <c r="C148" s="24" t="s">
        <v>188</v>
      </c>
      <c r="D148" s="24"/>
      <c r="E148" s="24"/>
      <c r="G148" s="29"/>
      <c r="H148" s="29"/>
      <c r="I148" s="21">
        <f>I275</f>
        <v>-4663.5681420190504</v>
      </c>
      <c r="J148" s="21">
        <f t="shared" ref="J148:M148" si="65">J275</f>
        <v>-5324.6072796327153</v>
      </c>
      <c r="K148" s="21">
        <f t="shared" si="65"/>
        <v>-5878.8094645390447</v>
      </c>
      <c r="L148" s="21">
        <f t="shared" si="65"/>
        <v>-6103.0938350943507</v>
      </c>
      <c r="M148" s="21">
        <f t="shared" si="65"/>
        <v>-5812.8702889917076</v>
      </c>
    </row>
    <row r="149" spans="3:13" hidden="1" outlineLevel="1">
      <c r="C149" s="24" t="s">
        <v>203</v>
      </c>
      <c r="D149" s="24"/>
      <c r="E149" s="24"/>
      <c r="G149" s="29"/>
      <c r="H149" s="29"/>
      <c r="I149" s="21">
        <f>I264</f>
        <v>4835.0766780671765</v>
      </c>
      <c r="J149" s="21">
        <f t="shared" ref="J149:M149" si="66">J264</f>
        <v>4410.404387304694</v>
      </c>
      <c r="K149" s="21">
        <f t="shared" si="66"/>
        <v>3697.2956498379244</v>
      </c>
      <c r="L149" s="21">
        <f t="shared" si="66"/>
        <v>3653.710830669861</v>
      </c>
      <c r="M149" s="21">
        <f t="shared" si="66"/>
        <v>3286.4857452556353</v>
      </c>
    </row>
    <row r="150" spans="3:13" hidden="1" outlineLevel="1">
      <c r="C150" s="24" t="s">
        <v>190</v>
      </c>
      <c r="D150" s="24"/>
      <c r="E150" s="24"/>
      <c r="G150" s="29"/>
      <c r="H150" s="29"/>
      <c r="I150" s="21">
        <f>I278</f>
        <v>8251.0373753159656</v>
      </c>
      <c r="J150" s="21">
        <f t="shared" ref="J150:M150" si="67">J278</f>
        <v>6772.0511467189717</v>
      </c>
      <c r="K150" s="21">
        <f t="shared" si="67"/>
        <v>4680.1183324373415</v>
      </c>
      <c r="L150" s="21">
        <f t="shared" si="67"/>
        <v>4418.1129789666738</v>
      </c>
      <c r="M150" s="21">
        <f t="shared" si="67"/>
        <v>3746.373460924784</v>
      </c>
    </row>
    <row r="151" spans="3:13" hidden="1" outlineLevel="1">
      <c r="C151" s="24" t="s">
        <v>163</v>
      </c>
      <c r="D151" s="24"/>
      <c r="E151" s="24"/>
      <c r="G151" s="29"/>
      <c r="H151" s="29"/>
      <c r="I151" s="21">
        <f>I269</f>
        <v>44945.177498129546</v>
      </c>
      <c r="J151" s="21">
        <f t="shared" ref="J151:M151" si="68">J269</f>
        <v>51315.947789993195</v>
      </c>
      <c r="K151" s="21">
        <f t="shared" si="68"/>
        <v>56657.076044566522</v>
      </c>
      <c r="L151" s="21">
        <f t="shared" si="68"/>
        <v>58818.618566876568</v>
      </c>
      <c r="M151" s="21">
        <f t="shared" si="68"/>
        <v>56021.586681314278</v>
      </c>
    </row>
    <row r="152" spans="3:13" hidden="1" outlineLevel="1">
      <c r="C152" s="24" t="s">
        <v>191</v>
      </c>
      <c r="D152" s="24"/>
      <c r="E152" s="24"/>
      <c r="G152" s="29"/>
      <c r="H152" s="29"/>
      <c r="I152" s="39">
        <f>I280</f>
        <v>11392</v>
      </c>
      <c r="J152" s="39">
        <f t="shared" ref="J152:M152" si="69">J280</f>
        <v>12527.467215072189</v>
      </c>
      <c r="K152" s="39">
        <f t="shared" si="69"/>
        <v>10501.928161303935</v>
      </c>
      <c r="L152" s="39">
        <f t="shared" si="69"/>
        <v>10378.128313205088</v>
      </c>
      <c r="M152" s="39">
        <f t="shared" si="69"/>
        <v>9335.0493086310598</v>
      </c>
    </row>
    <row r="153" spans="3:13" s="47" customFormat="1" hidden="1" outlineLevel="1">
      <c r="C153" s="31" t="s">
        <v>87</v>
      </c>
      <c r="D153" s="31"/>
      <c r="E153" s="31"/>
      <c r="F153" s="48"/>
      <c r="G153" s="40"/>
      <c r="H153" s="40"/>
      <c r="I153" s="40">
        <f ca="1">SUM(I144:I152)</f>
        <v>-61064.287353021587</v>
      </c>
      <c r="J153" s="40">
        <f t="shared" ref="J153:M153" ca="1" si="70">SUM(J144:J152)</f>
        <v>-19814.312156953063</v>
      </c>
      <c r="K153" s="40">
        <f t="shared" ca="1" si="70"/>
        <v>93533.414484788271</v>
      </c>
      <c r="L153" s="40">
        <f t="shared" ca="1" si="70"/>
        <v>228760.44286011031</v>
      </c>
      <c r="M153" s="40">
        <f t="shared" ca="1" si="70"/>
        <v>370612.18516902608</v>
      </c>
    </row>
    <row r="154" spans="3:13" hidden="1" outlineLevel="1">
      <c r="C154" s="24"/>
      <c r="D154" s="24"/>
      <c r="E154" s="24"/>
      <c r="G154" s="21"/>
      <c r="H154" s="21"/>
      <c r="I154" s="21"/>
      <c r="J154" s="21"/>
      <c r="K154" s="21"/>
      <c r="L154" s="21"/>
      <c r="M154" s="21"/>
    </row>
    <row r="155" spans="3:13" hidden="1" outlineLevel="1">
      <c r="C155" s="22" t="s">
        <v>84</v>
      </c>
      <c r="D155" s="24"/>
      <c r="E155" s="24"/>
      <c r="G155" s="21"/>
      <c r="H155" s="21"/>
      <c r="I155" s="21"/>
      <c r="J155" s="21"/>
      <c r="K155" s="21"/>
      <c r="L155" s="21"/>
      <c r="M155" s="21"/>
    </row>
    <row r="156" spans="3:13" hidden="1" outlineLevel="1">
      <c r="C156" s="24" t="s">
        <v>204</v>
      </c>
      <c r="D156" s="24"/>
      <c r="E156" s="24"/>
      <c r="G156" s="29"/>
      <c r="H156" s="29"/>
      <c r="I156" s="21">
        <f>I207*-1</f>
        <v>-38031.011689972671</v>
      </c>
      <c r="J156" s="21">
        <f t="shared" ref="J156:M156" si="71">J207*-1</f>
        <v>-45100.234073310916</v>
      </c>
      <c r="K156" s="21">
        <f t="shared" si="71"/>
        <v>-49846.216221491493</v>
      </c>
      <c r="L156" s="21">
        <f t="shared" si="71"/>
        <v>-51218.29939299832</v>
      </c>
      <c r="M156" s="21">
        <f t="shared" si="71"/>
        <v>-48350.221963228563</v>
      </c>
    </row>
    <row r="157" spans="3:13" hidden="1" outlineLevel="1">
      <c r="C157" s="24" t="s">
        <v>88</v>
      </c>
      <c r="D157" s="24"/>
      <c r="E157" s="24"/>
      <c r="G157" s="29"/>
      <c r="H157" s="29"/>
      <c r="I157" s="21">
        <f>-I213</f>
        <v>-1332</v>
      </c>
      <c r="J157" s="21">
        <f t="shared" ref="J157:M157" si="72">-J213</f>
        <v>-1332</v>
      </c>
      <c r="K157" s="21">
        <f t="shared" si="72"/>
        <v>-1332</v>
      </c>
      <c r="L157" s="21">
        <f t="shared" si="72"/>
        <v>-1332</v>
      </c>
      <c r="M157" s="21">
        <f t="shared" si="72"/>
        <v>-1332</v>
      </c>
    </row>
    <row r="158" spans="3:13" hidden="1" outlineLevel="1">
      <c r="C158" s="24" t="s">
        <v>205</v>
      </c>
      <c r="D158" s="24"/>
      <c r="E158" s="24"/>
      <c r="G158" s="29"/>
      <c r="H158" s="29"/>
      <c r="I158" s="39">
        <f>-(I84-H84)</f>
        <v>-7322.3144730539716</v>
      </c>
      <c r="J158" s="39">
        <f t="shared" ref="J158:M158" si="73">-(J84-I84)</f>
        <v>-7530.1696866567872</v>
      </c>
      <c r="K158" s="39">
        <f t="shared" si="73"/>
        <v>-8313.9338731769312</v>
      </c>
      <c r="L158" s="39">
        <f t="shared" si="73"/>
        <v>-8631.1214664867293</v>
      </c>
      <c r="M158" s="39">
        <f t="shared" si="73"/>
        <v>-8220.6813280044444</v>
      </c>
    </row>
    <row r="159" spans="3:13" s="47" customFormat="1" hidden="1" outlineLevel="1">
      <c r="C159" s="31" t="s">
        <v>89</v>
      </c>
      <c r="D159" s="31"/>
      <c r="E159" s="31"/>
      <c r="F159" s="48"/>
      <c r="G159" s="40"/>
      <c r="H159" s="40"/>
      <c r="I159" s="40">
        <f>SUM(I156:I158)</f>
        <v>-46685.326163026642</v>
      </c>
      <c r="J159" s="40">
        <f t="shared" ref="J159:M159" si="74">SUM(J156:J158)</f>
        <v>-53962.403759967703</v>
      </c>
      <c r="K159" s="40">
        <f t="shared" si="74"/>
        <v>-59492.150094668425</v>
      </c>
      <c r="L159" s="40">
        <f t="shared" si="74"/>
        <v>-61181.42085948505</v>
      </c>
      <c r="M159" s="40">
        <f t="shared" si="74"/>
        <v>-57902.903291233008</v>
      </c>
    </row>
    <row r="160" spans="3:13" hidden="1" outlineLevel="1">
      <c r="C160" s="24"/>
      <c r="D160" s="24"/>
      <c r="E160" s="24"/>
      <c r="G160" s="21"/>
      <c r="H160" s="21"/>
      <c r="I160" s="21"/>
      <c r="J160" s="21"/>
      <c r="K160" s="21"/>
      <c r="L160" s="21"/>
      <c r="M160" s="21"/>
    </row>
    <row r="161" spans="1:13" hidden="1" outlineLevel="1">
      <c r="C161" s="22" t="s">
        <v>85</v>
      </c>
      <c r="D161" s="24"/>
      <c r="E161" s="24"/>
      <c r="G161" s="21"/>
      <c r="H161" s="21"/>
      <c r="I161" s="39"/>
      <c r="J161" s="39"/>
      <c r="K161" s="39"/>
      <c r="L161" s="39"/>
      <c r="M161" s="39"/>
    </row>
    <row r="162" spans="1:13" s="47" customFormat="1" hidden="1" outlineLevel="1">
      <c r="C162" s="31" t="s">
        <v>90</v>
      </c>
      <c r="D162" s="31"/>
      <c r="E162" s="31"/>
      <c r="F162" s="48"/>
      <c r="G162" s="40"/>
      <c r="H162" s="40"/>
      <c r="I162" s="40">
        <v>0</v>
      </c>
      <c r="J162" s="40">
        <v>0</v>
      </c>
      <c r="K162" s="40">
        <v>0</v>
      </c>
      <c r="L162" s="40">
        <v>0</v>
      </c>
      <c r="M162" s="40">
        <v>0</v>
      </c>
    </row>
    <row r="163" spans="1:13" hidden="1" outlineLevel="1">
      <c r="C163" s="24"/>
      <c r="D163" s="24"/>
      <c r="E163" s="24"/>
      <c r="G163" s="21"/>
      <c r="H163" s="21"/>
      <c r="I163" s="39"/>
      <c r="J163" s="39"/>
      <c r="K163" s="39"/>
      <c r="L163" s="39"/>
      <c r="M163" s="39"/>
    </row>
    <row r="164" spans="1:13" hidden="1" outlineLevel="1">
      <c r="C164" s="24" t="s">
        <v>92</v>
      </c>
      <c r="D164" s="24"/>
      <c r="E164" s="24"/>
      <c r="G164" s="29"/>
      <c r="H164" s="29"/>
      <c r="I164" s="21">
        <f>H166</f>
        <v>71993</v>
      </c>
      <c r="J164" s="21">
        <f t="shared" ref="J164:L164" ca="1" si="75">I166</f>
        <v>-35756.613516048237</v>
      </c>
      <c r="K164" s="21">
        <f t="shared" ca="1" si="75"/>
        <v>-109533.32943296901</v>
      </c>
      <c r="L164" s="21">
        <f t="shared" ca="1" si="75"/>
        <v>-75492.065042849164</v>
      </c>
      <c r="M164" s="21">
        <f ca="1">L166</f>
        <v>92086.956957776099</v>
      </c>
    </row>
    <row r="165" spans="1:13" hidden="1" outlineLevel="1">
      <c r="C165" s="24" t="s">
        <v>91</v>
      </c>
      <c r="D165" s="24"/>
      <c r="E165" s="24"/>
      <c r="G165" s="21"/>
      <c r="H165" s="21"/>
      <c r="I165" s="21">
        <f ca="1">I153+I159+I162</f>
        <v>-107749.61351604824</v>
      </c>
      <c r="J165" s="21">
        <f ca="1">J153+J159+J162</f>
        <v>-73776.715916920773</v>
      </c>
      <c r="K165" s="21">
        <f ca="1">K153+K159+K162</f>
        <v>34041.264390119846</v>
      </c>
      <c r="L165" s="21">
        <f ca="1">L153+L159+L162</f>
        <v>167579.02200062526</v>
      </c>
      <c r="M165" s="21">
        <f ca="1">M153+M159+M162</f>
        <v>312709.28187779308</v>
      </c>
    </row>
    <row r="166" spans="1:13" s="47" customFormat="1" ht="17.25" hidden="1" outlineLevel="1" thickBot="1">
      <c r="C166" s="31" t="s">
        <v>93</v>
      </c>
      <c r="D166" s="31"/>
      <c r="E166" s="31"/>
      <c r="F166" s="48"/>
      <c r="G166" s="40"/>
      <c r="H166" s="71">
        <f>H97</f>
        <v>71993</v>
      </c>
      <c r="I166" s="71">
        <f ca="1">I164+I165</f>
        <v>-35756.613516048237</v>
      </c>
      <c r="J166" s="71">
        <f t="shared" ref="J166:L166" ca="1" si="76">J164+J165</f>
        <v>-109533.32943296901</v>
      </c>
      <c r="K166" s="71">
        <f t="shared" ca="1" si="76"/>
        <v>-75492.065042849164</v>
      </c>
      <c r="L166" s="71">
        <f t="shared" ca="1" si="76"/>
        <v>92086.956957776099</v>
      </c>
      <c r="M166" s="71">
        <f ca="1">M164+M165</f>
        <v>404796.23883556918</v>
      </c>
    </row>
    <row r="167" spans="1:13" s="47" customFormat="1" ht="17.25" hidden="1" outlineLevel="1" thickTop="1">
      <c r="C167" s="31"/>
      <c r="D167" s="31"/>
      <c r="E167" s="31"/>
      <c r="F167" s="48"/>
      <c r="G167" s="40"/>
      <c r="H167" s="40"/>
      <c r="I167" s="40"/>
      <c r="J167" s="40"/>
      <c r="K167" s="40"/>
      <c r="L167" s="40"/>
      <c r="M167" s="40"/>
    </row>
    <row r="168" spans="1:13" s="47" customFormat="1" hidden="1" outlineLevel="1">
      <c r="C168" s="31"/>
      <c r="D168" s="31"/>
      <c r="E168" s="31"/>
      <c r="F168" s="48"/>
      <c r="G168" s="40"/>
      <c r="H168" s="40"/>
      <c r="I168" s="40"/>
      <c r="J168" s="40"/>
      <c r="K168" s="40"/>
      <c r="L168" s="40"/>
      <c r="M168" s="40"/>
    </row>
    <row r="169" spans="1:13" hidden="1" outlineLevel="1">
      <c r="C169" s="24"/>
      <c r="D169" s="24"/>
      <c r="E169" s="24"/>
      <c r="I169" s="33"/>
      <c r="J169" s="33"/>
      <c r="K169" s="33"/>
      <c r="L169" s="33"/>
    </row>
    <row r="170" spans="1:13" collapsed="1">
      <c r="I170" s="33"/>
    </row>
    <row r="171" spans="1:13" ht="22.5">
      <c r="A171" s="12" t="s">
        <v>74</v>
      </c>
      <c r="B171" s="13" t="s">
        <v>95</v>
      </c>
      <c r="C171" s="34"/>
      <c r="D171" s="34"/>
      <c r="E171" s="34"/>
      <c r="F171" s="15"/>
      <c r="G171" s="35"/>
      <c r="H171" s="35"/>
      <c r="I171" s="25"/>
      <c r="J171" s="25"/>
      <c r="K171" s="25"/>
      <c r="L171" s="25"/>
      <c r="M171" s="25"/>
    </row>
    <row r="172" spans="1:13" hidden="1" outlineLevel="1"/>
    <row r="173" spans="1:13" ht="17.25" hidden="1" outlineLevel="1" thickBot="1">
      <c r="C173" s="19" t="s">
        <v>9</v>
      </c>
      <c r="D173" s="19"/>
      <c r="E173" s="19"/>
      <c r="G173" s="20" t="s">
        <v>24</v>
      </c>
      <c r="H173" s="20" t="s">
        <v>25</v>
      </c>
      <c r="I173" s="20" t="s">
        <v>26</v>
      </c>
      <c r="J173" s="20" t="s">
        <v>27</v>
      </c>
      <c r="K173" s="20" t="s">
        <v>28</v>
      </c>
      <c r="L173" s="20" t="s">
        <v>29</v>
      </c>
      <c r="M173" s="20" t="s">
        <v>30</v>
      </c>
    </row>
    <row r="174" spans="1:13" hidden="1" outlineLevel="1">
      <c r="C174" s="19"/>
      <c r="D174" s="19"/>
      <c r="E174" s="19"/>
      <c r="G174" s="50"/>
      <c r="H174" s="50"/>
      <c r="I174" s="50"/>
      <c r="J174" s="50"/>
      <c r="K174" s="50"/>
      <c r="L174" s="50"/>
      <c r="M174" s="50"/>
    </row>
    <row r="175" spans="1:13" hidden="1" outlineLevel="1">
      <c r="I175" s="23"/>
      <c r="J175" s="23"/>
      <c r="K175" s="23"/>
      <c r="L175" s="23"/>
      <c r="M175" s="23"/>
    </row>
    <row r="176" spans="1:13" hidden="1" outlineLevel="1">
      <c r="C176" s="24" t="s">
        <v>96</v>
      </c>
      <c r="D176" s="24"/>
      <c r="E176" s="24"/>
      <c r="G176" s="29">
        <v>54585</v>
      </c>
      <c r="H176" s="29">
        <v>112599</v>
      </c>
      <c r="I176" s="32">
        <f>H176*(1+Inputs!H9)</f>
        <v>174528.45</v>
      </c>
      <c r="J176" s="32">
        <f>I176*(1+Inputs!I9)</f>
        <v>253066.2525</v>
      </c>
      <c r="K176" s="32">
        <f>J176*(1+Inputs!J9)</f>
        <v>341639.44087500003</v>
      </c>
      <c r="L176" s="32">
        <f>K176*(1+Inputs!K9)</f>
        <v>437298.48432000005</v>
      </c>
      <c r="M176" s="32">
        <f>L176*(1+Inputs!L9)</f>
        <v>533504.15087040002</v>
      </c>
    </row>
    <row r="177" spans="1:13" hidden="1" outlineLevel="1">
      <c r="C177" s="24" t="s">
        <v>102</v>
      </c>
      <c r="D177" s="24"/>
      <c r="E177" s="24"/>
      <c r="G177" s="46">
        <v>126648</v>
      </c>
      <c r="H177" s="46">
        <v>213532</v>
      </c>
      <c r="I177" s="56">
        <f>H177*(1+Inputs!H16)</f>
        <v>298944.8</v>
      </c>
      <c r="J177" s="56">
        <f>I177*(1+Inputs!I16)</f>
        <v>388628.24</v>
      </c>
      <c r="K177" s="56">
        <f>J177*(1+Inputs!J16)</f>
        <v>485785.3</v>
      </c>
      <c r="L177" s="56">
        <f>K177*(1+Inputs!K16)</f>
        <v>582942.36</v>
      </c>
      <c r="M177" s="56">
        <f>L177*(1+Inputs!L16)</f>
        <v>670383.71399999992</v>
      </c>
    </row>
    <row r="178" spans="1:13" hidden="1" outlineLevel="1">
      <c r="C178" s="24" t="s">
        <v>103</v>
      </c>
      <c r="D178" s="24"/>
      <c r="E178" s="24"/>
      <c r="G178" s="32">
        <f>G176+G177</f>
        <v>181233</v>
      </c>
      <c r="H178" s="32">
        <f>H176+H177</f>
        <v>326131</v>
      </c>
      <c r="I178" s="32">
        <f t="shared" ref="I178:M178" si="77">I176+I177</f>
        <v>473473.25</v>
      </c>
      <c r="J178" s="32">
        <f t="shared" si="77"/>
        <v>641694.49249999993</v>
      </c>
      <c r="K178" s="32">
        <f t="shared" si="77"/>
        <v>827424.74087500002</v>
      </c>
      <c r="L178" s="32">
        <f t="shared" si="77"/>
        <v>1020240.84432</v>
      </c>
      <c r="M178" s="32">
        <f t="shared" si="77"/>
        <v>1203887.8648703999</v>
      </c>
    </row>
    <row r="179" spans="1:13" hidden="1" outlineLevel="1">
      <c r="C179" s="24"/>
      <c r="D179" s="24"/>
      <c r="E179" s="24"/>
      <c r="G179" s="29"/>
      <c r="H179" s="29"/>
      <c r="I179" s="32"/>
      <c r="J179" s="32"/>
      <c r="K179" s="32"/>
      <c r="L179" s="32"/>
      <c r="M179" s="32"/>
    </row>
    <row r="180" spans="1:13" ht="17.25" hidden="1" outlineLevel="1" thickBot="1">
      <c r="C180" s="24" t="s">
        <v>11</v>
      </c>
      <c r="D180" s="24"/>
      <c r="E180" s="24"/>
      <c r="G180" s="58">
        <f>G40</f>
        <v>1756</v>
      </c>
      <c r="H180" s="58">
        <f>H40</f>
        <v>1324</v>
      </c>
      <c r="I180" s="57">
        <f>I12*I178</f>
        <v>1914.3961246583501</v>
      </c>
      <c r="J180" s="57">
        <f t="shared" ref="J180:M180" si="78">J12*J178</f>
        <v>2594.5656901558991</v>
      </c>
      <c r="K180" s="57">
        <f t="shared" si="78"/>
        <v>3345.5294831915839</v>
      </c>
      <c r="L180" s="57">
        <f t="shared" si="78"/>
        <v>4125.1435399663469</v>
      </c>
      <c r="M180" s="57">
        <f t="shared" si="78"/>
        <v>4867.684210314118</v>
      </c>
    </row>
    <row r="181" spans="1:13" ht="18" hidden="1" outlineLevel="1" thickTop="1" thickBot="1">
      <c r="C181" s="31" t="s">
        <v>76</v>
      </c>
      <c r="D181" s="31"/>
      <c r="E181" s="24"/>
      <c r="G181" s="57">
        <f>G178+G180</f>
        <v>182989</v>
      </c>
      <c r="H181" s="57">
        <f t="shared" ref="H181:M181" si="79">H178+H180</f>
        <v>327455</v>
      </c>
      <c r="I181" s="57">
        <f t="shared" si="79"/>
        <v>475387.64612465835</v>
      </c>
      <c r="J181" s="57">
        <f t="shared" si="79"/>
        <v>644289.05819015589</v>
      </c>
      <c r="K181" s="57">
        <f t="shared" si="79"/>
        <v>830770.27035819157</v>
      </c>
      <c r="L181" s="57">
        <f t="shared" si="79"/>
        <v>1024365.9878599663</v>
      </c>
      <c r="M181" s="57">
        <f t="shared" si="79"/>
        <v>1208755.5490807141</v>
      </c>
    </row>
    <row r="182" spans="1:13" ht="17.25" hidden="1" outlineLevel="1" thickTop="1">
      <c r="C182" s="24"/>
      <c r="D182" s="24"/>
      <c r="E182" s="24"/>
      <c r="G182" s="29"/>
      <c r="H182" s="29"/>
      <c r="I182" s="29"/>
      <c r="J182" s="29"/>
      <c r="K182" s="29"/>
      <c r="L182" s="29"/>
      <c r="M182" s="29"/>
    </row>
    <row r="183" spans="1:13" collapsed="1">
      <c r="C183" s="24"/>
      <c r="D183" s="24"/>
      <c r="E183" s="24"/>
    </row>
    <row r="184" spans="1:13" ht="22.5">
      <c r="A184" s="12" t="s">
        <v>74</v>
      </c>
      <c r="B184" s="13" t="s">
        <v>165</v>
      </c>
      <c r="C184" s="34"/>
      <c r="D184" s="34"/>
      <c r="E184" s="34"/>
      <c r="F184" s="15"/>
      <c r="G184" s="35"/>
      <c r="H184" s="35"/>
      <c r="I184" s="25"/>
      <c r="J184" s="25"/>
      <c r="K184" s="25"/>
      <c r="L184" s="25"/>
      <c r="M184" s="25"/>
    </row>
    <row r="185" spans="1:13" ht="16.5" hidden="1" customHeight="1" outlineLevel="1">
      <c r="B185" s="16"/>
      <c r="C185" s="24"/>
      <c r="D185" s="24"/>
      <c r="E185" s="24"/>
      <c r="G185" s="33"/>
      <c r="H185" s="33"/>
    </row>
    <row r="186" spans="1:13" ht="17.25" hidden="1" outlineLevel="1" thickBot="1">
      <c r="C186" s="19" t="s">
        <v>9</v>
      </c>
      <c r="D186" s="19"/>
      <c r="E186" s="19"/>
      <c r="G186" s="20" t="s">
        <v>24</v>
      </c>
      <c r="H186" s="20" t="s">
        <v>25</v>
      </c>
      <c r="I186" s="20" t="s">
        <v>26</v>
      </c>
      <c r="J186" s="20" t="s">
        <v>27</v>
      </c>
      <c r="K186" s="20" t="s">
        <v>28</v>
      </c>
      <c r="L186" s="20" t="s">
        <v>29</v>
      </c>
      <c r="M186" s="20" t="s">
        <v>30</v>
      </c>
    </row>
    <row r="187" spans="1:13" ht="16.5" hidden="1" customHeight="1" outlineLevel="1">
      <c r="B187" s="16"/>
      <c r="C187" s="24"/>
      <c r="D187" s="24"/>
      <c r="E187" s="24"/>
      <c r="G187" s="33"/>
      <c r="H187" s="33"/>
    </row>
    <row r="188" spans="1:13" ht="16.5" hidden="1" customHeight="1" outlineLevel="1">
      <c r="B188" s="16"/>
      <c r="C188" s="24" t="s">
        <v>166</v>
      </c>
      <c r="D188" s="24"/>
      <c r="E188" s="24"/>
      <c r="G188" s="29">
        <f>G48</f>
        <v>-209320</v>
      </c>
      <c r="H188" s="29">
        <f>H48</f>
        <v>-299571</v>
      </c>
      <c r="I188" s="32">
        <f>I16*I181*-1</f>
        <v>-389817.86982221983</v>
      </c>
      <c r="J188" s="32">
        <f>J16*J181*-1</f>
        <v>-463888.12189691223</v>
      </c>
      <c r="K188" s="32">
        <f>K16*K181*-1</f>
        <v>-515077.56762207876</v>
      </c>
      <c r="L188" s="32">
        <f>L16*L181*-1</f>
        <v>-563401.29332298157</v>
      </c>
      <c r="M188" s="32">
        <f>M16*M181*-1</f>
        <v>-604377.77454035706</v>
      </c>
    </row>
    <row r="189" spans="1:13" ht="16.5" hidden="1" customHeight="1" outlineLevel="1">
      <c r="B189" s="16"/>
      <c r="C189" s="24" t="s">
        <v>167</v>
      </c>
      <c r="D189" s="24"/>
      <c r="E189" s="24"/>
      <c r="G189" s="46">
        <f>G49</f>
        <v>-66092</v>
      </c>
      <c r="H189" s="46">
        <f>H49</f>
        <v>-79546</v>
      </c>
      <c r="I189" s="56">
        <f>I17*I181</f>
        <v>-115482.08364090355</v>
      </c>
      <c r="J189" s="56">
        <f>J17*J181</f>
        <v>-156511.94033621153</v>
      </c>
      <c r="K189" s="56">
        <f>K17*K181</f>
        <v>-201812.31596986673</v>
      </c>
      <c r="L189" s="56">
        <f>L17*L181</f>
        <v>-248840.9609574106</v>
      </c>
      <c r="M189" s="56">
        <f>M17*M181</f>
        <v>-293633.22870982112</v>
      </c>
    </row>
    <row r="190" spans="1:13" ht="16.5" hidden="1" customHeight="1" outlineLevel="1">
      <c r="B190" s="16"/>
      <c r="C190" s="31" t="s">
        <v>168</v>
      </c>
      <c r="D190" s="24"/>
      <c r="E190" s="24"/>
      <c r="G190" s="32">
        <f>G188+G189</f>
        <v>-275412</v>
      </c>
      <c r="H190" s="32">
        <f>H188+H189</f>
        <v>-379117</v>
      </c>
      <c r="I190" s="32">
        <f t="shared" ref="I190:M190" si="80">I188+I189</f>
        <v>-505299.95346312341</v>
      </c>
      <c r="J190" s="32">
        <f t="shared" si="80"/>
        <v>-620400.0622331237</v>
      </c>
      <c r="K190" s="32">
        <f t="shared" si="80"/>
        <v>-716889.88359194552</v>
      </c>
      <c r="L190" s="32">
        <f t="shared" si="80"/>
        <v>-812242.2542803922</v>
      </c>
      <c r="M190" s="32">
        <f t="shared" si="80"/>
        <v>-898011.00325017818</v>
      </c>
    </row>
    <row r="191" spans="1:13" ht="16.5" hidden="1" customHeight="1" outlineLevel="1">
      <c r="B191" s="16"/>
      <c r="C191" s="31"/>
      <c r="D191" s="24"/>
      <c r="E191" s="24"/>
      <c r="G191" s="32"/>
      <c r="H191" s="32"/>
      <c r="I191" s="32"/>
      <c r="J191" s="32"/>
      <c r="K191" s="32"/>
      <c r="L191" s="32"/>
      <c r="M191" s="32"/>
    </row>
    <row r="192" spans="1:13" ht="16.5" customHeight="1" collapsed="1">
      <c r="C192" s="24"/>
      <c r="D192" s="24"/>
      <c r="E192" s="24"/>
    </row>
    <row r="193" spans="1:13" ht="22.5">
      <c r="A193" s="12" t="s">
        <v>74</v>
      </c>
      <c r="B193" s="13" t="s">
        <v>111</v>
      </c>
      <c r="C193" s="34"/>
      <c r="D193" s="34"/>
      <c r="E193" s="34"/>
      <c r="F193" s="15"/>
      <c r="G193" s="35"/>
      <c r="H193" s="35"/>
      <c r="I193" s="25"/>
      <c r="J193" s="25"/>
      <c r="K193" s="25"/>
      <c r="L193" s="25"/>
      <c r="M193" s="25"/>
    </row>
    <row r="194" spans="1:13" hidden="1" outlineLevel="1">
      <c r="C194" s="24"/>
      <c r="D194" s="24"/>
      <c r="E194" s="24"/>
    </row>
    <row r="195" spans="1:13" ht="17.25" hidden="1" outlineLevel="1" thickBot="1">
      <c r="C195" s="19" t="s">
        <v>9</v>
      </c>
      <c r="D195" s="19"/>
      <c r="E195" s="19"/>
      <c r="G195" s="89"/>
      <c r="H195" s="36" t="s">
        <v>25</v>
      </c>
      <c r="I195" s="20" t="s">
        <v>26</v>
      </c>
      <c r="J195" s="20" t="s">
        <v>27</v>
      </c>
      <c r="K195" s="20" t="s">
        <v>28</v>
      </c>
      <c r="L195" s="20" t="s">
        <v>29</v>
      </c>
      <c r="M195" s="20" t="s">
        <v>30</v>
      </c>
    </row>
    <row r="196" spans="1:13" hidden="1" outlineLevel="1">
      <c r="C196" s="24"/>
      <c r="D196" s="24"/>
      <c r="E196" s="24"/>
    </row>
    <row r="197" spans="1:13" hidden="1" outlineLevel="1">
      <c r="C197" s="24"/>
      <c r="D197" s="24"/>
      <c r="E197" s="24"/>
    </row>
    <row r="198" spans="1:13" hidden="1" outlineLevel="1">
      <c r="C198" s="24" t="s">
        <v>113</v>
      </c>
      <c r="D198" s="24"/>
      <c r="E198" s="24"/>
      <c r="I198" s="59">
        <f>Inputs!H29*Model!I181</f>
        <v>38031.011689972671</v>
      </c>
      <c r="J198" s="59">
        <f>Inputs!I29*Model!J181</f>
        <v>45100.234073310916</v>
      </c>
      <c r="K198" s="59">
        <f>Inputs!J29*Model!K181</f>
        <v>49846.216221491493</v>
      </c>
      <c r="L198" s="59">
        <f>Inputs!K29*Model!L181</f>
        <v>51218.29939299832</v>
      </c>
      <c r="M198" s="59">
        <f>Inputs!L29*Model!M181</f>
        <v>48350.221963228563</v>
      </c>
    </row>
    <row r="199" spans="1:13" hidden="1" outlineLevel="1"/>
    <row r="200" spans="1:13" hidden="1" outlineLevel="1">
      <c r="C200" s="73" t="s">
        <v>124</v>
      </c>
    </row>
    <row r="201" spans="1:13" hidden="1" outlineLevel="1">
      <c r="C201" s="24"/>
      <c r="D201" s="74" t="s">
        <v>112</v>
      </c>
      <c r="E201" s="74"/>
      <c r="G201" s="29"/>
      <c r="H201" s="32">
        <f>G203</f>
        <v>363915</v>
      </c>
      <c r="I201" s="32">
        <f>H203</f>
        <v>319656</v>
      </c>
      <c r="J201" s="32">
        <f t="shared" ref="J201:M201" si="81">I203</f>
        <v>275397</v>
      </c>
      <c r="K201" s="32">
        <f t="shared" si="81"/>
        <v>231138</v>
      </c>
      <c r="L201" s="32">
        <f t="shared" si="81"/>
        <v>186879</v>
      </c>
      <c r="M201" s="32">
        <f t="shared" si="81"/>
        <v>142620</v>
      </c>
    </row>
    <row r="202" spans="1:13" hidden="1" outlineLevel="1">
      <c r="C202" s="24"/>
      <c r="D202" s="74" t="s">
        <v>115</v>
      </c>
      <c r="E202" s="74"/>
      <c r="G202" s="29"/>
      <c r="H202" s="46">
        <f>H203-H201</f>
        <v>-44259</v>
      </c>
      <c r="I202" s="56">
        <v>-44259</v>
      </c>
      <c r="J202" s="56">
        <v>-44259</v>
      </c>
      <c r="K202" s="56">
        <v>-44259</v>
      </c>
      <c r="L202" s="56">
        <v>-44259</v>
      </c>
      <c r="M202" s="56">
        <v>-44259</v>
      </c>
    </row>
    <row r="203" spans="1:13" s="47" customFormat="1" hidden="1" outlineLevel="1">
      <c r="D203" s="73" t="s">
        <v>116</v>
      </c>
      <c r="E203" s="73"/>
      <c r="F203" s="48"/>
      <c r="G203" s="68">
        <v>363915</v>
      </c>
      <c r="H203" s="68">
        <f>H75</f>
        <v>319656</v>
      </c>
      <c r="I203" s="41">
        <f t="shared" ref="I203:M203" si="82">SUM(I201:I202)</f>
        <v>275397</v>
      </c>
      <c r="J203" s="41">
        <f t="shared" si="82"/>
        <v>231138</v>
      </c>
      <c r="K203" s="41">
        <f t="shared" si="82"/>
        <v>186879</v>
      </c>
      <c r="L203" s="41">
        <f t="shared" si="82"/>
        <v>142620</v>
      </c>
      <c r="M203" s="41">
        <f t="shared" si="82"/>
        <v>98361</v>
      </c>
    </row>
    <row r="204" spans="1:13" hidden="1" outlineLevel="1">
      <c r="D204" s="23"/>
      <c r="E204" s="23"/>
      <c r="G204" s="23"/>
      <c r="H204" s="23"/>
      <c r="I204" s="23"/>
      <c r="J204" s="23"/>
      <c r="K204" s="23"/>
      <c r="L204" s="23"/>
      <c r="M204" s="23"/>
    </row>
    <row r="205" spans="1:13" hidden="1" outlineLevel="1">
      <c r="C205" s="73" t="s">
        <v>195</v>
      </c>
      <c r="D205" s="73"/>
      <c r="E205" s="73"/>
    </row>
    <row r="206" spans="1:13" hidden="1" outlineLevel="1">
      <c r="C206" s="24"/>
      <c r="D206" s="24" t="s">
        <v>112</v>
      </c>
      <c r="E206" s="24"/>
      <c r="G206" s="32"/>
      <c r="H206" s="32"/>
      <c r="I206" s="32">
        <f>H209</f>
        <v>60118</v>
      </c>
      <c r="J206" s="32">
        <f t="shared" ref="J206:M206" si="83">I209</f>
        <v>88334.110520975402</v>
      </c>
      <c r="K206" s="32">
        <f t="shared" si="83"/>
        <v>120090.91013485768</v>
      </c>
      <c r="L206" s="32">
        <f t="shared" si="83"/>
        <v>152943.41372071428</v>
      </c>
      <c r="M206" s="32">
        <f t="shared" si="83"/>
        <v>183745.54180234135</v>
      </c>
    </row>
    <row r="207" spans="1:13" hidden="1" outlineLevel="1">
      <c r="C207" s="24"/>
      <c r="D207" s="24" t="s">
        <v>117</v>
      </c>
      <c r="E207" s="24"/>
      <c r="G207" s="32"/>
      <c r="H207" s="32"/>
      <c r="I207" s="32">
        <f>I198</f>
        <v>38031.011689972671</v>
      </c>
      <c r="J207" s="32">
        <f t="shared" ref="J207:M207" si="84">J198</f>
        <v>45100.234073310916</v>
      </c>
      <c r="K207" s="32">
        <f t="shared" si="84"/>
        <v>49846.216221491493</v>
      </c>
      <c r="L207" s="32">
        <f t="shared" si="84"/>
        <v>51218.29939299832</v>
      </c>
      <c r="M207" s="32">
        <f t="shared" si="84"/>
        <v>48350.221963228563</v>
      </c>
    </row>
    <row r="208" spans="1:13" hidden="1" outlineLevel="1">
      <c r="D208" s="24" t="s">
        <v>122</v>
      </c>
      <c r="E208" s="24"/>
      <c r="G208" s="29"/>
      <c r="H208" s="46"/>
      <c r="I208" s="56">
        <f>(I206+I207)/10*-1</f>
        <v>-9814.9011689972667</v>
      </c>
      <c r="J208" s="56">
        <f>(J206+J207)/10*-1</f>
        <v>-13343.434459428632</v>
      </c>
      <c r="K208" s="56">
        <f>(K206+K207)/10*-1</f>
        <v>-16993.712635634918</v>
      </c>
      <c r="L208" s="56">
        <f>(L206+L207)/10*-1</f>
        <v>-20416.171311371261</v>
      </c>
      <c r="M208" s="56">
        <f>(M206+M207)/10*-1</f>
        <v>-23209.576376556994</v>
      </c>
    </row>
    <row r="209" spans="3:13" s="47" customFormat="1" hidden="1" outlineLevel="1">
      <c r="D209" s="31" t="s">
        <v>116</v>
      </c>
      <c r="E209" s="31"/>
      <c r="F209" s="48"/>
      <c r="G209" s="68"/>
      <c r="H209" s="68">
        <v>60118</v>
      </c>
      <c r="I209" s="41">
        <f>SUM(I206:I208)</f>
        <v>88334.110520975402</v>
      </c>
      <c r="J209" s="41">
        <f>SUM(J206:J208)</f>
        <v>120090.91013485768</v>
      </c>
      <c r="K209" s="41">
        <f>SUM(K206:K208)</f>
        <v>152943.41372071428</v>
      </c>
      <c r="L209" s="41">
        <f>SUM(L206:L208)</f>
        <v>183745.54180234135</v>
      </c>
      <c r="M209" s="41">
        <f>SUM(M206:M208)</f>
        <v>208886.18738901292</v>
      </c>
    </row>
    <row r="210" spans="3:13" hidden="1" outlineLevel="1">
      <c r="H210" s="33"/>
    </row>
    <row r="211" spans="3:13" hidden="1" outlineLevel="1">
      <c r="C211" s="73" t="s">
        <v>198</v>
      </c>
    </row>
    <row r="212" spans="3:13" hidden="1" outlineLevel="1">
      <c r="C212" s="24"/>
      <c r="D212" s="74" t="s">
        <v>112</v>
      </c>
      <c r="E212" s="74"/>
      <c r="G212" s="29"/>
      <c r="H212" s="29"/>
      <c r="I212" s="32">
        <f>H215</f>
        <v>5745</v>
      </c>
      <c r="J212" s="32">
        <f t="shared" ref="J212:M212" ca="1" si="85">I215</f>
        <v>6466.4285714285716</v>
      </c>
      <c r="K212" s="32">
        <f t="shared" ca="1" si="85"/>
        <v>7119.149659863946</v>
      </c>
      <c r="L212" s="32">
        <f t="shared" ca="1" si="85"/>
        <v>7709.7068351149992</v>
      </c>
      <c r="M212" s="32">
        <f t="shared" ca="1" si="85"/>
        <v>8244.0204698659509</v>
      </c>
    </row>
    <row r="213" spans="3:13" hidden="1" outlineLevel="1">
      <c r="C213" s="24"/>
      <c r="D213" s="74" t="s">
        <v>88</v>
      </c>
      <c r="E213" s="74"/>
      <c r="G213" s="29"/>
      <c r="H213" s="29"/>
      <c r="I213" s="32">
        <v>1332</v>
      </c>
      <c r="J213" s="32">
        <v>1332</v>
      </c>
      <c r="K213" s="32">
        <v>1332</v>
      </c>
      <c r="L213" s="32">
        <v>1332</v>
      </c>
      <c r="M213" s="32">
        <v>1332</v>
      </c>
    </row>
    <row r="214" spans="3:13" hidden="1" outlineLevel="1">
      <c r="C214" s="24"/>
      <c r="D214" s="74" t="s">
        <v>118</v>
      </c>
      <c r="E214" s="74"/>
      <c r="G214" s="29"/>
      <c r="H214" s="46"/>
      <c r="I214" s="56">
        <f ca="1">AVERAGE(I212,I215)*0.1*-1</f>
        <v>-610.57142857142867</v>
      </c>
      <c r="J214" s="56">
        <f t="shared" ref="J214:M214" ca="1" si="86">AVERAGE(J212,J215)*0.1*-1</f>
        <v>-679.27891156462601</v>
      </c>
      <c r="K214" s="56">
        <f t="shared" ca="1" si="86"/>
        <v>-741.44282474894726</v>
      </c>
      <c r="L214" s="56">
        <f t="shared" ca="1" si="86"/>
        <v>-797.68636524904753</v>
      </c>
      <c r="M214" s="56">
        <f t="shared" ca="1" si="86"/>
        <v>-848.57337808247144</v>
      </c>
    </row>
    <row r="215" spans="3:13" hidden="1" outlineLevel="1">
      <c r="C215" s="47"/>
      <c r="D215" s="73" t="s">
        <v>116</v>
      </c>
      <c r="E215" s="73"/>
      <c r="F215" s="48"/>
      <c r="G215" s="68"/>
      <c r="H215" s="68">
        <f>H79</f>
        <v>5745</v>
      </c>
      <c r="I215" s="41">
        <f ca="1">SUM(I212:I214)</f>
        <v>6466.4285714285716</v>
      </c>
      <c r="J215" s="41">
        <f ca="1">SUM(J212:J214)</f>
        <v>7119.149659863946</v>
      </c>
      <c r="K215" s="41">
        <f ca="1">SUM(K212:K214)</f>
        <v>7709.7068351149992</v>
      </c>
      <c r="L215" s="41">
        <f ca="1">SUM(L212:L214)</f>
        <v>8244.0204698659509</v>
      </c>
      <c r="M215" s="41">
        <f ca="1">SUM(M212:M214)</f>
        <v>8727.4470917834788</v>
      </c>
    </row>
    <row r="216" spans="3:13" hidden="1" outlineLevel="1"/>
    <row r="217" spans="3:13" hidden="1" outlineLevel="1"/>
    <row r="218" spans="3:13" hidden="1" outlineLevel="1">
      <c r="C218" s="22" t="s">
        <v>120</v>
      </c>
      <c r="H218" s="33"/>
    </row>
    <row r="219" spans="3:13" hidden="1" outlineLevel="1">
      <c r="C219" s="24"/>
      <c r="D219" s="24" t="s">
        <v>119</v>
      </c>
      <c r="E219" s="24"/>
      <c r="I219" s="32">
        <f>I202*-1</f>
        <v>44259</v>
      </c>
      <c r="J219" s="32">
        <f>J202*-1</f>
        <v>44259</v>
      </c>
      <c r="K219" s="32">
        <f>K202*-1</f>
        <v>44259</v>
      </c>
      <c r="L219" s="32">
        <f>L202*-1</f>
        <v>44259</v>
      </c>
      <c r="M219" s="32">
        <f>M202*-1</f>
        <v>44259</v>
      </c>
    </row>
    <row r="220" spans="3:13" hidden="1" outlineLevel="1">
      <c r="C220" s="24"/>
      <c r="D220" s="24" t="s">
        <v>199</v>
      </c>
      <c r="E220" s="24"/>
      <c r="I220" s="32">
        <f>I208*-1</f>
        <v>9814.9011689972667</v>
      </c>
      <c r="J220" s="32">
        <f>J208*-1</f>
        <v>13343.434459428632</v>
      </c>
      <c r="K220" s="32">
        <f>K208*-1</f>
        <v>16993.712635634918</v>
      </c>
      <c r="L220" s="32">
        <f>L208*-1</f>
        <v>20416.171311371261</v>
      </c>
      <c r="M220" s="32">
        <f>M208*-1</f>
        <v>23209.576376556994</v>
      </c>
    </row>
    <row r="221" spans="3:13" ht="16.5" hidden="1" customHeight="1" outlineLevel="1">
      <c r="D221" s="24" t="s">
        <v>123</v>
      </c>
      <c r="E221" s="24"/>
      <c r="H221" s="43"/>
      <c r="I221" s="56">
        <f ca="1">I214*-1</f>
        <v>610.57142857142867</v>
      </c>
      <c r="J221" s="56">
        <f ca="1">J214*-1</f>
        <v>679.27891156462601</v>
      </c>
      <c r="K221" s="56">
        <f ca="1">K214*-1</f>
        <v>741.44282474894726</v>
      </c>
      <c r="L221" s="56">
        <f ca="1">L214*-1</f>
        <v>797.68636524904753</v>
      </c>
      <c r="M221" s="56">
        <f ca="1">M214*-1</f>
        <v>848.57337808247144</v>
      </c>
    </row>
    <row r="222" spans="3:13" hidden="1" outlineLevel="1">
      <c r="D222" s="31" t="s">
        <v>121</v>
      </c>
      <c r="E222" s="31"/>
      <c r="H222" s="68">
        <f>H52*-1</f>
        <v>56724</v>
      </c>
      <c r="I222" s="32">
        <f ca="1">SUM(I219:I221)</f>
        <v>54684.472597568696</v>
      </c>
      <c r="J222" s="32">
        <f ca="1">SUM(J219:J221)</f>
        <v>58281.713370993253</v>
      </c>
      <c r="K222" s="32">
        <f ca="1">SUM(K219:K221)</f>
        <v>61994.155460383867</v>
      </c>
      <c r="L222" s="32">
        <f ca="1">SUM(L219:L221)</f>
        <v>65472.857676620311</v>
      </c>
      <c r="M222" s="32">
        <f ca="1">SUM(M219:M221)</f>
        <v>68317.149754639468</v>
      </c>
    </row>
    <row r="223" spans="3:13" hidden="1" outlineLevel="1">
      <c r="D223" s="31"/>
      <c r="E223" s="31"/>
      <c r="H223" s="68"/>
      <c r="I223" s="32"/>
      <c r="J223" s="32"/>
      <c r="K223" s="32"/>
      <c r="L223" s="32"/>
      <c r="M223" s="32"/>
    </row>
    <row r="224" spans="3:13" hidden="1" outlineLevel="1">
      <c r="I224" s="33"/>
    </row>
    <row r="225" spans="1:13" hidden="1" outlineLevel="1">
      <c r="H225" s="90"/>
      <c r="I225" s="90"/>
      <c r="J225" s="90"/>
      <c r="K225" s="90"/>
      <c r="L225" s="90"/>
      <c r="M225" s="97" t="s">
        <v>206</v>
      </c>
    </row>
    <row r="226" spans="1:13" ht="16.5" hidden="1" customHeight="1" outlineLevel="1">
      <c r="H226" s="91"/>
      <c r="I226" s="91"/>
      <c r="J226" s="91"/>
      <c r="K226" s="91"/>
      <c r="L226" s="91"/>
      <c r="M226" s="97" t="s">
        <v>207</v>
      </c>
    </row>
    <row r="227" spans="1:13" hidden="1" outlineLevel="1">
      <c r="G227" s="91"/>
      <c r="H227" s="91"/>
      <c r="I227" s="91"/>
      <c r="J227" s="91"/>
      <c r="K227" s="91"/>
      <c r="L227" s="91"/>
      <c r="M227" s="98" t="s">
        <v>208</v>
      </c>
    </row>
    <row r="228" spans="1:13" hidden="1" outlineLevel="1">
      <c r="M228" s="98" t="s">
        <v>209</v>
      </c>
    </row>
    <row r="229" spans="1:13" collapsed="1"/>
    <row r="230" spans="1:13" ht="22.5">
      <c r="A230" s="12" t="s">
        <v>74</v>
      </c>
      <c r="B230" s="13" t="s">
        <v>126</v>
      </c>
      <c r="C230" s="34"/>
      <c r="D230" s="34"/>
      <c r="E230" s="34"/>
      <c r="F230" s="15"/>
      <c r="G230" s="35"/>
      <c r="H230" s="35"/>
      <c r="I230" s="25"/>
      <c r="J230" s="25"/>
      <c r="K230" s="25"/>
      <c r="L230" s="25"/>
      <c r="M230" s="25"/>
    </row>
    <row r="231" spans="1:13" hidden="1" outlineLevel="1">
      <c r="L231" s="72"/>
    </row>
    <row r="232" spans="1:13" ht="17.25" hidden="1" outlineLevel="1" thickBot="1">
      <c r="B232" s="24"/>
      <c r="C232" s="19" t="s">
        <v>9</v>
      </c>
      <c r="D232" s="19"/>
      <c r="E232" s="19"/>
      <c r="H232" s="65" t="s">
        <v>25</v>
      </c>
      <c r="I232" s="60" t="s">
        <v>26</v>
      </c>
      <c r="J232" s="60" t="s">
        <v>27</v>
      </c>
      <c r="K232" s="60" t="s">
        <v>28</v>
      </c>
      <c r="L232" s="60" t="s">
        <v>29</v>
      </c>
      <c r="M232" s="60" t="s">
        <v>30</v>
      </c>
    </row>
    <row r="233" spans="1:13" hidden="1" outlineLevel="1">
      <c r="C233" s="24"/>
    </row>
    <row r="234" spans="1:13" hidden="1" outlineLevel="1">
      <c r="D234" s="22" t="s">
        <v>159</v>
      </c>
    </row>
    <row r="235" spans="1:13" hidden="1" outlineLevel="1">
      <c r="D235" s="24" t="s">
        <v>112</v>
      </c>
      <c r="E235" s="24"/>
      <c r="H235" s="29"/>
      <c r="I235" s="32">
        <f>H238</f>
        <v>102930</v>
      </c>
      <c r="J235" s="32">
        <f t="shared" ref="J235:M235" si="87">I238</f>
        <v>102930</v>
      </c>
      <c r="K235" s="32">
        <f t="shared" si="87"/>
        <v>102930</v>
      </c>
      <c r="L235" s="32">
        <f t="shared" si="87"/>
        <v>102930</v>
      </c>
      <c r="M235" s="32">
        <f t="shared" si="87"/>
        <v>102930</v>
      </c>
    </row>
    <row r="236" spans="1:13" hidden="1" outlineLevel="1">
      <c r="D236" s="24" t="s">
        <v>143</v>
      </c>
      <c r="E236" s="24"/>
      <c r="H236" s="29"/>
      <c r="I236" s="32">
        <v>0</v>
      </c>
      <c r="J236" s="32">
        <v>0</v>
      </c>
      <c r="K236" s="32">
        <v>0</v>
      </c>
      <c r="L236" s="32">
        <v>0</v>
      </c>
      <c r="M236" s="32">
        <v>0</v>
      </c>
    </row>
    <row r="237" spans="1:13" hidden="1" outlineLevel="1">
      <c r="D237" s="24" t="s">
        <v>127</v>
      </c>
      <c r="E237" s="24"/>
      <c r="H237" s="46"/>
      <c r="I237" s="56">
        <v>0</v>
      </c>
      <c r="J237" s="56">
        <v>0</v>
      </c>
      <c r="K237" s="56">
        <v>0</v>
      </c>
      <c r="L237" s="56">
        <v>0</v>
      </c>
      <c r="M237" s="56">
        <v>0</v>
      </c>
    </row>
    <row r="238" spans="1:13" hidden="1" outlineLevel="1">
      <c r="D238" s="24" t="s">
        <v>116</v>
      </c>
      <c r="E238" s="24"/>
      <c r="H238" s="29">
        <v>102930</v>
      </c>
      <c r="I238" s="32">
        <f>SUM(I235:I237)</f>
        <v>102930</v>
      </c>
      <c r="J238" s="32">
        <f t="shared" ref="J238:M238" si="88">SUM(J235:J237)</f>
        <v>102930</v>
      </c>
      <c r="K238" s="32">
        <f t="shared" si="88"/>
        <v>102930</v>
      </c>
      <c r="L238" s="32">
        <f t="shared" si="88"/>
        <v>102930</v>
      </c>
      <c r="M238" s="32">
        <f t="shared" si="88"/>
        <v>102930</v>
      </c>
    </row>
    <row r="239" spans="1:13" hidden="1" outlineLevel="1">
      <c r="D239" s="24"/>
      <c r="E239" s="24"/>
      <c r="H239" s="29"/>
      <c r="I239" s="32"/>
      <c r="J239" s="32"/>
      <c r="K239" s="32"/>
      <c r="L239" s="32"/>
      <c r="M239" s="32"/>
    </row>
    <row r="240" spans="1:13" hidden="1" outlineLevel="1">
      <c r="D240" s="24" t="s">
        <v>130</v>
      </c>
      <c r="I240" s="53">
        <f>Inputs!$E$40</f>
        <v>0.11000680073836588</v>
      </c>
      <c r="J240" s="53">
        <f>Inputs!$E$40</f>
        <v>0.11000680073836588</v>
      </c>
      <c r="K240" s="53">
        <f>Inputs!$E$40</f>
        <v>0.11000680073836588</v>
      </c>
      <c r="L240" s="53">
        <f>Inputs!$E$40</f>
        <v>0.11000680073836588</v>
      </c>
      <c r="M240" s="53">
        <f>Inputs!$E$40</f>
        <v>0.11000680073836588</v>
      </c>
    </row>
    <row r="241" spans="1:13" ht="17.25" hidden="1" outlineLevel="1" thickBot="1">
      <c r="D241" s="31" t="s">
        <v>129</v>
      </c>
      <c r="E241" s="47"/>
      <c r="F241" s="48"/>
      <c r="G241" s="47"/>
      <c r="H241" s="47"/>
      <c r="I241" s="80">
        <f>AVERAGE(H238:I238)*I240</f>
        <v>11323</v>
      </c>
      <c r="J241" s="80">
        <f t="shared" ref="J241:M241" si="89">AVERAGE(I238:J238)*J240</f>
        <v>11323</v>
      </c>
      <c r="K241" s="80">
        <f t="shared" si="89"/>
        <v>11323</v>
      </c>
      <c r="L241" s="80">
        <f t="shared" si="89"/>
        <v>11323</v>
      </c>
      <c r="M241" s="80">
        <f t="shared" si="89"/>
        <v>11323</v>
      </c>
    </row>
    <row r="242" spans="1:13" ht="17.25" hidden="1" outlineLevel="1" thickTop="1"/>
    <row r="243" spans="1:13" collapsed="1">
      <c r="D243" s="31"/>
    </row>
    <row r="244" spans="1:13" ht="22.5">
      <c r="A244" s="12" t="s">
        <v>74</v>
      </c>
      <c r="B244" s="13" t="s">
        <v>137</v>
      </c>
      <c r="C244" s="34"/>
      <c r="D244" s="34"/>
      <c r="E244" s="34"/>
      <c r="F244" s="15"/>
      <c r="G244" s="35"/>
      <c r="H244" s="35"/>
      <c r="I244" s="25"/>
      <c r="J244" s="25"/>
      <c r="K244" s="25"/>
      <c r="L244" s="25"/>
      <c r="M244" s="25"/>
    </row>
    <row r="245" spans="1:13" ht="15" hidden="1" customHeight="1" outlineLevel="1">
      <c r="B245" s="16"/>
      <c r="C245" s="24"/>
      <c r="D245" s="24"/>
      <c r="E245" s="24"/>
      <c r="G245" s="33"/>
      <c r="H245" s="33"/>
    </row>
    <row r="246" spans="1:13" ht="17.25" hidden="1" outlineLevel="1" thickBot="1">
      <c r="B246" s="24"/>
      <c r="C246" s="19" t="s">
        <v>9</v>
      </c>
      <c r="D246" s="19"/>
      <c r="E246" s="19"/>
      <c r="H246" s="65" t="s">
        <v>25</v>
      </c>
      <c r="I246" s="60" t="s">
        <v>26</v>
      </c>
      <c r="J246" s="60" t="s">
        <v>27</v>
      </c>
      <c r="K246" s="60" t="s">
        <v>28</v>
      </c>
      <c r="L246" s="60" t="s">
        <v>29</v>
      </c>
      <c r="M246" s="60" t="s">
        <v>30</v>
      </c>
    </row>
    <row r="247" spans="1:13" hidden="1" outlineLevel="1"/>
    <row r="248" spans="1:13" hidden="1" outlineLevel="1">
      <c r="D248" s="24" t="s">
        <v>139</v>
      </c>
      <c r="H248" s="29">
        <v>365</v>
      </c>
      <c r="I248" s="32">
        <v>365</v>
      </c>
      <c r="J248" s="32">
        <v>365</v>
      </c>
      <c r="K248" s="32">
        <v>365</v>
      </c>
      <c r="L248" s="32">
        <v>365</v>
      </c>
      <c r="M248" s="32">
        <v>365</v>
      </c>
    </row>
    <row r="249" spans="1:13" ht="15.75" hidden="1" customHeight="1" outlineLevel="1">
      <c r="D249" s="24" t="s">
        <v>75</v>
      </c>
      <c r="H249" s="29">
        <f>H41</f>
        <v>327455</v>
      </c>
      <c r="I249" s="32">
        <f>I181</f>
        <v>475387.64612465835</v>
      </c>
      <c r="J249" s="32">
        <f>J181</f>
        <v>644289.05819015589</v>
      </c>
      <c r="K249" s="32">
        <f>K181</f>
        <v>830770.27035819157</v>
      </c>
      <c r="L249" s="32">
        <f>L181</f>
        <v>1024365.9878599663</v>
      </c>
      <c r="M249" s="32">
        <f>M181</f>
        <v>1208755.5490807141</v>
      </c>
    </row>
    <row r="250" spans="1:13" ht="15.75" hidden="1" customHeight="1" outlineLevel="1">
      <c r="D250" s="24" t="s">
        <v>15</v>
      </c>
      <c r="H250" s="29">
        <f>(H48+H49)*-1</f>
        <v>379117</v>
      </c>
      <c r="I250" s="32">
        <f>I190*-1</f>
        <v>505299.95346312341</v>
      </c>
      <c r="J250" s="32">
        <f>J190*-1</f>
        <v>620400.0622331237</v>
      </c>
      <c r="K250" s="32">
        <f>K190*-1</f>
        <v>716889.88359194552</v>
      </c>
      <c r="L250" s="32">
        <f>L190*-1</f>
        <v>812242.2542803922</v>
      </c>
      <c r="M250" s="32">
        <f>M190*-1</f>
        <v>898011.00325017818</v>
      </c>
    </row>
    <row r="251" spans="1:13" hidden="1" outlineLevel="1"/>
    <row r="252" spans="1:13" hidden="1" outlineLevel="1">
      <c r="C252" s="22" t="s">
        <v>138</v>
      </c>
    </row>
    <row r="253" spans="1:13" hidden="1" outlineLevel="1">
      <c r="D253" s="24" t="s">
        <v>112</v>
      </c>
      <c r="I253" s="32">
        <f>H255</f>
        <v>92654</v>
      </c>
      <c r="J253" s="32">
        <f t="shared" ref="J253:M253" si="90">I255</f>
        <v>114377.58246159517</v>
      </c>
      <c r="K253" s="32">
        <f t="shared" si="90"/>
        <v>159515.5852722475</v>
      </c>
      <c r="L253" s="32">
        <f t="shared" si="90"/>
        <v>210145.43858770982</v>
      </c>
      <c r="M253" s="32">
        <f t="shared" si="90"/>
        <v>264293.38473244989</v>
      </c>
    </row>
    <row r="254" spans="1:13" hidden="1" outlineLevel="1">
      <c r="D254" s="24" t="s">
        <v>160</v>
      </c>
      <c r="F254" s="12"/>
      <c r="H254" s="43"/>
      <c r="I254" s="56">
        <f>I255-I253</f>
        <v>21723.582461595171</v>
      </c>
      <c r="J254" s="56">
        <f t="shared" ref="J254:M254" si="91">J255-J253</f>
        <v>45138.002810652324</v>
      </c>
      <c r="K254" s="56">
        <f t="shared" si="91"/>
        <v>50629.853315462329</v>
      </c>
      <c r="L254" s="56">
        <f t="shared" si="91"/>
        <v>54147.946144740068</v>
      </c>
      <c r="M254" s="56">
        <f t="shared" si="91"/>
        <v>53849.957516633323</v>
      </c>
    </row>
    <row r="255" spans="1:13" hidden="1" outlineLevel="1">
      <c r="D255" s="24" t="s">
        <v>116</v>
      </c>
      <c r="G255" s="92"/>
      <c r="H255" s="29">
        <f>H92</f>
        <v>92654</v>
      </c>
      <c r="I255" s="32">
        <f>AVERAGE(H249:I249)*104/I248</f>
        <v>114377.58246159517</v>
      </c>
      <c r="J255" s="32">
        <f t="shared" ref="J255:M255" si="92">AVERAGE(I249:J249)*104/J248</f>
        <v>159515.5852722475</v>
      </c>
      <c r="K255" s="32">
        <f t="shared" si="92"/>
        <v>210145.43858770982</v>
      </c>
      <c r="L255" s="32">
        <f t="shared" si="92"/>
        <v>264293.38473244989</v>
      </c>
      <c r="M255" s="32">
        <f t="shared" si="92"/>
        <v>318143.34224908322</v>
      </c>
    </row>
    <row r="256" spans="1:13" hidden="1" outlineLevel="1"/>
    <row r="257" spans="3:13" hidden="1" outlineLevel="1">
      <c r="C257" s="22" t="s">
        <v>194</v>
      </c>
      <c r="F257" s="12"/>
    </row>
    <row r="258" spans="3:13" hidden="1" outlineLevel="1">
      <c r="D258" s="24" t="s">
        <v>112</v>
      </c>
      <c r="F258" s="12"/>
      <c r="I258" s="33">
        <f>H260</f>
        <v>14599</v>
      </c>
      <c r="J258" s="33">
        <f t="shared" ref="J258:M258" si="93">I260</f>
        <v>17005.440727796584</v>
      </c>
      <c r="K258" s="33">
        <f t="shared" si="93"/>
        <v>23716.472862309482</v>
      </c>
      <c r="L258" s="33">
        <f t="shared" si="93"/>
        <v>31244.022851418784</v>
      </c>
      <c r="M258" s="33">
        <f t="shared" si="93"/>
        <v>39294.636169858895</v>
      </c>
    </row>
    <row r="259" spans="3:13" hidden="1" outlineLevel="1">
      <c r="D259" s="24" t="s">
        <v>160</v>
      </c>
      <c r="F259" s="12"/>
      <c r="H259" s="43"/>
      <c r="I259" s="94">
        <f>I260-I258</f>
        <v>2406.4407277965838</v>
      </c>
      <c r="J259" s="94">
        <f t="shared" ref="J259:M259" si="94">J260-J258</f>
        <v>6711.0321345128978</v>
      </c>
      <c r="K259" s="94">
        <f t="shared" si="94"/>
        <v>7527.5499891093023</v>
      </c>
      <c r="L259" s="94">
        <f t="shared" si="94"/>
        <v>8050.6133184401115</v>
      </c>
      <c r="M259" s="94">
        <f t="shared" si="94"/>
        <v>8006.308937775917</v>
      </c>
    </row>
    <row r="260" spans="3:13" hidden="1" outlineLevel="1">
      <c r="D260" s="24" t="s">
        <v>116</v>
      </c>
      <c r="F260" s="12"/>
      <c r="H260" s="69">
        <v>14599</v>
      </c>
      <c r="I260" s="32">
        <f>I30*(AVERAGE(H181:I181))</f>
        <v>17005.440727796584</v>
      </c>
      <c r="J260" s="32">
        <f>J30*(AVERAGE(I181:J181))</f>
        <v>23716.472862309482</v>
      </c>
      <c r="K260" s="32">
        <f>K30*(AVERAGE(J181:K181))</f>
        <v>31244.022851418784</v>
      </c>
      <c r="L260" s="32">
        <f>L30*(AVERAGE(K181:L181))</f>
        <v>39294.636169858895</v>
      </c>
      <c r="M260" s="32">
        <f>M30*(AVERAGE(L181:M181))</f>
        <v>47300.945107634812</v>
      </c>
    </row>
    <row r="261" spans="3:13" hidden="1" outlineLevel="1">
      <c r="F261" s="12"/>
    </row>
    <row r="262" spans="3:13" hidden="1" outlineLevel="1">
      <c r="C262" s="22" t="s">
        <v>161</v>
      </c>
    </row>
    <row r="263" spans="3:13" hidden="1" outlineLevel="1">
      <c r="D263" s="24" t="s">
        <v>112</v>
      </c>
      <c r="I263" s="32">
        <f>H265</f>
        <v>14527</v>
      </c>
      <c r="J263" s="32">
        <f t="shared" ref="J263:M263" si="95">I265</f>
        <v>19362.076678067177</v>
      </c>
      <c r="K263" s="32">
        <f t="shared" si="95"/>
        <v>23772.48106537187</v>
      </c>
      <c r="L263" s="32">
        <f t="shared" si="95"/>
        <v>27469.776715209795</v>
      </c>
      <c r="M263" s="32">
        <f t="shared" si="95"/>
        <v>31123.487545879656</v>
      </c>
    </row>
    <row r="264" spans="3:13" hidden="1" outlineLevel="1">
      <c r="D264" s="24" t="s">
        <v>160</v>
      </c>
      <c r="H264" s="43"/>
      <c r="I264" s="56">
        <f>I265-I263</f>
        <v>4835.0766780671765</v>
      </c>
      <c r="J264" s="56">
        <f t="shared" ref="J264:M264" si="96">J265-J263</f>
        <v>4410.404387304694</v>
      </c>
      <c r="K264" s="56">
        <f t="shared" si="96"/>
        <v>3697.2956498379244</v>
      </c>
      <c r="L264" s="56">
        <f t="shared" si="96"/>
        <v>3653.710830669861</v>
      </c>
      <c r="M264" s="56">
        <f t="shared" si="96"/>
        <v>3286.4857452556353</v>
      </c>
    </row>
    <row r="265" spans="3:13" hidden="1" outlineLevel="1">
      <c r="D265" s="24" t="s">
        <v>116</v>
      </c>
      <c r="H265" s="29">
        <f>H113</f>
        <v>14527</v>
      </c>
      <c r="I265" s="32">
        <f>I250*I25</f>
        <v>19362.076678067177</v>
      </c>
      <c r="J265" s="32">
        <f>J250*J25</f>
        <v>23772.48106537187</v>
      </c>
      <c r="K265" s="32">
        <f>K250*K25</f>
        <v>27469.776715209795</v>
      </c>
      <c r="L265" s="32">
        <f>L250*L25</f>
        <v>31123.487545879656</v>
      </c>
      <c r="M265" s="32">
        <f>M250*M25</f>
        <v>34409.973291135291</v>
      </c>
    </row>
    <row r="266" spans="3:13" hidden="1" outlineLevel="1"/>
    <row r="267" spans="3:13" hidden="1" outlineLevel="1">
      <c r="C267" s="22" t="s">
        <v>142</v>
      </c>
    </row>
    <row r="268" spans="3:13" hidden="1" outlineLevel="1">
      <c r="D268" s="24" t="s">
        <v>112</v>
      </c>
      <c r="I268" s="32">
        <f>H270</f>
        <v>99488</v>
      </c>
      <c r="J268" s="32">
        <f t="shared" ref="J268:M268" si="97">I270</f>
        <v>144433.17749812955</v>
      </c>
      <c r="K268" s="32">
        <f t="shared" si="97"/>
        <v>195749.12528812274</v>
      </c>
      <c r="L268" s="32">
        <f t="shared" si="97"/>
        <v>252406.20133268926</v>
      </c>
      <c r="M268" s="32">
        <f t="shared" si="97"/>
        <v>311224.81989956583</v>
      </c>
    </row>
    <row r="269" spans="3:13" hidden="1" outlineLevel="1">
      <c r="D269" s="24" t="s">
        <v>160</v>
      </c>
      <c r="H269" s="43"/>
      <c r="I269" s="56">
        <f>I270-I268</f>
        <v>44945.177498129546</v>
      </c>
      <c r="J269" s="56">
        <f t="shared" ref="J269:M269" si="98">J270-J268</f>
        <v>51315.947789993195</v>
      </c>
      <c r="K269" s="56">
        <f t="shared" si="98"/>
        <v>56657.076044566522</v>
      </c>
      <c r="L269" s="56">
        <f t="shared" si="98"/>
        <v>58818.618566876568</v>
      </c>
      <c r="M269" s="56">
        <f t="shared" si="98"/>
        <v>56021.586681314278</v>
      </c>
    </row>
    <row r="270" spans="3:13" hidden="1" outlineLevel="1">
      <c r="D270" s="24" t="s">
        <v>116</v>
      </c>
      <c r="H270" s="29">
        <f>H116</f>
        <v>99488</v>
      </c>
      <c r="I270" s="32">
        <f>I28*I181</f>
        <v>144433.17749812955</v>
      </c>
      <c r="J270" s="32">
        <f>J28*J181</f>
        <v>195749.12528812274</v>
      </c>
      <c r="K270" s="32">
        <f>K28*K181</f>
        <v>252406.20133268926</v>
      </c>
      <c r="L270" s="32">
        <f>L28*L181</f>
        <v>311224.81989956583</v>
      </c>
      <c r="M270" s="32">
        <f>M28*M181</f>
        <v>367246.40658088011</v>
      </c>
    </row>
    <row r="271" spans="3:13" hidden="1" outlineLevel="1"/>
    <row r="272" spans="3:13" hidden="1" outlineLevel="1">
      <c r="C272" s="31" t="s">
        <v>162</v>
      </c>
    </row>
    <row r="273" spans="1:13" hidden="1" outlineLevel="1">
      <c r="C273" s="22" t="s">
        <v>187</v>
      </c>
    </row>
    <row r="274" spans="1:13" hidden="1" outlineLevel="1">
      <c r="C274" s="22"/>
      <c r="D274" s="24" t="s">
        <v>193</v>
      </c>
      <c r="I274" s="32">
        <f>I254</f>
        <v>21723.582461595171</v>
      </c>
      <c r="J274" s="32">
        <f>J254</f>
        <v>45138.002810652324</v>
      </c>
      <c r="K274" s="32">
        <f>K254</f>
        <v>50629.853315462329</v>
      </c>
      <c r="L274" s="32">
        <f>L254</f>
        <v>54147.946144740068</v>
      </c>
      <c r="M274" s="32">
        <f>M254</f>
        <v>53849.957516633323</v>
      </c>
    </row>
    <row r="275" spans="1:13" hidden="1" outlineLevel="1">
      <c r="D275" s="24" t="s">
        <v>188</v>
      </c>
      <c r="I275" s="56">
        <f>H94-I94</f>
        <v>-4663.5681420190504</v>
      </c>
      <c r="J275" s="56">
        <f>I94-J94</f>
        <v>-5324.6072796327153</v>
      </c>
      <c r="K275" s="56">
        <f>J94-K94</f>
        <v>-5878.8094645390447</v>
      </c>
      <c r="L275" s="56">
        <f>K94-L94</f>
        <v>-6103.0938350943507</v>
      </c>
      <c r="M275" s="56">
        <f>L94-M94</f>
        <v>-5812.8702889917076</v>
      </c>
    </row>
    <row r="276" spans="1:13" hidden="1" outlineLevel="1">
      <c r="D276" s="24"/>
      <c r="I276" s="32">
        <f>SUM(I274:I275)</f>
        <v>17060.014319576119</v>
      </c>
      <c r="J276" s="32">
        <f>SUM(J274:J275)</f>
        <v>39813.395531019611</v>
      </c>
      <c r="K276" s="32">
        <f>SUM(K274:K275)</f>
        <v>44751.043850923284</v>
      </c>
      <c r="L276" s="32">
        <f>SUM(L274:L275)</f>
        <v>48044.852309645721</v>
      </c>
      <c r="M276" s="32">
        <f>SUM(M274:M275)</f>
        <v>48037.087227641619</v>
      </c>
    </row>
    <row r="277" spans="1:13" hidden="1" outlineLevel="1">
      <c r="C277" s="22" t="s">
        <v>189</v>
      </c>
      <c r="D277" s="24"/>
      <c r="I277" s="32"/>
      <c r="J277" s="32"/>
      <c r="K277" s="32"/>
      <c r="L277" s="32"/>
      <c r="M277" s="32"/>
    </row>
    <row r="278" spans="1:13" hidden="1" outlineLevel="1">
      <c r="D278" s="24" t="s">
        <v>190</v>
      </c>
      <c r="I278" s="32">
        <f>I114-H114</f>
        <v>8251.0373753159656</v>
      </c>
      <c r="J278" s="32">
        <f>J114-I114</f>
        <v>6772.0511467189717</v>
      </c>
      <c r="K278" s="32">
        <f>K114-J114</f>
        <v>4680.1183324373415</v>
      </c>
      <c r="L278" s="32">
        <f>L114-K114</f>
        <v>4418.1129789666738</v>
      </c>
      <c r="M278" s="32">
        <f>M114-L114</f>
        <v>3746.373460924784</v>
      </c>
    </row>
    <row r="279" spans="1:13" hidden="1" outlineLevel="1">
      <c r="D279" s="24" t="s">
        <v>192</v>
      </c>
      <c r="I279" s="32">
        <f>I264</f>
        <v>4835.0766780671765</v>
      </c>
      <c r="J279" s="32">
        <f>J264</f>
        <v>4410.404387304694</v>
      </c>
      <c r="K279" s="32">
        <f>K264</f>
        <v>3697.2956498379244</v>
      </c>
      <c r="L279" s="32">
        <f>L264</f>
        <v>3653.710830669861</v>
      </c>
      <c r="M279" s="32">
        <f>M264</f>
        <v>3286.4857452556353</v>
      </c>
    </row>
    <row r="280" spans="1:13" hidden="1" outlineLevel="1">
      <c r="D280" s="24" t="s">
        <v>191</v>
      </c>
      <c r="I280" s="32">
        <v>11392</v>
      </c>
      <c r="J280" s="32">
        <f>J115-I115</f>
        <v>12527.467215072189</v>
      </c>
      <c r="K280" s="32">
        <f>K115-J115</f>
        <v>10501.928161303935</v>
      </c>
      <c r="L280" s="32">
        <f>L115-K115</f>
        <v>10378.128313205088</v>
      </c>
      <c r="M280" s="32">
        <f>M115-L115</f>
        <v>9335.0493086310598</v>
      </c>
    </row>
    <row r="281" spans="1:13" hidden="1" outlineLevel="1">
      <c r="C281" s="31"/>
      <c r="D281" s="24" t="s">
        <v>163</v>
      </c>
      <c r="F281" s="12"/>
      <c r="I281" s="56">
        <f>I269</f>
        <v>44945.177498129546</v>
      </c>
      <c r="J281" s="56">
        <f>J269</f>
        <v>51315.947789993195</v>
      </c>
      <c r="K281" s="56">
        <f>K269</f>
        <v>56657.076044566522</v>
      </c>
      <c r="L281" s="56">
        <f>L269</f>
        <v>58818.618566876568</v>
      </c>
      <c r="M281" s="56">
        <f>M269</f>
        <v>56021.586681314278</v>
      </c>
    </row>
    <row r="282" spans="1:13" hidden="1" outlineLevel="1">
      <c r="C282" s="31"/>
      <c r="D282" s="24"/>
      <c r="F282" s="12"/>
      <c r="I282" s="32">
        <f>SUM(I278:I281)</f>
        <v>69423.291551512695</v>
      </c>
      <c r="J282" s="32">
        <f>SUM(J278:J281)</f>
        <v>75025.870539089054</v>
      </c>
      <c r="K282" s="32">
        <f>SUM(K278:K281)</f>
        <v>75536.418188145719</v>
      </c>
      <c r="L282" s="32">
        <f>SUM(L278:L281)</f>
        <v>77268.570689718195</v>
      </c>
      <c r="M282" s="32">
        <f>SUM(M278:M281)</f>
        <v>72389.495196125761</v>
      </c>
    </row>
    <row r="283" spans="1:13" hidden="1" outlineLevel="1">
      <c r="C283" s="31"/>
      <c r="D283" s="24"/>
      <c r="F283" s="12"/>
      <c r="I283" s="32"/>
      <c r="J283" s="32"/>
      <c r="K283" s="32"/>
      <c r="L283" s="32"/>
      <c r="M283" s="32"/>
    </row>
    <row r="284" spans="1:13" hidden="1" outlineLevel="1">
      <c r="C284" s="31"/>
      <c r="D284" s="24" t="s">
        <v>164</v>
      </c>
      <c r="F284" s="12"/>
      <c r="I284" s="32">
        <f>I276-I282</f>
        <v>-52363.277231936576</v>
      </c>
      <c r="J284" s="32">
        <f>J276-J282</f>
        <v>-35212.475008069443</v>
      </c>
      <c r="K284" s="32">
        <f>K276-K282</f>
        <v>-30785.374337222434</v>
      </c>
      <c r="L284" s="32">
        <f>L276-L282</f>
        <v>-29223.718380072474</v>
      </c>
      <c r="M284" s="32">
        <f>M276-M282</f>
        <v>-24352.407968484142</v>
      </c>
    </row>
    <row r="285" spans="1:13" hidden="1" outlineLevel="1">
      <c r="C285" s="31"/>
      <c r="D285" s="24"/>
      <c r="F285" s="12"/>
      <c r="I285" s="32"/>
      <c r="J285" s="32"/>
      <c r="K285" s="32"/>
      <c r="L285" s="32"/>
      <c r="M285" s="32"/>
    </row>
    <row r="286" spans="1:13" hidden="1" outlineLevel="1">
      <c r="C286" s="31"/>
      <c r="D286" s="31"/>
      <c r="F286" s="12"/>
      <c r="I286" s="32"/>
      <c r="J286" s="32"/>
      <c r="K286" s="32"/>
      <c r="L286" s="32"/>
      <c r="M286" s="32"/>
    </row>
    <row r="287" spans="1:13" collapsed="1"/>
    <row r="288" spans="1:13" ht="22.5">
      <c r="A288" s="12" t="s">
        <v>74</v>
      </c>
      <c r="B288" s="13" t="s">
        <v>173</v>
      </c>
      <c r="C288" s="34"/>
      <c r="D288" s="34"/>
      <c r="E288" s="34"/>
      <c r="F288" s="15"/>
      <c r="G288" s="35"/>
      <c r="H288" s="35"/>
      <c r="I288" s="25"/>
      <c r="J288" s="25"/>
      <c r="K288" s="25"/>
      <c r="L288" s="25"/>
      <c r="M288" s="25"/>
    </row>
    <row r="289" spans="1:13" ht="16.5" hidden="1" customHeight="1" outlineLevel="1">
      <c r="B289" s="16"/>
      <c r="C289" s="24"/>
      <c r="D289" s="24"/>
      <c r="E289" s="24"/>
      <c r="G289" s="33"/>
      <c r="H289" s="33"/>
    </row>
    <row r="290" spans="1:13" ht="17.25" hidden="1" outlineLevel="1" thickBot="1">
      <c r="B290" s="24"/>
      <c r="C290" s="19" t="s">
        <v>9</v>
      </c>
      <c r="D290" s="19"/>
      <c r="E290" s="19"/>
      <c r="H290" s="83"/>
      <c r="I290" s="60" t="s">
        <v>26</v>
      </c>
      <c r="J290" s="60" t="s">
        <v>27</v>
      </c>
      <c r="K290" s="60" t="s">
        <v>28</v>
      </c>
      <c r="L290" s="60" t="s">
        <v>29</v>
      </c>
      <c r="M290" s="60" t="s">
        <v>30</v>
      </c>
    </row>
    <row r="291" spans="1:13" ht="16.5" hidden="1" customHeight="1" outlineLevel="1">
      <c r="B291" s="16"/>
      <c r="C291" s="24"/>
      <c r="D291" s="24"/>
      <c r="E291" s="24"/>
      <c r="G291" s="33"/>
      <c r="H291" s="33"/>
    </row>
    <row r="292" spans="1:13" ht="16.5" hidden="1" customHeight="1" outlineLevel="1">
      <c r="B292" s="16"/>
      <c r="C292" s="22" t="s">
        <v>174</v>
      </c>
      <c r="D292" s="24"/>
      <c r="E292" s="24"/>
      <c r="G292" s="33"/>
      <c r="H292" s="33"/>
    </row>
    <row r="293" spans="1:13" ht="16.5" hidden="1" customHeight="1" outlineLevel="1">
      <c r="B293" s="16"/>
      <c r="C293" s="24"/>
      <c r="D293" s="24" t="s">
        <v>175</v>
      </c>
      <c r="E293" s="24"/>
      <c r="G293" s="33"/>
      <c r="H293" s="29"/>
      <c r="I293" s="32">
        <v>0</v>
      </c>
      <c r="J293" s="32">
        <v>0</v>
      </c>
      <c r="K293" s="32">
        <v>0</v>
      </c>
      <c r="L293" s="32">
        <v>0</v>
      </c>
      <c r="M293" s="32">
        <v>0</v>
      </c>
    </row>
    <row r="294" spans="1:13" ht="16.5" hidden="1" customHeight="1" outlineLevel="1">
      <c r="B294" s="16"/>
      <c r="C294" s="24"/>
      <c r="D294" s="24" t="s">
        <v>176</v>
      </c>
      <c r="E294" s="24"/>
      <c r="G294" s="33"/>
      <c r="H294" s="29"/>
      <c r="I294" s="32">
        <v>0</v>
      </c>
      <c r="J294" s="32">
        <v>0</v>
      </c>
      <c r="K294" s="32">
        <v>0</v>
      </c>
      <c r="L294" s="32">
        <v>0</v>
      </c>
      <c r="M294" s="32">
        <v>0</v>
      </c>
    </row>
    <row r="295" spans="1:13" ht="16.5" hidden="1" customHeight="1" outlineLevel="1">
      <c r="B295" s="16"/>
      <c r="C295" s="24"/>
      <c r="D295" s="24" t="s">
        <v>177</v>
      </c>
      <c r="E295" s="24"/>
      <c r="G295" s="33"/>
      <c r="H295" s="29"/>
      <c r="I295" s="56">
        <v>0</v>
      </c>
      <c r="J295" s="56">
        <v>0</v>
      </c>
      <c r="K295" s="56">
        <v>0</v>
      </c>
      <c r="L295" s="56">
        <v>0</v>
      </c>
      <c r="M295" s="56">
        <v>0</v>
      </c>
    </row>
    <row r="296" spans="1:13" ht="16.5" hidden="1" customHeight="1" outlineLevel="1">
      <c r="B296" s="16"/>
      <c r="C296" s="24"/>
      <c r="D296" s="31" t="s">
        <v>178</v>
      </c>
      <c r="E296" s="24"/>
      <c r="G296" s="33"/>
      <c r="H296" s="32"/>
      <c r="I296" s="32">
        <f t="shared" ref="I296:M296" si="99">SUM(I293:I295)</f>
        <v>0</v>
      </c>
      <c r="J296" s="32">
        <f t="shared" si="99"/>
        <v>0</v>
      </c>
      <c r="K296" s="32">
        <f t="shared" si="99"/>
        <v>0</v>
      </c>
      <c r="L296" s="32">
        <f t="shared" si="99"/>
        <v>0</v>
      </c>
      <c r="M296" s="32">
        <f t="shared" si="99"/>
        <v>0</v>
      </c>
    </row>
    <row r="297" spans="1:13" ht="16.5" hidden="1" customHeight="1" outlineLevel="1">
      <c r="B297" s="16"/>
      <c r="C297" s="24"/>
      <c r="D297" s="24"/>
      <c r="E297" s="24"/>
      <c r="G297" s="33"/>
      <c r="H297" s="33"/>
    </row>
    <row r="298" spans="1:13" ht="16.5" hidden="1" customHeight="1" outlineLevel="1">
      <c r="C298" s="22" t="s">
        <v>174</v>
      </c>
      <c r="D298" s="24"/>
      <c r="E298" s="24"/>
      <c r="G298" s="33"/>
      <c r="H298" s="33"/>
    </row>
    <row r="299" spans="1:13" ht="16.5" hidden="1" customHeight="1" outlineLevel="1">
      <c r="C299" s="24"/>
      <c r="D299" s="24" t="s">
        <v>143</v>
      </c>
      <c r="E299" s="24"/>
      <c r="G299" s="33"/>
      <c r="H299" s="33"/>
      <c r="I299" s="32">
        <f t="shared" ref="I299:M300" si="100">I236</f>
        <v>0</v>
      </c>
      <c r="J299" s="32">
        <f t="shared" si="100"/>
        <v>0</v>
      </c>
      <c r="K299" s="32">
        <f t="shared" si="100"/>
        <v>0</v>
      </c>
      <c r="L299" s="32">
        <f t="shared" si="100"/>
        <v>0</v>
      </c>
      <c r="M299" s="32">
        <f t="shared" si="100"/>
        <v>0</v>
      </c>
    </row>
    <row r="300" spans="1:13" ht="16.5" hidden="1" customHeight="1" outlineLevel="1">
      <c r="C300" s="24"/>
      <c r="D300" s="24" t="s">
        <v>127</v>
      </c>
      <c r="I300" s="56">
        <f t="shared" si="100"/>
        <v>0</v>
      </c>
      <c r="J300" s="56">
        <f t="shared" si="100"/>
        <v>0</v>
      </c>
      <c r="K300" s="56">
        <f t="shared" si="100"/>
        <v>0</v>
      </c>
      <c r="L300" s="56">
        <f t="shared" si="100"/>
        <v>0</v>
      </c>
      <c r="M300" s="56">
        <f t="shared" si="100"/>
        <v>0</v>
      </c>
    </row>
    <row r="301" spans="1:13" ht="16.5" hidden="1" customHeight="1" outlineLevel="1">
      <c r="B301" s="24"/>
      <c r="C301" s="24"/>
      <c r="D301" s="31" t="s">
        <v>179</v>
      </c>
      <c r="H301" s="29"/>
      <c r="I301" s="32">
        <f>SUM(I299:I300)</f>
        <v>0</v>
      </c>
      <c r="J301" s="32">
        <f t="shared" ref="J301:M301" si="101">SUM(J299:J300)</f>
        <v>0</v>
      </c>
      <c r="K301" s="32">
        <f t="shared" si="101"/>
        <v>0</v>
      </c>
      <c r="L301" s="32">
        <f t="shared" si="101"/>
        <v>0</v>
      </c>
      <c r="M301" s="32">
        <f t="shared" si="101"/>
        <v>0</v>
      </c>
    </row>
    <row r="302" spans="1:13" ht="16.5" hidden="1" customHeight="1" outlineLevel="1">
      <c r="B302" s="24"/>
      <c r="C302" s="24"/>
    </row>
    <row r="303" spans="1:13" ht="16.5" customHeight="1" collapsed="1">
      <c r="B303" s="24"/>
      <c r="C303" s="24"/>
    </row>
    <row r="304" spans="1:13" ht="22.5">
      <c r="A304" s="12" t="s">
        <v>74</v>
      </c>
      <c r="B304" s="13" t="s">
        <v>145</v>
      </c>
      <c r="C304" s="34"/>
      <c r="D304" s="34"/>
      <c r="E304" s="34"/>
      <c r="F304" s="15"/>
      <c r="G304" s="35"/>
      <c r="H304" s="35"/>
      <c r="I304" s="25"/>
      <c r="J304" s="25"/>
      <c r="K304" s="25"/>
      <c r="L304" s="25"/>
      <c r="M304" s="25"/>
    </row>
    <row r="305" spans="1:13" hidden="1" outlineLevel="1"/>
    <row r="306" spans="1:13" ht="17.25" hidden="1" outlineLevel="1" thickBot="1">
      <c r="C306" s="19" t="s">
        <v>9</v>
      </c>
      <c r="G306" s="20" t="s">
        <v>24</v>
      </c>
      <c r="H306" s="65" t="s">
        <v>25</v>
      </c>
      <c r="I306" s="60" t="s">
        <v>26</v>
      </c>
      <c r="J306" s="60" t="s">
        <v>27</v>
      </c>
      <c r="K306" s="60" t="s">
        <v>28</v>
      </c>
      <c r="L306" s="60" t="s">
        <v>29</v>
      </c>
      <c r="M306" s="60" t="s">
        <v>30</v>
      </c>
    </row>
    <row r="307" spans="1:13" hidden="1" outlineLevel="1"/>
    <row r="308" spans="1:13" hidden="1" outlineLevel="1">
      <c r="C308" s="24" t="s">
        <v>86</v>
      </c>
      <c r="F308" s="12"/>
      <c r="H308" s="32">
        <f>H60</f>
        <v>-123509</v>
      </c>
      <c r="I308" s="32">
        <f ca="1">I60</f>
        <v>-110749.6176846262</v>
      </c>
      <c r="J308" s="32">
        <f t="shared" ref="J308:M308" ca="1" si="102">J60</f>
        <v>-67952.021134729046</v>
      </c>
      <c r="K308" s="32">
        <f t="shared" ca="1" si="102"/>
        <v>14191.964309751667</v>
      </c>
      <c r="L308" s="32">
        <f t="shared" ca="1" si="102"/>
        <v>109292.25764309234</v>
      </c>
      <c r="M308" s="32">
        <f t="shared" ca="1" si="102"/>
        <v>210746.93835811739</v>
      </c>
    </row>
    <row r="309" spans="1:13" hidden="1" outlineLevel="1">
      <c r="C309" s="5" t="s">
        <v>148</v>
      </c>
      <c r="D309" s="1"/>
      <c r="E309" s="53"/>
      <c r="F309" s="12"/>
      <c r="H309" s="53">
        <f>Inputs!E42</f>
        <v>0.20599999999999999</v>
      </c>
    </row>
    <row r="310" spans="1:13" hidden="1" outlineLevel="1">
      <c r="C310" s="5"/>
      <c r="D310" s="1"/>
      <c r="E310" s="53"/>
      <c r="F310" s="12"/>
    </row>
    <row r="311" spans="1:13" hidden="1" outlineLevel="1">
      <c r="C311" s="22" t="s">
        <v>149</v>
      </c>
      <c r="F311" s="12"/>
      <c r="J311" s="32"/>
      <c r="K311" s="32"/>
      <c r="L311" s="32"/>
      <c r="M311" s="32"/>
    </row>
    <row r="312" spans="1:13" hidden="1" outlineLevel="1">
      <c r="C312" s="24" t="s">
        <v>146</v>
      </c>
      <c r="D312" s="24"/>
      <c r="H312" s="29"/>
      <c r="I312" s="32">
        <f>H314</f>
        <v>21857</v>
      </c>
      <c r="J312" s="32">
        <f t="shared" ref="J312:M312" ca="1" si="103">I314</f>
        <v>44671.421243032994</v>
      </c>
      <c r="K312" s="32">
        <f t="shared" ca="1" si="103"/>
        <v>58669.537596787181</v>
      </c>
      <c r="L312" s="32">
        <f t="shared" ca="1" si="103"/>
        <v>55745.992948978339</v>
      </c>
      <c r="M312" s="32">
        <f t="shared" ca="1" si="103"/>
        <v>33231.787874501315</v>
      </c>
    </row>
    <row r="313" spans="1:13" hidden="1" outlineLevel="1">
      <c r="C313" s="24"/>
      <c r="D313" s="24"/>
      <c r="H313" s="94"/>
      <c r="I313" s="56">
        <f ca="1">-I308*$H$309</f>
        <v>22814.421243032994</v>
      </c>
      <c r="J313" s="56">
        <f t="shared" ref="J313:M313" ca="1" si="104">-J308*$H$309</f>
        <v>13998.116353754183</v>
      </c>
      <c r="K313" s="56">
        <f t="shared" ca="1" si="104"/>
        <v>-2923.5446478088434</v>
      </c>
      <c r="L313" s="56">
        <f t="shared" ca="1" si="104"/>
        <v>-22514.20507447702</v>
      </c>
      <c r="M313" s="56">
        <f t="shared" ca="1" si="104"/>
        <v>-43413.869301772182</v>
      </c>
    </row>
    <row r="314" spans="1:13" hidden="1" outlineLevel="1">
      <c r="C314" s="24" t="s">
        <v>147</v>
      </c>
      <c r="D314" s="24"/>
      <c r="G314" s="29"/>
      <c r="H314" s="29">
        <f>H74</f>
        <v>21857</v>
      </c>
      <c r="I314" s="32">
        <f ca="1">I312+I313</f>
        <v>44671.421243032994</v>
      </c>
      <c r="J314" s="32">
        <f t="shared" ref="J314:M314" ca="1" si="105">J312+J313</f>
        <v>58669.537596787181</v>
      </c>
      <c r="K314" s="32">
        <f t="shared" ca="1" si="105"/>
        <v>55745.992948978339</v>
      </c>
      <c r="L314" s="32">
        <f t="shared" ca="1" si="105"/>
        <v>33231.787874501315</v>
      </c>
      <c r="M314" s="32">
        <f t="shared" ca="1" si="105"/>
        <v>-10182.081427270867</v>
      </c>
    </row>
    <row r="315" spans="1:13" hidden="1" outlineLevel="1">
      <c r="C315" s="24"/>
      <c r="D315" s="24"/>
      <c r="H315" s="29"/>
      <c r="I315" s="32"/>
      <c r="J315" s="32"/>
      <c r="K315" s="32"/>
      <c r="L315" s="32"/>
      <c r="M315" s="32"/>
    </row>
    <row r="316" spans="1:13" hidden="1" outlineLevel="1">
      <c r="C316" s="31" t="s">
        <v>186</v>
      </c>
      <c r="D316" s="24"/>
      <c r="G316" s="33"/>
      <c r="H316" s="33"/>
      <c r="I316" s="41">
        <f ca="1">I313</f>
        <v>22814.421243032994</v>
      </c>
      <c r="J316" s="41">
        <f ca="1">J313</f>
        <v>13998.116353754183</v>
      </c>
      <c r="K316" s="41">
        <f ca="1">K313</f>
        <v>-2923.5446478088434</v>
      </c>
      <c r="L316" s="41">
        <f ca="1">L313</f>
        <v>-22514.20507447702</v>
      </c>
      <c r="M316" s="41">
        <f ca="1">M313</f>
        <v>-43413.869301772182</v>
      </c>
    </row>
    <row r="317" spans="1:13" hidden="1" outlineLevel="1">
      <c r="F317" s="12"/>
    </row>
    <row r="318" spans="1:13" collapsed="1"/>
    <row r="319" spans="1:13" ht="22.5">
      <c r="A319" s="12" t="s">
        <v>74</v>
      </c>
      <c r="B319" s="13" t="s">
        <v>183</v>
      </c>
      <c r="C319" s="34"/>
      <c r="D319" s="34"/>
      <c r="E319" s="34"/>
      <c r="F319" s="15"/>
      <c r="G319" s="35"/>
      <c r="H319" s="35"/>
      <c r="I319" s="25"/>
      <c r="J319" s="25"/>
      <c r="K319" s="25"/>
      <c r="L319" s="25"/>
      <c r="M319" s="25"/>
    </row>
    <row r="320" spans="1:13" hidden="1" outlineLevel="1"/>
    <row r="321" spans="1:13" ht="17.25" hidden="1" outlineLevel="1" thickBot="1">
      <c r="C321" s="19" t="s">
        <v>9</v>
      </c>
      <c r="H321" s="65" t="s">
        <v>25</v>
      </c>
      <c r="I321" s="60" t="s">
        <v>26</v>
      </c>
      <c r="J321" s="60" t="s">
        <v>27</v>
      </c>
      <c r="K321" s="60" t="s">
        <v>28</v>
      </c>
      <c r="L321" s="60" t="s">
        <v>29</v>
      </c>
      <c r="M321" s="60" t="s">
        <v>30</v>
      </c>
    </row>
    <row r="322" spans="1:13" hidden="1" outlineLevel="1"/>
    <row r="323" spans="1:13" hidden="1" outlineLevel="1">
      <c r="C323" s="22" t="s">
        <v>184</v>
      </c>
      <c r="D323" s="22"/>
    </row>
    <row r="324" spans="1:13" hidden="1" outlineLevel="1">
      <c r="C324" s="24" t="s">
        <v>112</v>
      </c>
      <c r="D324" s="24"/>
      <c r="H324" s="33"/>
      <c r="I324" s="32">
        <f>H327</f>
        <v>-319406</v>
      </c>
      <c r="J324" s="32">
        <f t="shared" ref="J324:M324" ca="1" si="106">I327</f>
        <v>-452970.03892765916</v>
      </c>
      <c r="K324" s="32">
        <f t="shared" ca="1" si="106"/>
        <v>-534920.17641614238</v>
      </c>
      <c r="L324" s="32">
        <f t="shared" ca="1" si="106"/>
        <v>-517804.66745858185</v>
      </c>
      <c r="M324" s="32">
        <f t="shared" ca="1" si="106"/>
        <v>-385998.20474101254</v>
      </c>
    </row>
    <row r="325" spans="1:13" hidden="1" outlineLevel="1">
      <c r="C325" s="24" t="s">
        <v>80</v>
      </c>
      <c r="D325" s="24"/>
      <c r="I325" s="32">
        <f ca="1">I63</f>
        <v>-133564.03892765919</v>
      </c>
      <c r="J325" s="32">
        <f t="shared" ref="J325:M325" ca="1" si="107">J63</f>
        <v>-81950.137488483233</v>
      </c>
      <c r="K325" s="32">
        <f t="shared" ca="1" si="107"/>
        <v>17115.508957560509</v>
      </c>
      <c r="L325" s="32">
        <f t="shared" ca="1" si="107"/>
        <v>131806.46271756935</v>
      </c>
      <c r="M325" s="32">
        <f t="shared" ca="1" si="107"/>
        <v>254160.80765988957</v>
      </c>
    </row>
    <row r="326" spans="1:13" hidden="1" outlineLevel="1">
      <c r="C326" s="24" t="s">
        <v>185</v>
      </c>
      <c r="D326" s="24"/>
      <c r="H326" s="43"/>
      <c r="I326" s="56">
        <v>0</v>
      </c>
      <c r="J326" s="56">
        <v>0</v>
      </c>
      <c r="K326" s="56">
        <v>0</v>
      </c>
      <c r="L326" s="56">
        <v>0</v>
      </c>
      <c r="M326" s="56">
        <v>0</v>
      </c>
    </row>
    <row r="327" spans="1:13" hidden="1" outlineLevel="1">
      <c r="C327" s="24" t="s">
        <v>116</v>
      </c>
      <c r="D327" s="24"/>
      <c r="H327" s="29">
        <v>-319406</v>
      </c>
      <c r="I327" s="32">
        <f ca="1">I324+I325</f>
        <v>-452970.03892765916</v>
      </c>
      <c r="J327" s="32">
        <f t="shared" ref="J327:M327" ca="1" si="108">J324+J325</f>
        <v>-534920.17641614238</v>
      </c>
      <c r="K327" s="32">
        <f t="shared" ca="1" si="108"/>
        <v>-517804.66745858185</v>
      </c>
      <c r="L327" s="32">
        <f t="shared" ca="1" si="108"/>
        <v>-385998.20474101254</v>
      </c>
      <c r="M327" s="32">
        <f t="shared" ca="1" si="108"/>
        <v>-131837.39708112297</v>
      </c>
    </row>
    <row r="328" spans="1:13" hidden="1" outlineLevel="1"/>
    <row r="329" spans="1:13" collapsed="1"/>
    <row r="330" spans="1:13" ht="22.5">
      <c r="A330" s="12" t="s">
        <v>74</v>
      </c>
      <c r="B330" s="13" t="s">
        <v>169</v>
      </c>
      <c r="C330" s="34"/>
      <c r="D330" s="34"/>
      <c r="E330" s="34"/>
      <c r="F330" s="15"/>
      <c r="G330" s="35"/>
      <c r="H330" s="35"/>
      <c r="I330" s="25"/>
      <c r="J330" s="25"/>
      <c r="K330" s="25"/>
      <c r="L330" s="25"/>
      <c r="M330" s="25"/>
    </row>
    <row r="331" spans="1:13" hidden="1" outlineLevel="1">
      <c r="I331" s="33"/>
    </row>
    <row r="332" spans="1:13" ht="17.25" hidden="1" outlineLevel="1" thickBot="1">
      <c r="C332" s="19" t="s">
        <v>9</v>
      </c>
      <c r="H332" s="65" t="s">
        <v>25</v>
      </c>
      <c r="I332" s="60" t="s">
        <v>26</v>
      </c>
      <c r="J332" s="60" t="s">
        <v>27</v>
      </c>
      <c r="K332" s="60" t="s">
        <v>28</v>
      </c>
      <c r="L332" s="60" t="s">
        <v>29</v>
      </c>
      <c r="M332" s="60" t="s">
        <v>30</v>
      </c>
    </row>
    <row r="333" spans="1:13" hidden="1" outlineLevel="1"/>
    <row r="334" spans="1:13" hidden="1" outlineLevel="1">
      <c r="C334" s="12" t="s">
        <v>169</v>
      </c>
    </row>
    <row r="335" spans="1:13" hidden="1" outlineLevel="1">
      <c r="D335" s="12" t="s">
        <v>112</v>
      </c>
      <c r="I335" s="33">
        <f>H339</f>
        <v>71993</v>
      </c>
      <c r="J335" s="33">
        <f t="shared" ref="J335:M335" ca="1" si="109">I339</f>
        <v>-35756.61351604823</v>
      </c>
      <c r="K335" s="33">
        <f t="shared" ca="1" si="109"/>
        <v>-109533.329432969</v>
      </c>
      <c r="L335" s="33">
        <f t="shared" ca="1" si="109"/>
        <v>-75492.06504284915</v>
      </c>
      <c r="M335" s="33">
        <f t="shared" ca="1" si="109"/>
        <v>92086.956957776099</v>
      </c>
    </row>
    <row r="336" spans="1:13" hidden="1" outlineLevel="1">
      <c r="D336" s="12" t="s">
        <v>170</v>
      </c>
      <c r="I336" s="33">
        <f ca="1">I153</f>
        <v>-61064.287353021587</v>
      </c>
      <c r="J336" s="33">
        <f ca="1">J153</f>
        <v>-19814.312156953063</v>
      </c>
      <c r="K336" s="33">
        <f ca="1">K153</f>
        <v>93533.414484788271</v>
      </c>
      <c r="L336" s="33">
        <f ca="1">L153</f>
        <v>228760.44286011031</v>
      </c>
      <c r="M336" s="33">
        <f ca="1">M153</f>
        <v>370612.18516902608</v>
      </c>
    </row>
    <row r="337" spans="4:13" hidden="1" outlineLevel="1">
      <c r="D337" s="12" t="s">
        <v>171</v>
      </c>
      <c r="I337" s="33">
        <f>I159</f>
        <v>-46685.326163026642</v>
      </c>
      <c r="J337" s="33">
        <f>J159</f>
        <v>-53962.403759967703</v>
      </c>
      <c r="K337" s="33">
        <f>K159</f>
        <v>-59492.150094668425</v>
      </c>
      <c r="L337" s="33">
        <f>L159</f>
        <v>-61181.42085948505</v>
      </c>
      <c r="M337" s="33">
        <f>M159</f>
        <v>-57902.903291233008</v>
      </c>
    </row>
    <row r="338" spans="4:13" hidden="1" outlineLevel="1">
      <c r="D338" s="12" t="s">
        <v>172</v>
      </c>
      <c r="H338" s="43"/>
      <c r="I338" s="94">
        <f>I162</f>
        <v>0</v>
      </c>
      <c r="J338" s="94">
        <f>J162</f>
        <v>0</v>
      </c>
      <c r="K338" s="94">
        <f>K162</f>
        <v>0</v>
      </c>
      <c r="L338" s="94">
        <f>L162</f>
        <v>0</v>
      </c>
      <c r="M338" s="94">
        <f>M162</f>
        <v>0</v>
      </c>
    </row>
    <row r="339" spans="4:13" hidden="1" outlineLevel="1">
      <c r="D339" s="12" t="s">
        <v>116</v>
      </c>
      <c r="H339" s="33">
        <f>H97</f>
        <v>71993</v>
      </c>
      <c r="I339" s="33">
        <f ca="1">SUM(I335:I338)</f>
        <v>-35756.61351604823</v>
      </c>
      <c r="J339" s="33">
        <f t="shared" ref="J339:M339" ca="1" si="110">SUM(J335:J338)</f>
        <v>-109533.329432969</v>
      </c>
      <c r="K339" s="33">
        <f t="shared" ca="1" si="110"/>
        <v>-75492.06504284915</v>
      </c>
      <c r="L339" s="33">
        <f t="shared" ca="1" si="110"/>
        <v>92086.956957776099</v>
      </c>
      <c r="M339" s="33">
        <f t="shared" ca="1" si="110"/>
        <v>404796.23883556918</v>
      </c>
    </row>
    <row r="340" spans="4:13" hidden="1" outlineLevel="1">
      <c r="I340" s="43"/>
      <c r="J340" s="43"/>
      <c r="K340" s="43"/>
      <c r="L340" s="43"/>
      <c r="M340" s="43"/>
    </row>
    <row r="341" spans="4:13" hidden="1" outlineLevel="1">
      <c r="D341" s="47" t="s">
        <v>135</v>
      </c>
      <c r="I341" s="33">
        <f ca="1">I339*Inputs!$E$43</f>
        <v>-1251.4814730616881</v>
      </c>
      <c r="J341" s="33">
        <f ca="1">J339*Inputs!$E$43</f>
        <v>-3833.6665301539151</v>
      </c>
      <c r="K341" s="33">
        <f ca="1">K339*Inputs!$E$43</f>
        <v>-2642.2222764997205</v>
      </c>
      <c r="L341" s="33">
        <f ca="1">L339*Inputs!$E$43</f>
        <v>3223.0434935221638</v>
      </c>
      <c r="M341" s="33">
        <f ca="1">M339*Inputs!$E$43</f>
        <v>14167.868359244923</v>
      </c>
    </row>
    <row r="342" spans="4:13" hidden="1" outlineLevel="1"/>
    <row r="343" spans="4:13" collapsed="1"/>
    <row r="344" spans="4:13">
      <c r="I344" s="33"/>
      <c r="J344" s="33"/>
      <c r="K344" s="33"/>
      <c r="L344" s="33"/>
      <c r="M344" s="33"/>
    </row>
    <row r="349" spans="4:13">
      <c r="J349" s="33"/>
    </row>
    <row r="350" spans="4:13">
      <c r="H350" s="33"/>
      <c r="I350" s="33"/>
      <c r="J350" s="33"/>
    </row>
  </sheetData>
  <phoneticPr fontId="16" type="noConversion"/>
  <pageMargins left="0.7" right="0.7" top="0.75" bottom="0.75" header="0.3" footer="0.3"/>
  <pageSetup paperSize="9" scale="52" orientation="portrait" r:id="rId1"/>
  <rowBreaks count="8" manualBreakCount="8">
    <brk id="33" min="1" max="12" man="1"/>
    <brk id="65" min="1" max="12" man="1"/>
    <brk id="134" min="1" max="12" man="1"/>
    <brk id="170" min="1" max="12" man="1"/>
    <brk id="192" min="1" max="12" man="1"/>
    <brk id="229" min="1" max="12" man="1"/>
    <brk id="243" min="1" max="12" man="1"/>
    <brk id="287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Cover</vt:lpstr>
      <vt:lpstr>Inputs</vt:lpstr>
      <vt:lpstr>Model</vt:lpstr>
      <vt:lpstr>Cover!Print_Area</vt:lpstr>
      <vt:lpstr>Inputs!Print_Area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Nata</dc:creator>
  <cp:lastModifiedBy>Felicia Nata</cp:lastModifiedBy>
  <cp:lastPrinted>2026-03-03T00:32:51Z</cp:lastPrinted>
  <dcterms:created xsi:type="dcterms:W3CDTF">2026-02-25T22:51:52Z</dcterms:created>
  <dcterms:modified xsi:type="dcterms:W3CDTF">2026-03-05T20:16:38Z</dcterms:modified>
</cp:coreProperties>
</file>