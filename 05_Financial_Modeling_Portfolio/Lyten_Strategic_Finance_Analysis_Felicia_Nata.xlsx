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li\Downloads\"/>
    </mc:Choice>
  </mc:AlternateContent>
  <xr:revisionPtr revIDLastSave="0" documentId="8_{F1F565A9-7A24-4072-8A5A-9E43E7A419BF}" xr6:coauthVersionLast="47" xr6:coauthVersionMax="47" xr10:uidLastSave="{00000000-0000-0000-0000-000000000000}"/>
  <bookViews>
    <workbookView xWindow="-120" yWindow="-120" windowWidth="38640" windowHeight="21390" activeTab="2" xr2:uid="{92FC6F7B-9720-4791-A5D2-BAB99E0F4FCF}"/>
  </bookViews>
  <sheets>
    <sheet name="Cover" sheetId="2" r:id="rId1"/>
    <sheet name="Executife Brief" sheetId="4" r:id="rId2"/>
    <sheet name="Financial Model" sheetId="5" r:id="rId3"/>
  </sheets>
  <definedNames>
    <definedName name="_xlchart.v1.0" hidden="1">'Financial Model'!$G$35:$G$39</definedName>
    <definedName name="_xlchart.v1.1" hidden="1">'Financial Model'!$H$34</definedName>
    <definedName name="_xlchart.v1.2" hidden="1">'Financial Model'!$H$35:$H$39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5" l="1" a="1"/>
  <c r="E26" i="5" s="1"/>
  <c r="F26" i="5" a="1"/>
  <c r="F26" i="5" s="1"/>
  <c r="D26" i="5" a="1"/>
  <c r="D26" i="5" s="1"/>
  <c r="H35" i="5" s="1"/>
  <c r="D18" i="5"/>
  <c r="H28" i="5" s="1"/>
  <c r="H26" i="5" s="1" a="1"/>
  <c r="H26" i="5" s="1"/>
  <c r="D12" i="5"/>
  <c r="G28" i="5" s="1"/>
  <c r="G26" i="5" s="1" a="1"/>
  <c r="G26" i="5" s="1"/>
  <c r="H36" i="5" l="1"/>
  <c r="H37" i="5" s="1"/>
  <c r="H41" i="5" s="1"/>
  <c r="H38" i="5"/>
  <c r="H39" i="5" l="1"/>
  <c r="H4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<sst xmlns="http://schemas.openxmlformats.org/spreadsheetml/2006/main" count="111" uniqueCount="106">
  <si>
    <t>Table of Contents</t>
  </si>
  <si>
    <t>Felicia Nata, CTP</t>
  </si>
  <si>
    <t>M. Sc. In Finance - Umeå University</t>
  </si>
  <si>
    <t>Cerified Treasury Professional (CTP)</t>
  </si>
  <si>
    <t>Strategic Finance Brief (2020–2024)</t>
  </si>
  <si>
    <t>Lyten</t>
  </si>
  <si>
    <t>Production Expansion | Battery Economics | Capital Allocation</t>
  </si>
  <si>
    <t>Prepared as part of application for:</t>
  </si>
  <si>
    <t>Strategic Finance / Finance Business Partner</t>
  </si>
  <si>
    <t>This analysis is based solely on publicly available information and simplified assumptions. It is intended to demonstrate analytical thinking, financial modelling capability, and strategic finance perspective.</t>
  </si>
  <si>
    <t>Metric</t>
  </si>
  <si>
    <t>Sales pipeline</t>
  </si>
  <si>
    <t>280 → 400 companies</t>
  </si>
  <si>
    <t>Manufacturing yield</t>
  </si>
  <si>
    <t>200 MWh</t>
  </si>
  <si>
    <t>&gt; 90%</t>
  </si>
  <si>
    <t>Energy</t>
  </si>
  <si>
    <t>up to 2 GWh</t>
  </si>
  <si>
    <t>Model Driver</t>
  </si>
  <si>
    <t>Base</t>
  </si>
  <si>
    <t>Upside</t>
  </si>
  <si>
    <t>Downside</t>
  </si>
  <si>
    <t>Battery Price</t>
  </si>
  <si>
    <t>Assumptions</t>
  </si>
  <si>
    <t>Capacity</t>
  </si>
  <si>
    <t>Utilization</t>
  </si>
  <si>
    <t>COGS</t>
  </si>
  <si>
    <t>Strategic Finance Brief</t>
  </si>
  <si>
    <t>Investment Context</t>
  </si>
  <si>
    <r>
      <t>Lyten is transitioning from R&amp;D-stage materials innovation to</t>
    </r>
    <r>
      <rPr>
        <b/>
        <sz val="10"/>
        <color theme="1"/>
        <rFont val="Open Sans"/>
        <family val="2"/>
      </rPr>
      <t xml:space="preserve"> industrial battery manufacturing</t>
    </r>
    <r>
      <rPr>
        <sz val="10"/>
        <color theme="1"/>
        <rFont val="Open Sans"/>
        <family val="2"/>
      </rPr>
      <t>, leveraging its proprietary 3D Graphene platform and lithium-sulfur battery chemistry.</t>
    </r>
  </si>
  <si>
    <r>
      <t>The company has secured</t>
    </r>
    <r>
      <rPr>
        <b/>
        <sz val="10"/>
        <color theme="1"/>
        <rFont val="Open Sans"/>
        <family val="2"/>
      </rPr>
      <t xml:space="preserve"> </t>
    </r>
    <r>
      <rPr>
        <b/>
        <sz val="10"/>
        <color theme="1"/>
        <rFont val="Calibri"/>
        <family val="2"/>
      </rPr>
      <t>±</t>
    </r>
    <r>
      <rPr>
        <b/>
        <sz val="10"/>
        <color theme="1"/>
        <rFont val="Open Sans"/>
        <family val="2"/>
      </rPr>
      <t>$410M in funding</t>
    </r>
    <r>
      <rPr>
        <sz val="10"/>
        <color theme="1"/>
        <rFont val="Open Sans"/>
        <family val="2"/>
      </rPr>
      <t xml:space="preserve"> and is expanding production capacity through new battery manufacturing facilities and a planned gigafactory.</t>
    </r>
  </si>
  <si>
    <t>Key Operational Signals</t>
  </si>
  <si>
    <t>Indicator</t>
  </si>
  <si>
    <t>Observation</t>
  </si>
  <si>
    <t>Pilot production capacity</t>
  </si>
  <si>
    <t>Future joint-venture capacity</t>
  </si>
  <si>
    <t>Assumptions: Production capacity could scale 10×, enabling significant revenue expansion.</t>
  </si>
  <si>
    <t>Production Scale vs Revenue Potential</t>
  </si>
  <si>
    <t>Production Stage</t>
  </si>
  <si>
    <t>Capacity (MWh)</t>
  </si>
  <si>
    <t>Revenue Potential ($M)</t>
  </si>
  <si>
    <t>Pilot Production</t>
  </si>
  <si>
    <t>Early Scale</t>
  </si>
  <si>
    <t>Mid Scale</t>
  </si>
  <si>
    <t>Gigafactory</t>
  </si>
  <si>
    <t>* Illustrative estimate assuming ~$100/kWh battery pricing.</t>
  </si>
  <si>
    <t>Competitive Economics</t>
  </si>
  <si>
    <t>Advantage</t>
  </si>
  <si>
    <t>Financial implication</t>
  </si>
  <si>
    <t>Avoids cobalt, nickel, manganese</t>
  </si>
  <si>
    <t>Lower raw material volatility</t>
  </si>
  <si>
    <t>Higher energy density</t>
  </si>
  <si>
    <t>Higher product value</t>
  </si>
  <si>
    <t>Up to 75% weight reduction</t>
  </si>
  <si>
    <t>Aerospace &amp; EV demand</t>
  </si>
  <si>
    <t>Localized supply chain</t>
  </si>
  <si>
    <t>Reduced logistics risk</t>
  </si>
  <si>
    <t>Potential outcome:</t>
  </si>
  <si>
    <t>Improved long-term gross margins</t>
  </si>
  <si>
    <t>compared with traditional lithium-ion producers.</t>
  </si>
  <si>
    <t>Strategic Opportunities</t>
  </si>
  <si>
    <r>
      <t xml:space="preserve">Manufacturing scale-up could increase revenue capacity by </t>
    </r>
    <r>
      <rPr>
        <sz val="10"/>
        <color theme="1"/>
        <rFont val="Calibri"/>
        <family val="2"/>
      </rPr>
      <t>±</t>
    </r>
    <r>
      <rPr>
        <sz val="10"/>
        <color theme="1"/>
        <rFont val="Open Sans"/>
        <family val="2"/>
      </rPr>
      <t>10×</t>
    </r>
  </si>
  <si>
    <t>High manufacturing yield (&gt;90%) indicates strong production efficiency</t>
  </si>
  <si>
    <t>Strong commercial pipeline growth suggests accelerating demand</t>
  </si>
  <si>
    <t>Key Risks</t>
  </si>
  <si>
    <t>Risk</t>
  </si>
  <si>
    <t>Financial Impact</t>
  </si>
  <si>
    <t>Battery manufacturing CAPEX</t>
  </si>
  <si>
    <t>High upfront capital requirement</t>
  </si>
  <si>
    <t>Technology commercialization</t>
  </si>
  <si>
    <t>Production scaling uncertainty</t>
  </si>
  <si>
    <t>Battery price compression</t>
  </si>
  <si>
    <t>Margin pressure</t>
  </si>
  <si>
    <t>Supply chain scale-up</t>
  </si>
  <si>
    <t>Execution risk</t>
  </si>
  <si>
    <t>Strategic Finance Perspective</t>
  </si>
  <si>
    <r>
      <t xml:space="preserve">Scaling lithium-sulfur battery manufacturing represents a </t>
    </r>
    <r>
      <rPr>
        <b/>
        <sz val="10"/>
        <color theme="1"/>
        <rFont val="Open Sans"/>
        <family val="2"/>
      </rPr>
      <t>capital-intensive but potentially high-margin growth opportunity</t>
    </r>
    <r>
      <rPr>
        <sz val="10"/>
        <color theme="1"/>
        <rFont val="Open Sans"/>
        <family val="2"/>
      </rPr>
      <t>.</t>
    </r>
  </si>
  <si>
    <r>
      <t xml:space="preserve">If production capacity expands </t>
    </r>
    <r>
      <rPr>
        <b/>
        <sz val="10"/>
        <color theme="1"/>
        <rFont val="Open Sans"/>
        <family val="2"/>
      </rPr>
      <t>from 200 MWh to 2 GWh</t>
    </r>
    <r>
      <rPr>
        <sz val="10"/>
        <color theme="1"/>
        <rFont val="Open Sans"/>
        <family val="2"/>
      </rPr>
      <t>, the business could transition from early commercialization (~$20M capacity revenue) to industrial-scale battery production (~$200M+ revenue potential).</t>
    </r>
  </si>
  <si>
    <t xml:space="preserve"> </t>
  </si>
  <si>
    <t>* Key assumptions derived from Lyten operational data and battery industry benchmarks.</t>
  </si>
  <si>
    <t>Scenario</t>
  </si>
  <si>
    <t>Revenue</t>
  </si>
  <si>
    <t>Cost Structure Driver</t>
  </si>
  <si>
    <t>Cost Component</t>
  </si>
  <si>
    <t>% Revenue</t>
  </si>
  <si>
    <t>Raw materials</t>
  </si>
  <si>
    <t>Manufacturing</t>
  </si>
  <si>
    <t>Logistics</t>
  </si>
  <si>
    <t>Total COGS</t>
  </si>
  <si>
    <t>Expense</t>
  </si>
  <si>
    <t>R&amp;D</t>
  </si>
  <si>
    <t>SG&amp;A</t>
  </si>
  <si>
    <t>Operating Cost Driver</t>
  </si>
  <si>
    <t>Total Opex</t>
  </si>
  <si>
    <t>Opex</t>
  </si>
  <si>
    <t>Key Financial Output</t>
  </si>
  <si>
    <t>Result</t>
  </si>
  <si>
    <t>EBITDA</t>
  </si>
  <si>
    <t>Gross Margin</t>
  </si>
  <si>
    <t>Gross Profit</t>
  </si>
  <si>
    <t>EBITDA Margin</t>
  </si>
  <si>
    <t>• At 2 GWh capacity and 70% utilization, annual revenue potential is approximately $140M.</t>
  </si>
  <si>
    <t>• Estimated gross margin of 28% is broadly consistent with battery industry benchmarks.</t>
  </si>
  <si>
    <t>• Profitability is highly sensitive to battery price and production utilization.</t>
  </si>
  <si>
    <t>• Scaling production capacity may significantly improve capital efficiency.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</si>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</sst>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.00_)_%;\(#,##0.00\)_%;_(&quot;–&quot;_)_%;_(@_)_%"/>
    <numFmt numFmtId="165" formatCode="_(#,##0_)_%;\(#,##0\)_%;_(&quot;–&quot;_)_%;_(@_)_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Open Sans"/>
      <family val="2"/>
    </font>
    <font>
      <b/>
      <sz val="12"/>
      <name val="Open Sans"/>
      <family val="2"/>
    </font>
    <font>
      <b/>
      <sz val="12"/>
      <color theme="1"/>
      <name val="Open Sans"/>
      <family val="2"/>
    </font>
    <font>
      <u/>
      <sz val="12"/>
      <name val="Calibri"/>
      <family val="2"/>
      <scheme val="minor"/>
    </font>
    <font>
      <sz val="11"/>
      <name val="Open Sans"/>
      <family val="2"/>
    </font>
    <font>
      <u/>
      <sz val="11"/>
      <color theme="8" tint="-0.249977111117893"/>
      <name val="Calibri"/>
      <family val="2"/>
      <scheme val="minor"/>
    </font>
    <font>
      <sz val="10"/>
      <color theme="1"/>
      <name val="Open Sans"/>
      <family val="2"/>
    </font>
    <font>
      <b/>
      <sz val="1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sz val="11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i/>
      <sz val="11"/>
      <color theme="1"/>
      <name val="Open Sans"/>
      <family val="2"/>
    </font>
    <font>
      <b/>
      <i/>
      <sz val="10"/>
      <color theme="0"/>
      <name val="Open Sans"/>
      <family val="2"/>
    </font>
    <font>
      <b/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2"/>
      <color theme="0"/>
      <name val="Open Sans"/>
      <family val="2"/>
    </font>
    <font>
      <i/>
      <sz val="10"/>
      <color theme="1"/>
      <name val="Open Sans"/>
      <family val="2"/>
    </font>
    <font>
      <sz val="10"/>
      <color theme="1"/>
      <name val="Calibri"/>
      <family val="2"/>
    </font>
    <font>
      <i/>
      <sz val="8"/>
      <color theme="1"/>
      <name val="Open Sans"/>
      <family val="2"/>
    </font>
    <font>
      <sz val="12"/>
      <color theme="0"/>
      <name val="Open Sans"/>
      <family val="2"/>
    </font>
    <font>
      <sz val="12"/>
      <color theme="1"/>
      <name val="Open Sans"/>
      <family val="2"/>
    </font>
    <font>
      <sz val="16"/>
      <color theme="0"/>
      <name val="Open Sans"/>
      <family val="2"/>
    </font>
    <font>
      <sz val="16"/>
      <color theme="1"/>
      <name val="Open Sans"/>
      <family val="2"/>
    </font>
    <font>
      <b/>
      <sz val="10"/>
      <color theme="1"/>
      <name val="Calibri"/>
      <family val="2"/>
    </font>
    <font>
      <b/>
      <sz val="11"/>
      <color rgb="FF4066B0"/>
      <name val="Open Sans"/>
      <family val="2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66B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066B0"/>
      </left>
      <right/>
      <top style="medium">
        <color rgb="FF4066B0"/>
      </top>
      <bottom style="medium">
        <color rgb="FF4066B0"/>
      </bottom>
      <diagonal/>
    </border>
    <border>
      <left/>
      <right/>
      <top style="medium">
        <color rgb="FF4066B0"/>
      </top>
      <bottom style="medium">
        <color rgb="FF4066B0"/>
      </bottom>
      <diagonal/>
    </border>
    <border>
      <left/>
      <right/>
      <top/>
      <bottom style="thin">
        <color rgb="FF4066B0"/>
      </bottom>
      <diagonal/>
    </border>
    <border>
      <left/>
      <right/>
      <top/>
      <bottom style="medium">
        <color rgb="FF4066B0"/>
      </bottom>
      <diagonal/>
    </border>
    <border>
      <left/>
      <right style="medium">
        <color rgb="FF4066B0"/>
      </right>
      <top style="medium">
        <color rgb="FF4066B0"/>
      </top>
      <bottom style="medium">
        <color rgb="FF4066B0"/>
      </bottom>
      <diagonal/>
    </border>
    <border>
      <left style="medium">
        <color rgb="FF4066B0"/>
      </left>
      <right/>
      <top/>
      <bottom/>
      <diagonal/>
    </border>
    <border>
      <left/>
      <right style="medium">
        <color rgb="FF4066B0"/>
      </right>
      <top/>
      <bottom/>
      <diagonal/>
    </border>
    <border>
      <left style="medium">
        <color rgb="FF4066B0"/>
      </left>
      <right/>
      <top/>
      <bottom style="medium">
        <color rgb="FF4066B0"/>
      </bottom>
      <diagonal/>
    </border>
    <border>
      <left/>
      <right style="medium">
        <color rgb="FF4066B0"/>
      </right>
      <top/>
      <bottom style="medium">
        <color rgb="FF4066B0"/>
      </bottom>
      <diagonal/>
    </border>
    <border>
      <left style="dotted">
        <color rgb="FF4066B0"/>
      </left>
      <right style="dotted">
        <color rgb="FF4066B0"/>
      </right>
      <top style="dotted">
        <color rgb="FF4066B0"/>
      </top>
      <bottom style="dotted">
        <color rgb="FF4066B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9" fillId="0" borderId="0" xfId="0" applyFont="1"/>
    <xf numFmtId="0" fontId="3" fillId="0" borderId="0" xfId="0" applyFont="1"/>
    <xf numFmtId="0" fontId="0" fillId="0" borderId="5" xfId="0" applyBorder="1"/>
    <xf numFmtId="0" fontId="4" fillId="0" borderId="0" xfId="0" applyFont="1"/>
    <xf numFmtId="0" fontId="5" fillId="0" borderId="0" xfId="0" applyFont="1"/>
    <xf numFmtId="0" fontId="6" fillId="0" borderId="0" xfId="1" applyFont="1" applyBorder="1"/>
    <xf numFmtId="0" fontId="7" fillId="0" borderId="0" xfId="0" applyFont="1"/>
    <xf numFmtId="0" fontId="8" fillId="0" borderId="0" xfId="1" applyFont="1" applyBorder="1"/>
    <xf numFmtId="0" fontId="2" fillId="0" borderId="0" xfId="1" applyBorder="1"/>
    <xf numFmtId="0" fontId="10" fillId="0" borderId="0" xfId="0" applyFont="1"/>
    <xf numFmtId="0" fontId="13" fillId="2" borderId="1" xfId="0" applyFont="1" applyFill="1" applyBorder="1"/>
    <xf numFmtId="0" fontId="13" fillId="2" borderId="2" xfId="0" applyFont="1" applyFill="1" applyBorder="1"/>
    <xf numFmtId="0" fontId="13" fillId="2" borderId="3" xfId="0" applyFont="1" applyFill="1" applyBorder="1"/>
    <xf numFmtId="0" fontId="13" fillId="2" borderId="4" xfId="0" applyFont="1" applyFill="1" applyBorder="1"/>
    <xf numFmtId="0" fontId="14" fillId="2" borderId="5" xfId="0" applyFont="1" applyFill="1" applyBorder="1" applyAlignment="1">
      <alignment vertical="center"/>
    </xf>
    <xf numFmtId="0" fontId="13" fillId="2" borderId="6" xfId="0" applyFont="1" applyFill="1" applyBorder="1"/>
    <xf numFmtId="0" fontId="13" fillId="2" borderId="7" xfId="0" applyFont="1" applyFill="1" applyBorder="1"/>
    <xf numFmtId="0" fontId="13" fillId="2" borderId="8" xfId="0" applyFont="1" applyFill="1" applyBorder="1"/>
    <xf numFmtId="0" fontId="16" fillId="0" borderId="0" xfId="0" applyFont="1"/>
    <xf numFmtId="0" fontId="18" fillId="0" borderId="0" xfId="0" applyFont="1"/>
    <xf numFmtId="0" fontId="20" fillId="2" borderId="0" xfId="0" applyFont="1" applyFill="1"/>
    <xf numFmtId="0" fontId="0" fillId="0" borderId="0" xfId="0" applyAlignment="1">
      <alignment vertical="center"/>
    </xf>
    <xf numFmtId="0" fontId="9" fillId="0" borderId="11" xfId="0" applyFont="1" applyBorder="1"/>
    <xf numFmtId="164" fontId="12" fillId="0" borderId="0" xfId="0" applyNumberFormat="1" applyFont="1" applyAlignment="1">
      <alignment vertical="center"/>
    </xf>
    <xf numFmtId="0" fontId="9" fillId="0" borderId="12" xfId="0" applyFont="1" applyBorder="1"/>
    <xf numFmtId="0" fontId="18" fillId="0" borderId="12" xfId="0" applyFont="1" applyBorder="1"/>
    <xf numFmtId="0" fontId="21" fillId="0" borderId="0" xfId="0" applyFont="1"/>
    <xf numFmtId="164" fontId="11" fillId="0" borderId="0" xfId="0" applyNumberFormat="1" applyFont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23" fillId="0" borderId="0" xfId="0" applyFont="1"/>
    <xf numFmtId="164" fontId="12" fillId="0" borderId="0" xfId="0" applyNumberFormat="1" applyFont="1" applyAlignment="1">
      <alignment horizontal="right" vertical="center"/>
    </xf>
    <xf numFmtId="0" fontId="24" fillId="2" borderId="0" xfId="0" applyFont="1" applyFill="1"/>
    <xf numFmtId="0" fontId="25" fillId="0" borderId="0" xfId="0" applyFont="1"/>
    <xf numFmtId="0" fontId="26" fillId="2" borderId="0" xfId="0" applyFont="1" applyFill="1"/>
    <xf numFmtId="0" fontId="27" fillId="2" borderId="0" xfId="0" applyFont="1" applyFill="1"/>
    <xf numFmtId="0" fontId="27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9" fillId="0" borderId="0" xfId="0" applyFont="1"/>
    <xf numFmtId="0" fontId="18" fillId="0" borderId="12" xfId="0" applyFont="1" applyBorder="1" applyAlignment="1">
      <alignment wrapText="1"/>
    </xf>
    <xf numFmtId="0" fontId="18" fillId="0" borderId="12" xfId="0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14" fillId="2" borderId="9" xfId="0" applyFont="1" applyFill="1" applyBorder="1"/>
    <xf numFmtId="0" fontId="15" fillId="2" borderId="10" xfId="0" applyFont="1" applyFill="1" applyBorder="1"/>
    <xf numFmtId="0" fontId="15" fillId="2" borderId="13" xfId="0" applyFont="1" applyFill="1" applyBorder="1"/>
    <xf numFmtId="165" fontId="11" fillId="0" borderId="12" xfId="0" applyNumberFormat="1" applyFont="1" applyBorder="1" applyAlignment="1">
      <alignment horizontal="right" vertical="center"/>
    </xf>
    <xf numFmtId="164" fontId="12" fillId="0" borderId="11" xfId="0" applyNumberFormat="1" applyFont="1" applyBorder="1" applyAlignment="1">
      <alignment vertical="center"/>
    </xf>
    <xf numFmtId="0" fontId="1" fillId="0" borderId="0" xfId="0" applyFont="1"/>
    <xf numFmtId="165" fontId="11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/>
    </xf>
    <xf numFmtId="164" fontId="0" fillId="0" borderId="0" xfId="0" applyNumberFormat="1"/>
    <xf numFmtId="0" fontId="2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1" fillId="0" borderId="18" xfId="0" applyNumberFormat="1" applyFont="1" applyBorder="1" applyAlignment="1">
      <alignment vertical="center"/>
    </xf>
    <xf numFmtId="0" fontId="19" fillId="0" borderId="0" xfId="0" applyFont="1"/>
    <xf numFmtId="0" fontId="17" fillId="2" borderId="0" xfId="0" applyFont="1" applyFill="1" applyAlignment="1">
      <alignment vertical="center" wrapText="1"/>
    </xf>
    <xf numFmtId="0" fontId="9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066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100" b="1" i="0" u="none" strike="noStrike" baseline="0"/>
              <a:t>Battery Production Capacity vs Revenue Potential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'Executife Brief'!$D$20</c:f>
              <c:strCache>
                <c:ptCount val="1"/>
                <c:pt idx="0">
                  <c:v>Capacity (MWh)</c:v>
                </c:pt>
              </c:strCache>
            </c:strRef>
          </c:tx>
          <c:spPr>
            <a:ln w="41275" cap="rnd">
              <a:solidFill>
                <a:srgbClr val="4066B0"/>
              </a:solidFill>
              <a:round/>
            </a:ln>
            <a:effectLst/>
          </c:spPr>
          <c:marker>
            <c:symbol val="none"/>
          </c:marker>
          <c:xVal>
            <c:numRef>
              <c:f>'Executife Brief'!$D$21:$D$24</c:f>
              <c:numCache>
                <c:formatCode>General</c:formatCode>
                <c:ptCount val="4"/>
                <c:pt idx="0">
                  <c:v>200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</c:numCache>
            </c:numRef>
          </c:xVal>
          <c:yVal>
            <c:numRef>
              <c:f>'Executife Brief'!$E$21:$E$24</c:f>
              <c:numCache>
                <c:formatCode>General</c:formatCode>
                <c:ptCount val="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8-4724-8619-A80F73B34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156831"/>
        <c:axId val="1571164991"/>
      </c:scatterChart>
      <c:valAx>
        <c:axId val="157115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US" sz="1000" b="0" i="0" u="none" strike="noStrike" baseline="0"/>
                  <a:t>Capacity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571164991"/>
        <c:crosses val="autoZero"/>
        <c:crossBetween val="midCat"/>
      </c:valAx>
      <c:valAx>
        <c:axId val="157116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US"/>
                  <a:t>Revenue Potential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57115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066B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Revenue to EBITDA Profit Bridge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1" i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rPr lang="en-US" sz="1200" b="1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Revenue to EBITDA Profit Bridge</a:t>
          </a:r>
        </a:p>
      </cx:txPr>
    </cx:title>
    <cx:plotArea>
      <cx:plotAreaRegion>
        <cx:series layoutId="waterfall" uniqueId="{07A54750-1481-43E9-BE6B-C4589FA4CB3A}">
          <cx:tx>
            <cx:txData>
              <cx:f>_xlchart.v1.1</cx:f>
              <cx:v> Result  </cx:v>
            </cx:txData>
          </cx:tx>
          <cx:spPr>
            <a:solidFill>
              <a:srgbClr val="4066B0"/>
            </a:solidFill>
          </cx:spPr>
          <cx:dataPt idx="1">
            <cx:spPr>
              <a:solidFill>
                <a:sysClr val="window" lastClr="FFFFFF">
                  <a:lumMod val="85000"/>
                </a:sysClr>
              </a:solidFill>
            </cx:spPr>
          </cx:dataPt>
          <cx:dataPt idx="3">
            <cx:spPr>
              <a:solidFill>
                <a:sysClr val="window" lastClr="FFFFFF">
                  <a:lumMod val="85000"/>
                </a:sys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>
                  <a:solidFill>
                    <a:sysClr val="windowText" lastClr="000000"/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22" fmlaLink="$D$23" fmlaRange="$C$28:$C$30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466724</xdr:colOff>
      <xdr:row>7</xdr:row>
      <xdr:rowOff>171450</xdr:rowOff>
    </xdr:from>
    <xdr:to>
      <xdr:col>5</xdr:col>
      <xdr:colOff>314325</xdr:colOff>
      <xdr:row>9</xdr:row>
      <xdr:rowOff>205143</xdr:rowOff>
    </xdr:to>
    <xdr:pic>
      <xdr:nvPicPr>
        <xdr:cNvPr id="3" name="Picture 2" descr="Lyten Opens First Automated Battery Pilot Line in the U.S. ...">
          <a:extLst>
            <a:ext uri="{FF2B5EF4-FFF2-40B4-BE49-F238E27FC236}">
              <a16:creationId xmlns:a16="http://schemas.microsoft.com/office/drawing/2014/main" id="{F3416583-D504-5ABF-0FDF-A53F7B7AD1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68" b="31381"/>
        <a:stretch>
          <a:fillRect/>
        </a:stretch>
      </xdr:blipFill>
      <xdr:spPr bwMode="auto">
        <a:xfrm>
          <a:off x="1076324" y="1628775"/>
          <a:ext cx="2628901" cy="452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180975</xdr:rowOff>
    </xdr:from>
    <xdr:to>
      <xdr:col>3</xdr:col>
      <xdr:colOff>1066801</xdr:colOff>
      <xdr:row>0</xdr:row>
      <xdr:rowOff>633768</xdr:rowOff>
    </xdr:to>
    <xdr:pic>
      <xdr:nvPicPr>
        <xdr:cNvPr id="2" name="Picture 1" descr="Lyten Opens First Automated Battery Pilot Line in the U.S. ...">
          <a:extLst>
            <a:ext uri="{FF2B5EF4-FFF2-40B4-BE49-F238E27FC236}">
              <a16:creationId xmlns:a16="http://schemas.microsoft.com/office/drawing/2014/main" id="{0FB149A8-C3D1-441B-8807-68401E46E8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68" b="31381"/>
        <a:stretch>
          <a:fillRect/>
        </a:stretch>
      </xdr:blipFill>
      <xdr:spPr bwMode="auto">
        <a:xfrm>
          <a:off x="533400" y="180975"/>
          <a:ext cx="2628901" cy="452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19</xdr:row>
      <xdr:rowOff>276224</xdr:rowOff>
    </xdr:from>
    <xdr:to>
      <xdr:col>10</xdr:col>
      <xdr:colOff>0</xdr:colOff>
      <xdr:row>34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896985-01E1-5802-B210-D128D13D1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180975</xdr:rowOff>
    </xdr:from>
    <xdr:to>
      <xdr:col>3</xdr:col>
      <xdr:colOff>952501</xdr:colOff>
      <xdr:row>0</xdr:row>
      <xdr:rowOff>633768</xdr:rowOff>
    </xdr:to>
    <xdr:pic>
      <xdr:nvPicPr>
        <xdr:cNvPr id="2" name="Picture 1" descr="Lyten Opens First Automated Battery Pilot Line in the U.S. ...">
          <a:extLst>
            <a:ext uri="{FF2B5EF4-FFF2-40B4-BE49-F238E27FC236}">
              <a16:creationId xmlns:a16="http://schemas.microsoft.com/office/drawing/2014/main" id="{E05B808F-DE9D-40DC-AADD-E389ABE9AB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68" b="31381"/>
        <a:stretch>
          <a:fillRect/>
        </a:stretch>
      </xdr:blipFill>
      <xdr:spPr bwMode="auto">
        <a:xfrm>
          <a:off x="533400" y="180975"/>
          <a:ext cx="2628901" cy="452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33</xdr:row>
      <xdr:rowOff>0</xdr:rowOff>
    </xdr:from>
    <xdr:to>
      <xdr:col>5</xdr:col>
      <xdr:colOff>552450</xdr:colOff>
      <xdr:row>47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FEDC844-E59E-7A4C-CC01-74169B07B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7600950"/>
              <a:ext cx="40005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B02A-8F87-435A-A8E5-27AB3638FCDF}">
  <dimension ref="B1:P37"/>
  <sheetViews>
    <sheetView showGridLines="0" workbookViewId="0"/>
  </sheetViews>
  <sheetFormatPr defaultRowHeight="15" x14ac:dyDescent="0.25"/>
  <cols>
    <col min="2" max="16" width="10.42578125" customWidth="1"/>
  </cols>
  <sheetData>
    <row r="1" spans="2:16" ht="60.75" customHeight="1" thickBot="1" x14ac:dyDescent="0.3"/>
    <row r="2" spans="2:16" ht="16.5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16.5" x14ac:dyDescent="0.3"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spans="2:16" ht="16.5" x14ac:dyDescent="0.3">
      <c r="B4" s="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5"/>
    </row>
    <row r="5" spans="2:16" ht="16.5" x14ac:dyDescent="0.3"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5"/>
    </row>
    <row r="6" spans="2:16" ht="16.5" x14ac:dyDescent="0.3">
      <c r="B6" s="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5"/>
    </row>
    <row r="7" spans="2:16" ht="16.5" x14ac:dyDescent="0.3">
      <c r="B7" s="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5"/>
    </row>
    <row r="8" spans="2:16" ht="16.5" x14ac:dyDescent="0.3">
      <c r="B8" s="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</row>
    <row r="9" spans="2:16" ht="16.5" x14ac:dyDescent="0.3"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</row>
    <row r="10" spans="2:16" ht="16.5" x14ac:dyDescent="0.3"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</row>
    <row r="11" spans="2:16" ht="16.5" x14ac:dyDescent="0.3">
      <c r="B11" s="4"/>
      <c r="P11" s="8"/>
    </row>
    <row r="12" spans="2:16" ht="18" x14ac:dyDescent="0.35">
      <c r="B12" s="4"/>
      <c r="C12" s="9" t="s">
        <v>4</v>
      </c>
      <c r="D12" s="7"/>
      <c r="E12" s="7"/>
      <c r="F12" s="7"/>
      <c r="G12" s="7"/>
      <c r="P12" s="8"/>
    </row>
    <row r="13" spans="2:16" ht="18" x14ac:dyDescent="0.35">
      <c r="B13" s="4"/>
      <c r="C13" s="10" t="s">
        <v>5</v>
      </c>
      <c r="D13" s="7"/>
      <c r="E13" s="7"/>
      <c r="F13" s="7"/>
      <c r="G13" s="7"/>
      <c r="H13" s="7"/>
      <c r="I13" s="7"/>
      <c r="J13" s="7"/>
      <c r="K13" s="7"/>
      <c r="P13" s="5"/>
    </row>
    <row r="14" spans="2:16" ht="16.5" x14ac:dyDescent="0.3">
      <c r="B14" s="4"/>
      <c r="C14" s="7" t="s">
        <v>6</v>
      </c>
      <c r="D14" s="7"/>
      <c r="E14" s="7"/>
      <c r="F14" s="7"/>
      <c r="G14" s="7"/>
      <c r="H14" s="7"/>
      <c r="I14" s="7"/>
      <c r="J14" s="7"/>
      <c r="K14" s="7"/>
      <c r="P14" s="5"/>
    </row>
    <row r="15" spans="2:16" ht="16.5" x14ac:dyDescent="0.3">
      <c r="B15" s="4"/>
      <c r="H15" s="7"/>
      <c r="I15" s="7"/>
      <c r="J15" s="7"/>
      <c r="M15" s="7"/>
      <c r="P15" s="5"/>
    </row>
    <row r="16" spans="2:16" ht="16.5" x14ac:dyDescent="0.3">
      <c r="B16" s="4"/>
      <c r="D16" s="7"/>
      <c r="E16" s="7"/>
      <c r="F16" s="7"/>
      <c r="G16" s="7"/>
      <c r="H16" s="7"/>
      <c r="I16" s="7"/>
      <c r="J16" s="7"/>
      <c r="P16" s="5"/>
    </row>
    <row r="17" spans="2:16" ht="18" x14ac:dyDescent="0.35">
      <c r="B17" s="4"/>
      <c r="C17" s="9" t="s">
        <v>0</v>
      </c>
      <c r="D17" s="7"/>
      <c r="E17" s="7"/>
      <c r="F17" s="7"/>
      <c r="G17" s="7"/>
      <c r="H17" s="7"/>
      <c r="I17" s="7"/>
      <c r="K17" s="7"/>
      <c r="L17" s="11"/>
      <c r="N17" s="7"/>
      <c r="P17" s="5"/>
    </row>
    <row r="18" spans="2:16" ht="16.5" x14ac:dyDescent="0.3">
      <c r="B18" s="4"/>
      <c r="D18" s="7"/>
      <c r="E18" s="7"/>
      <c r="F18" s="7"/>
      <c r="G18" s="7"/>
      <c r="H18" s="7"/>
      <c r="I18" s="7"/>
      <c r="J18" s="7"/>
      <c r="K18" s="7"/>
      <c r="L18" s="11"/>
      <c r="M18" s="12"/>
      <c r="N18" s="7"/>
      <c r="O18" s="12"/>
      <c r="P18" s="5"/>
    </row>
    <row r="19" spans="2:16" ht="16.5" x14ac:dyDescent="0.3">
      <c r="B19" s="4"/>
      <c r="D19" s="7"/>
      <c r="E19" s="7"/>
      <c r="F19" s="7"/>
      <c r="G19" s="7"/>
      <c r="H19" s="7"/>
      <c r="I19" s="7"/>
      <c r="J19" s="7"/>
      <c r="K19" s="7"/>
      <c r="L19" s="11"/>
      <c r="M19" s="12"/>
      <c r="N19" s="7"/>
      <c r="O19" s="12"/>
      <c r="P19" s="5"/>
    </row>
    <row r="20" spans="2:16" ht="16.5" x14ac:dyDescent="0.3">
      <c r="B20" s="4"/>
      <c r="P20" s="5"/>
    </row>
    <row r="21" spans="2:16" ht="16.5" x14ac:dyDescent="0.3">
      <c r="B21" s="4"/>
      <c r="D21" s="7"/>
      <c r="E21" s="7"/>
      <c r="F21" s="7"/>
      <c r="G21" s="7"/>
      <c r="H21" s="7"/>
      <c r="I21" s="7"/>
      <c r="J21" s="7"/>
      <c r="O21" s="7"/>
      <c r="P21" s="5"/>
    </row>
    <row r="22" spans="2:16" ht="16.5" x14ac:dyDescent="0.3">
      <c r="B22" s="4"/>
      <c r="D22" s="7"/>
      <c r="E22" s="7"/>
      <c r="F22" s="7"/>
      <c r="G22" s="7"/>
      <c r="H22" s="7"/>
      <c r="I22" s="7"/>
      <c r="J22" s="7"/>
      <c r="O22" s="7"/>
      <c r="P22" s="5"/>
    </row>
    <row r="23" spans="2:16" ht="16.5" x14ac:dyDescent="0.3">
      <c r="B23" s="4"/>
      <c r="C23" s="13"/>
      <c r="D23" s="13"/>
      <c r="E23" s="13"/>
      <c r="F23" s="13"/>
      <c r="G23" s="13"/>
      <c r="H23" s="6"/>
      <c r="I23" s="13"/>
      <c r="J23" s="14"/>
      <c r="O23" s="7"/>
      <c r="P23" s="5"/>
    </row>
    <row r="24" spans="2:16" ht="16.5" x14ac:dyDescent="0.3">
      <c r="B24" s="4"/>
      <c r="C24" s="13"/>
      <c r="D24" s="13"/>
      <c r="E24" s="13"/>
      <c r="F24" s="13"/>
      <c r="G24" s="13"/>
      <c r="H24" s="6"/>
      <c r="I24" s="13"/>
      <c r="J24" s="14"/>
      <c r="K24" s="13"/>
      <c r="L24" s="13"/>
      <c r="M24" s="7"/>
      <c r="N24" s="7"/>
      <c r="O24" s="7"/>
      <c r="P24" s="5"/>
    </row>
    <row r="25" spans="2:16" ht="16.5" x14ac:dyDescent="0.3">
      <c r="B25" s="4"/>
      <c r="C25" s="13"/>
      <c r="D25" s="13"/>
      <c r="E25" s="13"/>
      <c r="F25" s="13"/>
      <c r="G25" s="13"/>
      <c r="H25" s="6"/>
      <c r="K25" s="65" t="s">
        <v>7</v>
      </c>
      <c r="L25" s="13"/>
      <c r="M25" s="7"/>
      <c r="N25" s="7"/>
      <c r="O25" s="7"/>
      <c r="P25" s="5"/>
    </row>
    <row r="26" spans="2:16" ht="16.5" x14ac:dyDescent="0.3">
      <c r="B26" s="4"/>
      <c r="G26" s="13"/>
      <c r="H26" s="6"/>
      <c r="K26" s="24" t="s">
        <v>8</v>
      </c>
      <c r="M26" s="13"/>
      <c r="N26" s="13"/>
      <c r="O26" s="7"/>
      <c r="P26" s="5"/>
    </row>
    <row r="27" spans="2:16" ht="16.5" x14ac:dyDescent="0.3">
      <c r="B27" s="4"/>
      <c r="G27" s="6"/>
      <c r="H27" s="6"/>
      <c r="M27" s="14"/>
      <c r="N27" s="6"/>
      <c r="O27" s="7"/>
      <c r="P27" s="5"/>
    </row>
    <row r="28" spans="2:16" ht="16.5" x14ac:dyDescent="0.3">
      <c r="B28" s="4"/>
      <c r="G28" s="6"/>
      <c r="H28" s="6"/>
      <c r="K28" s="15" t="s">
        <v>1</v>
      </c>
      <c r="M28" s="14"/>
      <c r="N28" s="6"/>
      <c r="O28" s="7"/>
      <c r="P28" s="5"/>
    </row>
    <row r="29" spans="2:16" ht="16.5" x14ac:dyDescent="0.3">
      <c r="B29" s="4"/>
      <c r="G29" s="6"/>
      <c r="H29" s="6"/>
      <c r="K29" s="7" t="s">
        <v>2</v>
      </c>
      <c r="M29" s="6"/>
      <c r="N29" s="6"/>
      <c r="O29" s="7"/>
      <c r="P29" s="5"/>
    </row>
    <row r="30" spans="2:16" ht="16.5" x14ac:dyDescent="0.3">
      <c r="B30" s="4"/>
      <c r="G30" s="6"/>
      <c r="H30" s="6"/>
      <c r="K30" s="7" t="s">
        <v>3</v>
      </c>
      <c r="M30" s="6"/>
      <c r="N30" s="6"/>
      <c r="O30" s="7"/>
      <c r="P30" s="5"/>
    </row>
    <row r="31" spans="2:16" ht="16.5" x14ac:dyDescent="0.3"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5"/>
    </row>
    <row r="32" spans="2:16" ht="16.5" x14ac:dyDescent="0.3"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5"/>
    </row>
    <row r="33" spans="2:16" ht="16.5" x14ac:dyDescent="0.3"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5"/>
    </row>
    <row r="34" spans="2:16" ht="17.25" thickBot="1" x14ac:dyDescent="0.35"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5"/>
    </row>
    <row r="35" spans="2:16" ht="16.5" x14ac:dyDescent="0.3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</row>
    <row r="36" spans="2:16" ht="36.75" customHeight="1" x14ac:dyDescent="0.3">
      <c r="B36" s="19"/>
      <c r="C36" s="66" t="s">
        <v>9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20"/>
    </row>
    <row r="37" spans="2:16" ht="17.25" thickBot="1" x14ac:dyDescent="0.35"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3"/>
    </row>
  </sheetData>
  <mergeCells count="1">
    <mergeCell ref="C36:O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79DC-B234-4701-A428-FE3D83CBFDD9}">
  <dimension ref="A1:J49"/>
  <sheetViews>
    <sheetView showGridLines="0" workbookViewId="0">
      <pane ySplit="1" topLeftCell="A2" activePane="bottomLeft" state="frozen"/>
      <selection pane="bottomLeft"/>
    </sheetView>
  </sheetViews>
  <sheetFormatPr defaultRowHeight="15" outlineLevelRow="1" x14ac:dyDescent="0.3"/>
  <cols>
    <col min="1" max="1" width="9.140625" style="6"/>
    <col min="2" max="2" width="2.140625" style="6" customWidth="1"/>
    <col min="3" max="3" width="20.140625" style="6" customWidth="1"/>
    <col min="4" max="4" width="27.5703125" style="6" customWidth="1"/>
    <col min="5" max="5" width="30.85546875" style="6" customWidth="1"/>
    <col min="6" max="6" width="8" style="6" customWidth="1"/>
    <col min="7" max="7" width="14" style="6" customWidth="1"/>
    <col min="8" max="8" width="21.140625" style="6" customWidth="1"/>
    <col min="9" max="9" width="12" style="6" customWidth="1"/>
    <col min="10" max="10" width="14.28515625" style="6" customWidth="1"/>
    <col min="11" max="16384" width="9.140625" style="6"/>
  </cols>
  <sheetData>
    <row r="1" spans="1:10" ht="60.75" customHeight="1" x14ac:dyDescent="0.3"/>
    <row r="3" spans="1:10" s="42" customFormat="1" ht="22.5" x14ac:dyDescent="0.4">
      <c r="A3" s="42" t="s">
        <v>78</v>
      </c>
      <c r="B3" s="26" t="s">
        <v>27</v>
      </c>
      <c r="C3" s="38"/>
      <c r="D3" s="40"/>
      <c r="E3" s="41"/>
      <c r="F3" s="40"/>
      <c r="G3" s="40"/>
      <c r="H3" s="40"/>
      <c r="I3" s="40"/>
      <c r="J3" s="40"/>
    </row>
    <row r="4" spans="1:10" ht="18" outlineLevel="1" x14ac:dyDescent="0.35">
      <c r="B4" s="39"/>
      <c r="C4" s="39"/>
    </row>
    <row r="5" spans="1:10" ht="18" outlineLevel="1" x14ac:dyDescent="0.35">
      <c r="B5" s="45" t="s">
        <v>28</v>
      </c>
      <c r="C5" s="39"/>
    </row>
    <row r="6" spans="1:10" ht="36" customHeight="1" outlineLevel="1" x14ac:dyDescent="0.3">
      <c r="C6" s="67" t="s">
        <v>29</v>
      </c>
      <c r="D6" s="67"/>
      <c r="E6" s="67"/>
      <c r="F6" s="67"/>
      <c r="G6" s="67"/>
      <c r="H6" s="67"/>
      <c r="I6" s="67"/>
      <c r="J6" s="67"/>
    </row>
    <row r="7" spans="1:10" ht="45" customHeight="1" outlineLevel="1" x14ac:dyDescent="0.3">
      <c r="C7" s="67" t="s">
        <v>30</v>
      </c>
      <c r="D7" s="67"/>
      <c r="E7" s="67"/>
      <c r="F7" s="67"/>
      <c r="G7" s="67"/>
      <c r="H7" s="67"/>
      <c r="I7" s="67"/>
      <c r="J7" s="67"/>
    </row>
    <row r="8" spans="1:10" outlineLevel="1" x14ac:dyDescent="0.3">
      <c r="C8" s="44"/>
      <c r="D8" s="44"/>
      <c r="E8" s="44"/>
      <c r="F8" s="44"/>
      <c r="G8" s="44"/>
      <c r="H8" s="44"/>
      <c r="I8" s="44"/>
      <c r="J8" s="44"/>
    </row>
    <row r="9" spans="1:10" ht="16.5" outlineLevel="1" x14ac:dyDescent="0.3">
      <c r="B9" s="45" t="s">
        <v>31</v>
      </c>
    </row>
    <row r="10" spans="1:10" ht="15.75" outlineLevel="1" thickBot="1" x14ac:dyDescent="0.35">
      <c r="C10" s="31" t="s">
        <v>32</v>
      </c>
      <c r="D10" s="31"/>
      <c r="E10" s="31" t="s">
        <v>33</v>
      </c>
      <c r="F10" s="30"/>
      <c r="G10" s="31" t="s">
        <v>60</v>
      </c>
      <c r="H10" s="30"/>
      <c r="I10" s="30"/>
      <c r="J10" s="30"/>
    </row>
    <row r="11" spans="1:10" outlineLevel="1" x14ac:dyDescent="0.3">
      <c r="C11" s="6" t="s">
        <v>34</v>
      </c>
      <c r="E11" s="6" t="s">
        <v>14</v>
      </c>
    </row>
    <row r="12" spans="1:10" outlineLevel="1" x14ac:dyDescent="0.3">
      <c r="C12" s="6" t="s">
        <v>35</v>
      </c>
      <c r="E12" s="6" t="s">
        <v>17</v>
      </c>
      <c r="G12" s="6" t="s">
        <v>61</v>
      </c>
    </row>
    <row r="13" spans="1:10" outlineLevel="1" x14ac:dyDescent="0.3">
      <c r="C13" s="6" t="s">
        <v>13</v>
      </c>
      <c r="E13" s="6" t="s">
        <v>15</v>
      </c>
      <c r="G13" s="6" t="s">
        <v>62</v>
      </c>
    </row>
    <row r="14" spans="1:10" outlineLevel="1" x14ac:dyDescent="0.3">
      <c r="C14" s="6" t="s">
        <v>11</v>
      </c>
      <c r="E14" s="6" t="s">
        <v>12</v>
      </c>
      <c r="G14" s="6" t="s">
        <v>63</v>
      </c>
    </row>
    <row r="15" spans="1:10" outlineLevel="1" x14ac:dyDescent="0.3"/>
    <row r="16" spans="1:10" outlineLevel="1" x14ac:dyDescent="0.3">
      <c r="C16" s="32" t="s">
        <v>36</v>
      </c>
    </row>
    <row r="17" spans="2:6" outlineLevel="1" x14ac:dyDescent="0.3"/>
    <row r="18" spans="2:6" outlineLevel="1" x14ac:dyDescent="0.3"/>
    <row r="19" spans="2:6" ht="16.5" outlineLevel="1" x14ac:dyDescent="0.3">
      <c r="B19" s="45" t="s">
        <v>37</v>
      </c>
    </row>
    <row r="20" spans="2:6" s="34" customFormat="1" ht="21.75" customHeight="1" outlineLevel="1" thickBot="1" x14ac:dyDescent="0.35">
      <c r="C20" s="46" t="s">
        <v>38</v>
      </c>
      <c r="D20" s="47" t="s">
        <v>39</v>
      </c>
      <c r="E20" s="47" t="s">
        <v>40</v>
      </c>
      <c r="F20" s="48"/>
    </row>
    <row r="21" spans="2:6" outlineLevel="1" x14ac:dyDescent="0.3">
      <c r="C21" s="6" t="s">
        <v>41</v>
      </c>
      <c r="D21" s="6">
        <v>200</v>
      </c>
      <c r="E21" s="6">
        <v>20</v>
      </c>
    </row>
    <row r="22" spans="2:6" outlineLevel="1" x14ac:dyDescent="0.3">
      <c r="C22" s="6" t="s">
        <v>42</v>
      </c>
      <c r="D22" s="6">
        <v>500</v>
      </c>
      <c r="E22" s="6">
        <v>50</v>
      </c>
    </row>
    <row r="23" spans="2:6" outlineLevel="1" x14ac:dyDescent="0.3">
      <c r="C23" s="6" t="s">
        <v>43</v>
      </c>
      <c r="D23" s="6">
        <v>1000</v>
      </c>
      <c r="E23" s="6">
        <v>100</v>
      </c>
    </row>
    <row r="24" spans="2:6" outlineLevel="1" x14ac:dyDescent="0.3">
      <c r="C24" s="6" t="s">
        <v>44</v>
      </c>
      <c r="D24" s="6">
        <v>2000</v>
      </c>
      <c r="E24" s="6">
        <v>200</v>
      </c>
    </row>
    <row r="25" spans="2:6" outlineLevel="1" x14ac:dyDescent="0.3"/>
    <row r="26" spans="2:6" outlineLevel="1" x14ac:dyDescent="0.3"/>
    <row r="27" spans="2:6" ht="16.5" outlineLevel="1" x14ac:dyDescent="0.3">
      <c r="B27" s="45" t="s">
        <v>46</v>
      </c>
    </row>
    <row r="28" spans="2:6" ht="15.75" outlineLevel="1" thickBot="1" x14ac:dyDescent="0.35">
      <c r="B28" s="34"/>
      <c r="C28" s="46" t="s">
        <v>47</v>
      </c>
      <c r="D28" s="46"/>
      <c r="E28" s="46" t="s">
        <v>48</v>
      </c>
    </row>
    <row r="29" spans="2:6" outlineLevel="1" x14ac:dyDescent="0.3">
      <c r="C29" s="6" t="s">
        <v>49</v>
      </c>
      <c r="E29" s="6" t="s">
        <v>50</v>
      </c>
    </row>
    <row r="30" spans="2:6" outlineLevel="1" x14ac:dyDescent="0.3">
      <c r="C30" s="6" t="s">
        <v>51</v>
      </c>
      <c r="E30" s="6" t="s">
        <v>52</v>
      </c>
    </row>
    <row r="31" spans="2:6" outlineLevel="1" x14ac:dyDescent="0.3">
      <c r="C31" s="6" t="s">
        <v>53</v>
      </c>
      <c r="E31" s="6" t="s">
        <v>54</v>
      </c>
    </row>
    <row r="32" spans="2:6" outlineLevel="1" x14ac:dyDescent="0.3">
      <c r="C32" s="6" t="s">
        <v>55</v>
      </c>
      <c r="E32" s="6" t="s">
        <v>56</v>
      </c>
    </row>
    <row r="33" spans="2:10" ht="15.75" outlineLevel="1" thickBot="1" x14ac:dyDescent="0.35"/>
    <row r="34" spans="2:10" ht="15.75" outlineLevel="1" thickBot="1" x14ac:dyDescent="0.35">
      <c r="C34" s="53" t="s">
        <v>57</v>
      </c>
      <c r="D34" s="54"/>
      <c r="E34" s="55"/>
    </row>
    <row r="35" spans="2:10" outlineLevel="1" x14ac:dyDescent="0.3">
      <c r="C35" s="49" t="s">
        <v>58</v>
      </c>
      <c r="E35" s="50"/>
    </row>
    <row r="36" spans="2:10" ht="15.75" outlineLevel="1" thickBot="1" x14ac:dyDescent="0.35">
      <c r="C36" s="51" t="s">
        <v>59</v>
      </c>
      <c r="D36" s="30"/>
      <c r="E36" s="52"/>
      <c r="G36" s="36" t="s">
        <v>45</v>
      </c>
    </row>
    <row r="37" spans="2:10" outlineLevel="1" x14ac:dyDescent="0.3"/>
    <row r="38" spans="2:10" outlineLevel="1" x14ac:dyDescent="0.3"/>
    <row r="39" spans="2:10" ht="16.5" outlineLevel="1" x14ac:dyDescent="0.3">
      <c r="B39" s="45" t="s">
        <v>64</v>
      </c>
    </row>
    <row r="40" spans="2:10" ht="15.75" outlineLevel="1" thickBot="1" x14ac:dyDescent="0.35">
      <c r="C40" s="46" t="s">
        <v>65</v>
      </c>
      <c r="D40" s="46"/>
      <c r="E40" s="46" t="s">
        <v>66</v>
      </c>
    </row>
    <row r="41" spans="2:10" outlineLevel="1" x14ac:dyDescent="0.3">
      <c r="C41" s="6" t="s">
        <v>67</v>
      </c>
      <c r="E41" s="6" t="s">
        <v>68</v>
      </c>
    </row>
    <row r="42" spans="2:10" outlineLevel="1" x14ac:dyDescent="0.3">
      <c r="C42" s="6" t="s">
        <v>69</v>
      </c>
      <c r="E42" s="6" t="s">
        <v>70</v>
      </c>
    </row>
    <row r="43" spans="2:10" outlineLevel="1" x14ac:dyDescent="0.3">
      <c r="C43" s="6" t="s">
        <v>71</v>
      </c>
      <c r="E43" s="6" t="s">
        <v>72</v>
      </c>
    </row>
    <row r="44" spans="2:10" outlineLevel="1" x14ac:dyDescent="0.3">
      <c r="C44" s="6" t="s">
        <v>73</v>
      </c>
      <c r="E44" s="6" t="s">
        <v>74</v>
      </c>
    </row>
    <row r="45" spans="2:10" outlineLevel="1" x14ac:dyDescent="0.3"/>
    <row r="46" spans="2:10" ht="16.5" outlineLevel="1" x14ac:dyDescent="0.3">
      <c r="B46" s="45" t="s">
        <v>75</v>
      </c>
    </row>
    <row r="47" spans="2:10" outlineLevel="1" x14ac:dyDescent="0.3">
      <c r="C47" s="6" t="s">
        <v>76</v>
      </c>
    </row>
    <row r="48" spans="2:10" ht="34.5" customHeight="1" outlineLevel="1" x14ac:dyDescent="0.3">
      <c r="C48" s="67" t="s">
        <v>77</v>
      </c>
      <c r="D48" s="67"/>
      <c r="E48" s="67"/>
      <c r="F48" s="67"/>
      <c r="G48" s="67"/>
      <c r="H48" s="67"/>
      <c r="I48" s="67"/>
      <c r="J48" s="67"/>
    </row>
    <row r="49" outlineLevel="1" x14ac:dyDescent="0.3"/>
  </sheetData>
  <mergeCells count="3">
    <mergeCell ref="C6:J6"/>
    <mergeCell ref="C7:J7"/>
    <mergeCell ref="C48:J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B7A7-8CF7-48D1-A231-130B21ECE4D7}">
  <dimension ref="A1:H54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outlineLevelRow="1" x14ac:dyDescent="0.25"/>
  <cols>
    <col min="2" max="2" width="2.42578125" customWidth="1"/>
    <col min="3" max="3" width="21.5703125" customWidth="1"/>
    <col min="4" max="4" width="15.5703125" customWidth="1"/>
    <col min="5" max="5" width="12.140625" customWidth="1"/>
    <col min="6" max="6" width="15.7109375" customWidth="1"/>
    <col min="7" max="7" width="17" customWidth="1"/>
    <col min="8" max="8" width="22.42578125" customWidth="1"/>
  </cols>
  <sheetData>
    <row r="1" spans="1:8" s="6" customFormat="1" ht="60.75" customHeight="1" x14ac:dyDescent="0.3"/>
    <row r="3" spans="1:8" s="42" customFormat="1" ht="22.5" x14ac:dyDescent="0.4">
      <c r="A3" s="42" t="s">
        <v>78</v>
      </c>
      <c r="B3" s="26" t="s">
        <v>23</v>
      </c>
      <c r="C3" s="38"/>
      <c r="D3" s="40"/>
      <c r="E3" s="41"/>
      <c r="F3" s="40"/>
      <c r="G3" s="40"/>
      <c r="H3" s="40"/>
    </row>
    <row r="4" spans="1:8" ht="15.75" outlineLevel="1" x14ac:dyDescent="0.3">
      <c r="C4" s="32"/>
      <c r="H4" s="60" t="s">
        <v>79</v>
      </c>
    </row>
    <row r="5" spans="1:8" outlineLevel="1" x14ac:dyDescent="0.25"/>
    <row r="6" spans="1:8" s="27" customFormat="1" ht="24.75" customHeight="1" outlineLevel="1" x14ac:dyDescent="0.25">
      <c r="B6" s="62" t="s">
        <v>82</v>
      </c>
      <c r="H6" s="63"/>
    </row>
    <row r="7" spans="1:8" ht="16.5" outlineLevel="1" thickBot="1" x14ac:dyDescent="0.35">
      <c r="C7" s="31" t="s">
        <v>83</v>
      </c>
      <c r="D7" s="56" t="s">
        <v>84</v>
      </c>
      <c r="H7" s="6"/>
    </row>
    <row r="8" spans="1:8" ht="15.75" outlineLevel="1" x14ac:dyDescent="0.3">
      <c r="C8" s="6" t="s">
        <v>85</v>
      </c>
      <c r="D8" s="29">
        <v>0.45</v>
      </c>
    </row>
    <row r="9" spans="1:8" ht="15.75" outlineLevel="1" x14ac:dyDescent="0.3">
      <c r="C9" s="6" t="s">
        <v>86</v>
      </c>
      <c r="D9" s="29">
        <v>0.17</v>
      </c>
    </row>
    <row r="10" spans="1:8" ht="15.75" outlineLevel="1" x14ac:dyDescent="0.3">
      <c r="C10" s="6" t="s">
        <v>16</v>
      </c>
      <c r="D10" s="29">
        <v>0.05</v>
      </c>
    </row>
    <row r="11" spans="1:8" ht="15.75" outlineLevel="1" x14ac:dyDescent="0.3">
      <c r="C11" s="28" t="s">
        <v>87</v>
      </c>
      <c r="D11" s="57">
        <v>0.05</v>
      </c>
    </row>
    <row r="12" spans="1:8" ht="15.75" outlineLevel="1" x14ac:dyDescent="0.3">
      <c r="C12" s="25" t="s">
        <v>88</v>
      </c>
      <c r="D12" s="33">
        <f>SUM(D8:D11)</f>
        <v>0.72000000000000008</v>
      </c>
      <c r="F12" s="35"/>
      <c r="G12" s="35"/>
      <c r="H12" s="35"/>
    </row>
    <row r="13" spans="1:8" ht="15.75" outlineLevel="1" x14ac:dyDescent="0.3">
      <c r="E13" s="35"/>
      <c r="F13" s="35"/>
      <c r="G13" s="35"/>
      <c r="H13" s="35"/>
    </row>
    <row r="14" spans="1:8" ht="28.5" customHeight="1" outlineLevel="1" x14ac:dyDescent="0.3">
      <c r="B14" s="62" t="s">
        <v>92</v>
      </c>
      <c r="C14" s="45"/>
      <c r="D14" s="33"/>
      <c r="E14" s="35"/>
      <c r="F14" s="35"/>
      <c r="G14" s="35"/>
      <c r="H14" s="35"/>
    </row>
    <row r="15" spans="1:8" ht="17.25" outlineLevel="1" thickBot="1" x14ac:dyDescent="0.35">
      <c r="B15" s="45"/>
      <c r="C15" s="31" t="s">
        <v>89</v>
      </c>
      <c r="D15" s="56" t="s">
        <v>84</v>
      </c>
      <c r="E15" s="35"/>
      <c r="F15" s="35"/>
      <c r="G15" s="35"/>
      <c r="H15" s="35"/>
    </row>
    <row r="16" spans="1:8" ht="15.75" outlineLevel="1" x14ac:dyDescent="0.3">
      <c r="C16" s="6" t="s">
        <v>90</v>
      </c>
      <c r="D16" s="29">
        <v>0.1</v>
      </c>
      <c r="E16" s="35"/>
      <c r="F16" s="35"/>
      <c r="G16" s="35"/>
      <c r="H16" s="35"/>
    </row>
    <row r="17" spans="1:8" ht="15.75" outlineLevel="1" x14ac:dyDescent="0.3">
      <c r="C17" s="28" t="s">
        <v>91</v>
      </c>
      <c r="D17" s="57">
        <v>0.08</v>
      </c>
      <c r="E17" s="35"/>
      <c r="F17" s="35"/>
      <c r="G17" s="35"/>
      <c r="H17" s="35"/>
    </row>
    <row r="18" spans="1:8" ht="15.75" outlineLevel="1" x14ac:dyDescent="0.3">
      <c r="C18" s="25" t="s">
        <v>93</v>
      </c>
      <c r="D18" s="33">
        <f>D16+D17</f>
        <v>0.18</v>
      </c>
      <c r="E18" s="35"/>
      <c r="F18" s="35"/>
      <c r="G18" s="35"/>
      <c r="H18" s="35"/>
    </row>
    <row r="19" spans="1:8" ht="15.75" outlineLevel="1" x14ac:dyDescent="0.3">
      <c r="E19" s="35"/>
      <c r="F19" s="35"/>
      <c r="G19" s="35"/>
      <c r="H19" s="35"/>
    </row>
    <row r="20" spans="1:8" ht="15.75" x14ac:dyDescent="0.3">
      <c r="C20" s="6"/>
      <c r="E20" s="35"/>
      <c r="F20" s="35"/>
      <c r="G20" s="35"/>
      <c r="H20" s="35"/>
    </row>
    <row r="21" spans="1:8" s="42" customFormat="1" ht="22.5" x14ac:dyDescent="0.4">
      <c r="A21" s="42" t="s">
        <v>78</v>
      </c>
      <c r="B21" s="26" t="s">
        <v>18</v>
      </c>
      <c r="C21" s="38"/>
      <c r="D21" s="40"/>
      <c r="E21" s="41"/>
      <c r="F21" s="40"/>
      <c r="G21" s="40"/>
      <c r="H21" s="40"/>
    </row>
    <row r="22" spans="1:8" ht="15.75" x14ac:dyDescent="0.3">
      <c r="C22" s="6"/>
      <c r="E22" s="35"/>
      <c r="F22" s="35"/>
      <c r="G22" s="35"/>
      <c r="H22" s="35"/>
    </row>
    <row r="23" spans="1:8" ht="16.5" outlineLevel="1" x14ac:dyDescent="0.3">
      <c r="B23" s="45" t="s">
        <v>80</v>
      </c>
      <c r="D23" s="43">
        <v>1</v>
      </c>
      <c r="E23" s="6"/>
      <c r="F23" s="6"/>
    </row>
    <row r="24" spans="1:8" outlineLevel="1" x14ac:dyDescent="0.25"/>
    <row r="25" spans="1:8" outlineLevel="1" x14ac:dyDescent="0.25">
      <c r="D25" s="59" t="s">
        <v>22</v>
      </c>
      <c r="E25" s="59" t="s">
        <v>24</v>
      </c>
      <c r="F25" s="59" t="s">
        <v>25</v>
      </c>
      <c r="G25" s="59" t="s">
        <v>26</v>
      </c>
      <c r="H25" s="59" t="s">
        <v>94</v>
      </c>
    </row>
    <row r="26" spans="1:8" ht="15.75" outlineLevel="1" x14ac:dyDescent="0.3">
      <c r="B26" s="25"/>
      <c r="D26" s="64" cm="1">
        <f t="array" ref="D26">INDEX(D28:D30,$D$23)</f>
        <v>100</v>
      </c>
      <c r="E26" s="64" cm="1">
        <f t="array" ref="E26">INDEX(E28:E30,$D$23)</f>
        <v>2</v>
      </c>
      <c r="F26" s="64" cm="1">
        <f t="array" ref="F26">INDEX(F28:F30,$D$23)</f>
        <v>0.7</v>
      </c>
      <c r="G26" s="64" cm="1">
        <f t="array" ref="G26">INDEX(G28:G30,$D$23)</f>
        <v>0.72000000000000008</v>
      </c>
      <c r="H26" s="64" cm="1">
        <f t="array" ref="H26">INDEX(H28:H30,$D$23)</f>
        <v>0.18</v>
      </c>
    </row>
    <row r="27" spans="1:8" outlineLevel="1" x14ac:dyDescent="0.25">
      <c r="D27" s="61"/>
      <c r="E27" s="61"/>
      <c r="F27" s="61"/>
      <c r="G27" s="61"/>
      <c r="H27" s="61"/>
    </row>
    <row r="28" spans="1:8" ht="15.75" outlineLevel="1" x14ac:dyDescent="0.3">
      <c r="C28" s="6" t="s">
        <v>19</v>
      </c>
      <c r="D28" s="29">
        <v>100</v>
      </c>
      <c r="E28" s="37">
        <v>2</v>
      </c>
      <c r="F28" s="37">
        <v>0.7</v>
      </c>
      <c r="G28" s="37">
        <f>D12</f>
        <v>0.72000000000000008</v>
      </c>
      <c r="H28" s="37">
        <f>D18</f>
        <v>0.18</v>
      </c>
    </row>
    <row r="29" spans="1:8" ht="15.75" outlineLevel="1" x14ac:dyDescent="0.3">
      <c r="C29" s="6" t="s">
        <v>20</v>
      </c>
      <c r="D29" s="29">
        <v>120</v>
      </c>
      <c r="E29" s="37">
        <v>3</v>
      </c>
      <c r="F29" s="37">
        <v>0.85</v>
      </c>
      <c r="G29" s="37">
        <v>0.65</v>
      </c>
      <c r="H29" s="37">
        <v>0.15</v>
      </c>
    </row>
    <row r="30" spans="1:8" ht="15.75" outlineLevel="1" x14ac:dyDescent="0.3">
      <c r="C30" s="6" t="s">
        <v>21</v>
      </c>
      <c r="D30" s="29">
        <v>80</v>
      </c>
      <c r="E30" s="37">
        <v>1.5</v>
      </c>
      <c r="F30" s="37">
        <v>0.5</v>
      </c>
      <c r="G30" s="37">
        <v>0.8</v>
      </c>
      <c r="H30" s="37">
        <v>0.22</v>
      </c>
    </row>
    <row r="31" spans="1:8" outlineLevel="1" x14ac:dyDescent="0.25"/>
    <row r="32" spans="1:8" ht="16.5" outlineLevel="1" x14ac:dyDescent="0.3">
      <c r="B32" s="45" t="s">
        <v>95</v>
      </c>
    </row>
    <row r="33" spans="4:8" outlineLevel="1" x14ac:dyDescent="0.25"/>
    <row r="34" spans="4:8" ht="16.5" outlineLevel="1" thickBot="1" x14ac:dyDescent="0.35">
      <c r="G34" s="31" t="s">
        <v>10</v>
      </c>
      <c r="H34" s="56" t="s">
        <v>96</v>
      </c>
    </row>
    <row r="35" spans="4:8" ht="15.75" outlineLevel="1" x14ac:dyDescent="0.3">
      <c r="G35" s="25" t="s">
        <v>81</v>
      </c>
      <c r="H35" s="33">
        <f>D26*E26*F26</f>
        <v>140</v>
      </c>
    </row>
    <row r="36" spans="4:8" ht="15.75" outlineLevel="1" x14ac:dyDescent="0.3">
      <c r="G36" s="28" t="s">
        <v>26</v>
      </c>
      <c r="H36" s="57">
        <f>-G26*H35</f>
        <v>-100.80000000000001</v>
      </c>
    </row>
    <row r="37" spans="4:8" outlineLevel="1" x14ac:dyDescent="0.25">
      <c r="G37" s="58" t="s">
        <v>99</v>
      </c>
      <c r="H37" s="33">
        <f>H35+H36</f>
        <v>39.199999999999989</v>
      </c>
    </row>
    <row r="38" spans="4:8" ht="15.75" outlineLevel="1" x14ac:dyDescent="0.3">
      <c r="G38" s="28" t="s">
        <v>94</v>
      </c>
      <c r="H38" s="57">
        <f>-H26*H35</f>
        <v>-25.2</v>
      </c>
    </row>
    <row r="39" spans="4:8" ht="15.75" outlineLevel="1" x14ac:dyDescent="0.3">
      <c r="G39" s="25" t="s">
        <v>97</v>
      </c>
      <c r="H39" s="33">
        <f>H37+H38</f>
        <v>13.999999999999989</v>
      </c>
    </row>
    <row r="40" spans="4:8" outlineLevel="1" x14ac:dyDescent="0.25">
      <c r="H40" s="29"/>
    </row>
    <row r="41" spans="4:8" outlineLevel="1" x14ac:dyDescent="0.25">
      <c r="G41" t="s">
        <v>98</v>
      </c>
      <c r="H41" s="29">
        <f>H37/H35</f>
        <v>0.27999999999999992</v>
      </c>
    </row>
    <row r="42" spans="4:8" ht="15.75" outlineLevel="1" x14ac:dyDescent="0.3">
      <c r="G42" s="6" t="s">
        <v>100</v>
      </c>
      <c r="H42" s="29">
        <f>H39/H35</f>
        <v>9.9999999999999922E-2</v>
      </c>
    </row>
    <row r="43" spans="4:8" outlineLevel="1" x14ac:dyDescent="0.25">
      <c r="D43" s="29"/>
    </row>
    <row r="44" spans="4:8" outlineLevel="1" x14ac:dyDescent="0.25"/>
    <row r="45" spans="4:8" outlineLevel="1" x14ac:dyDescent="0.25"/>
    <row r="46" spans="4:8" outlineLevel="1" x14ac:dyDescent="0.25"/>
    <row r="47" spans="4:8" outlineLevel="1" x14ac:dyDescent="0.25"/>
    <row r="48" spans="4:8" outlineLevel="1" x14ac:dyDescent="0.25"/>
    <row r="49" spans="2:3" ht="25.5" customHeight="1" outlineLevel="1" x14ac:dyDescent="0.25">
      <c r="B49" s="62" t="s">
        <v>105</v>
      </c>
    </row>
    <row r="50" spans="2:3" ht="15.75" outlineLevel="1" x14ac:dyDescent="0.3">
      <c r="C50" s="6" t="s">
        <v>101</v>
      </c>
    </row>
    <row r="51" spans="2:3" ht="15.75" outlineLevel="1" x14ac:dyDescent="0.3">
      <c r="C51" s="6" t="s">
        <v>102</v>
      </c>
    </row>
    <row r="52" spans="2:3" ht="15.75" outlineLevel="1" x14ac:dyDescent="0.3">
      <c r="C52" s="6" t="s">
        <v>103</v>
      </c>
    </row>
    <row r="53" spans="2:3" ht="15.75" outlineLevel="1" x14ac:dyDescent="0.3">
      <c r="C53" s="6" t="s">
        <v>104</v>
      </c>
    </row>
    <row r="54" spans="2:3" outlineLevel="1" x14ac:dyDescent="0.2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Executife Brief</vt:lpstr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Nata</dc:creator>
  <cp:lastModifiedBy>Felicia Nata</cp:lastModifiedBy>
  <dcterms:created xsi:type="dcterms:W3CDTF">2026-03-05T12:06:22Z</dcterms:created>
  <dcterms:modified xsi:type="dcterms:W3CDTF">2026-03-05T20:17:45Z</dcterms:modified>
</cp:coreProperties>
</file>