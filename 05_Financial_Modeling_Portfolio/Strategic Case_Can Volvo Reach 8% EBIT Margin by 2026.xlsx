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feli\Downloads\"/>
    </mc:Choice>
  </mc:AlternateContent>
  <xr:revisionPtr revIDLastSave="0" documentId="13_ncr:10000001_{2900EB1A-1C79-43F2-AAAF-D4C98C495256}" xr6:coauthVersionLast="47" xr6:coauthVersionMax="47" xr10:uidLastSave="{00000000-0000-0000-0000-000000000000}"/>
  <bookViews>
    <workbookView xWindow="-120" yWindow="-120" windowWidth="38640" windowHeight="21390" xr2:uid="{ABCB52C9-95BC-4BBB-88D3-5F292A340132}"/>
  </bookViews>
  <sheets>
    <sheet name="Cover" sheetId="9" r:id="rId1"/>
    <sheet name="Dashboard" sheetId="8" r:id="rId2"/>
    <sheet name="Model" sheetId="10" r:id="rId3"/>
    <sheet name="Financial Data" sheetId="1" r:id="rId4"/>
    <sheet name="Model Query" sheetId="6" r:id="rId5"/>
  </sheets>
  <definedNames>
    <definedName name="_xlchart.v1.0" hidden="1">Model!$B$100:$B$103</definedName>
    <definedName name="_xlchart.v1.1" hidden="1">Model!$K$100:$K$103</definedName>
    <definedName name="ExternalData_1" localSheetId="4" hidden="1">'Model Query'!$B$928:$I$1627</definedName>
    <definedName name="ExternalData_2" localSheetId="4" hidden="1">'Model Query'!$B$224:$M$923</definedName>
    <definedName name="ExternalData_3" localSheetId="4" hidden="1">'Model Query'!$B$179:$D$219</definedName>
    <definedName name="ExternalData_4" localSheetId="4" hidden="1">'Model Query'!$B$90:$D$174</definedName>
    <definedName name="ExternalData_5" localSheetId="4" hidden="1">'Model Query'!$B$5:$E$85</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9" l="1"/>
  <c r="M28" i="8"/>
  <c r="N28" i="8"/>
  <c r="O28" i="8"/>
  <c r="P28" i="8"/>
  <c r="L28" i="8"/>
  <c r="K30" i="8"/>
  <c r="K31" i="8"/>
  <c r="K32" i="8"/>
  <c r="K33" i="8"/>
  <c r="K29" i="8"/>
  <c r="L30" i="8"/>
  <c r="M30" i="8"/>
  <c r="N30" i="8"/>
  <c r="O30" i="8"/>
  <c r="P30" i="8"/>
  <c r="L31" i="8"/>
  <c r="M31" i="8"/>
  <c r="N31" i="8"/>
  <c r="O31" i="8"/>
  <c r="P31" i="8"/>
  <c r="L32" i="8"/>
  <c r="M32" i="8"/>
  <c r="N32" i="8"/>
  <c r="O32" i="8"/>
  <c r="P32" i="8"/>
  <c r="L33" i="8"/>
  <c r="M33" i="8"/>
  <c r="N33" i="8"/>
  <c r="O33" i="8"/>
  <c r="P33" i="8"/>
  <c r="M29" i="8"/>
  <c r="N29" i="8"/>
  <c r="O29" i="8"/>
  <c r="P29" i="8"/>
  <c r="L29" i="8"/>
  <c r="H120" i="1"/>
  <c r="G120" i="1"/>
  <c r="H119" i="1"/>
  <c r="G119" i="1"/>
  <c r="H118" i="1"/>
  <c r="G118" i="1"/>
  <c r="H117" i="1"/>
  <c r="G117" i="1"/>
  <c r="H115" i="1"/>
  <c r="G115" i="1"/>
  <c r="H114" i="1"/>
  <c r="G114" i="1"/>
  <c r="H113" i="1"/>
  <c r="G113" i="1"/>
  <c r="H112" i="1"/>
  <c r="G112" i="1"/>
  <c r="H111" i="1"/>
  <c r="G111" i="1"/>
  <c r="H108" i="1"/>
  <c r="G108" i="1"/>
  <c r="H107" i="1"/>
  <c r="G107" i="1"/>
  <c r="H106" i="1"/>
  <c r="G106" i="1"/>
  <c r="H105" i="1"/>
  <c r="G105" i="1"/>
  <c r="H104" i="1"/>
  <c r="G104" i="1"/>
  <c r="H103" i="1"/>
  <c r="G103" i="1"/>
  <c r="H100" i="1"/>
  <c r="G100" i="1"/>
  <c r="H99" i="1"/>
  <c r="G99" i="1"/>
  <c r="H98" i="1"/>
  <c r="G98" i="1"/>
  <c r="H97" i="1"/>
  <c r="G97" i="1"/>
  <c r="H96" i="1"/>
  <c r="G96" i="1"/>
  <c r="H95" i="1"/>
  <c r="G95" i="1"/>
  <c r="H94" i="1"/>
  <c r="G94" i="1"/>
  <c r="H92" i="1"/>
  <c r="G92" i="1"/>
  <c r="H91" i="1"/>
  <c r="G91" i="1"/>
  <c r="H90" i="1"/>
  <c r="G90" i="1"/>
  <c r="H89" i="1"/>
  <c r="G89" i="1"/>
  <c r="H88" i="1"/>
  <c r="G88" i="1"/>
  <c r="H87" i="1"/>
  <c r="G87" i="1"/>
  <c r="H86" i="1"/>
  <c r="G86" i="1"/>
  <c r="H85" i="1"/>
  <c r="G85" i="1"/>
  <c r="H84" i="1"/>
  <c r="G84" i="1"/>
  <c r="H76" i="1"/>
  <c r="G76" i="1"/>
  <c r="H74" i="1"/>
  <c r="G74" i="1"/>
  <c r="H73" i="1"/>
  <c r="G73" i="1"/>
  <c r="H72" i="1"/>
  <c r="G72" i="1"/>
  <c r="H71" i="1"/>
  <c r="G71" i="1"/>
  <c r="H70" i="1"/>
  <c r="G70" i="1"/>
  <c r="H67" i="1"/>
  <c r="G67" i="1"/>
  <c r="H66" i="1"/>
  <c r="G66" i="1"/>
  <c r="H63" i="1"/>
  <c r="G63" i="1"/>
  <c r="H62" i="1"/>
  <c r="G62" i="1"/>
  <c r="H61" i="1"/>
  <c r="G61" i="1"/>
  <c r="H57" i="1"/>
  <c r="G57" i="1"/>
  <c r="H56" i="1"/>
  <c r="G56" i="1"/>
  <c r="H55" i="1"/>
  <c r="G55" i="1"/>
  <c r="H50" i="1"/>
  <c r="G50" i="1"/>
  <c r="H48" i="1"/>
  <c r="G48" i="1"/>
  <c r="H47" i="1"/>
  <c r="G47" i="1"/>
  <c r="H46" i="1"/>
  <c r="G46" i="1"/>
  <c r="H45" i="1"/>
  <c r="G45" i="1"/>
  <c r="H44" i="1"/>
  <c r="G44" i="1"/>
  <c r="H41" i="1"/>
  <c r="G41" i="1"/>
  <c r="H40" i="1"/>
  <c r="G40" i="1"/>
  <c r="H39" i="1"/>
  <c r="G39" i="1"/>
  <c r="H38" i="1"/>
  <c r="G38" i="1"/>
  <c r="H37" i="1"/>
  <c r="G37" i="1"/>
  <c r="H27" i="1"/>
  <c r="G27" i="1"/>
  <c r="H26" i="1"/>
  <c r="G26" i="1"/>
  <c r="H24" i="1"/>
  <c r="G24" i="1"/>
  <c r="H23" i="1"/>
  <c r="G23" i="1"/>
  <c r="H21" i="1"/>
  <c r="G21" i="1"/>
  <c r="H20" i="1"/>
  <c r="G20" i="1"/>
  <c r="H19" i="1"/>
  <c r="G19" i="1"/>
  <c r="H18" i="1"/>
  <c r="G18" i="1"/>
  <c r="H16" i="1"/>
  <c r="G16" i="1"/>
  <c r="H15" i="1"/>
  <c r="G15" i="1"/>
  <c r="H14" i="1"/>
  <c r="G14" i="1"/>
  <c r="H13" i="1"/>
  <c r="G13" i="1"/>
  <c r="H12" i="1"/>
  <c r="G12" i="1"/>
  <c r="H11" i="1"/>
  <c r="G11" i="1"/>
  <c r="H9" i="1"/>
  <c r="G9" i="1"/>
  <c r="H8" i="1"/>
  <c r="G8" i="1"/>
  <c r="H7" i="1"/>
  <c r="G7" i="1"/>
  <c r="G114" i="10"/>
  <c r="B110" i="10" a="1"/>
  <c r="B110" i="10" s="1"/>
  <c r="J103" i="10"/>
  <c r="I103" i="10"/>
  <c r="H103" i="10"/>
  <c r="G103" i="10"/>
  <c r="F103" i="10"/>
  <c r="J101" i="10"/>
  <c r="I101" i="10"/>
  <c r="H101" i="10"/>
  <c r="G101" i="10"/>
  <c r="G102" i="10" s="1"/>
  <c r="F101" i="10"/>
  <c r="F102" i="10" s="1"/>
  <c r="J100" i="10"/>
  <c r="I100" i="10"/>
  <c r="H100" i="10"/>
  <c r="G100" i="10"/>
  <c r="F100" i="10"/>
  <c r="F93" i="10"/>
  <c r="F92" i="10"/>
  <c r="F91" i="10"/>
  <c r="F90" i="10"/>
  <c r="J72" i="10"/>
  <c r="I72" i="10"/>
  <c r="H72" i="10"/>
  <c r="J61" i="10"/>
  <c r="I61" i="10"/>
  <c r="H61" i="10"/>
  <c r="G61" i="10"/>
  <c r="F61" i="10"/>
  <c r="J54" i="10"/>
  <c r="I54" i="10"/>
  <c r="H54" i="10"/>
  <c r="G54" i="10"/>
  <c r="F54" i="10"/>
  <c r="J42" i="10"/>
  <c r="I42" i="10"/>
  <c r="H42" i="10"/>
  <c r="G42" i="10"/>
  <c r="F42" i="10"/>
  <c r="F99" i="10" s="1"/>
  <c r="F104" i="10" s="1"/>
  <c r="J41" i="10"/>
  <c r="H29" i="8" s="1"/>
  <c r="I41" i="10"/>
  <c r="H41" i="10"/>
  <c r="G41" i="10"/>
  <c r="J40" i="10"/>
  <c r="I40" i="10"/>
  <c r="H40" i="10"/>
  <c r="G40" i="10"/>
  <c r="F40" i="10"/>
  <c r="J28" i="10"/>
  <c r="I28" i="10"/>
  <c r="H28" i="10"/>
  <c r="G28" i="10"/>
  <c r="F28" i="10"/>
  <c r="J27" i="10"/>
  <c r="I27" i="10"/>
  <c r="H27" i="10"/>
  <c r="G27" i="10"/>
  <c r="F27" i="10"/>
  <c r="J14" i="10"/>
  <c r="I14" i="10"/>
  <c r="H14" i="10"/>
  <c r="G14" i="10"/>
  <c r="J13" i="10"/>
  <c r="I13" i="10"/>
  <c r="H13" i="10"/>
  <c r="G13" i="10"/>
  <c r="F13" i="10"/>
  <c r="J12" i="10"/>
  <c r="I12" i="10"/>
  <c r="H12" i="10"/>
  <c r="G12" i="10"/>
  <c r="F12" i="10"/>
  <c r="J11" i="10"/>
  <c r="I11" i="10"/>
  <c r="H11" i="10"/>
  <c r="G11" i="10"/>
  <c r="F11" i="10"/>
  <c r="G11" i="8"/>
  <c r="M8" i="8"/>
  <c r="G8" i="8"/>
  <c r="B8" i="8"/>
  <c r="J102" i="10" l="1"/>
  <c r="I102" i="10"/>
  <c r="H102" i="10"/>
  <c r="J99" i="10"/>
  <c r="J43" i="10"/>
  <c r="I99" i="10"/>
  <c r="I104" i="10" s="1"/>
  <c r="I43" i="10"/>
  <c r="H43" i="10"/>
  <c r="H99" i="10"/>
  <c r="H104" i="10" s="1"/>
  <c r="G99" i="10"/>
  <c r="G104" i="10" s="1"/>
  <c r="G43" i="10"/>
  <c r="J104" i="10" l="1"/>
  <c r="C113" i="10"/>
  <c r="K99" i="10"/>
  <c r="H31" i="8"/>
  <c r="B11" i="8"/>
  <c r="C116" i="10"/>
  <c r="C117" i="10"/>
  <c r="C115" i="10"/>
  <c r="K100" i="10" l="1"/>
  <c r="K102" i="10"/>
  <c r="K101" i="10"/>
  <c r="C118" i="10"/>
  <c r="C119" i="10" s="1"/>
  <c r="F114" i="10" s="1"/>
  <c r="K103" i="10" l="1"/>
  <c r="K104"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A2DC8A-A194-41AA-902F-8B1705234A56}" keepAlive="1" name="Query - Balance Sheet" description="Connection to the 'Balance Sheet' query in the workbook." type="5" refreshedVersion="8" background="1" saveData="1">
    <dbPr connection="Provider=Microsoft.Mashup.OleDb.1;Data Source=$Workbook$;Location=&quot;Balance Sheet&quot;;Extended Properties=&quot;&quot;" command="SELECT * FROM [Balance Sheet]"/>
  </connection>
  <connection id="2" xr16:uid="{D0C8D863-294A-444B-A72E-7B627E21B7A6}" keepAlive="1" name="Query - Cash Flow" description="Connection to the 'Cash Flow' query in the workbook." type="5" refreshedVersion="8" background="1" saveData="1">
    <dbPr connection="Provider=Microsoft.Mashup.OleDb.1;Data Source=$Workbook$;Location=&quot;Cash Flow&quot;;Extended Properties=&quot;&quot;" command="SELECT * FROM [Cash Flow]"/>
  </connection>
  <connection id="3" xr16:uid="{295E9009-9CC8-4319-9701-A63689E0D45F}" keepAlive="1" name="Query - Income Statement" description="Connection to the 'Income Statement' query in the workbook." type="5" refreshedVersion="8" background="1" saveData="1">
    <dbPr connection="Provider=Microsoft.Mashup.OleDb.1;Data Source=$Workbook$;Location=&quot;Income Statement&quot;;Extended Properties=&quot;&quot;" command="SELECT * FROM [Income Statement]"/>
  </connection>
  <connection id="4" xr16:uid="{12E94908-CF28-4349-BB74-59339D8A8567}"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5" xr16:uid="{EA59EBEF-7B84-4B7D-A816-500C4AA8DBCD}" keepAlive="1" name="Query - Transform Data" description="Connection to the 'Transform Data' query in the workbook." type="5" refreshedVersion="8" background="1" saveData="1">
    <dbPr connection="Provider=Microsoft.Mashup.OleDb.1;Data Source=$Workbook$;Location=&quot;Transform Data&quot;;Extended Properties=&quot;&quot;" command="SELECT * FROM [Transfor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<sst xmlns="http://schemas.openxmlformats.org/spreadsheetml/2006/main" count="11691" uniqueCount="2642">
  <si>
    <t>id</t>
  </si>
  <si>
    <t>concept</t>
  </si>
  <si>
    <t>decimals</t>
  </si>
  <si>
    <t>entity</t>
  </si>
  <si>
    <t>period</t>
  </si>
  <si>
    <t>unit</t>
  </si>
  <si>
    <t>ifrs-full_ComponentsOfEquityAxis</t>
  </si>
  <si>
    <t>value</t>
  </si>
  <si>
    <t>f1__s1__3__10</t>
  </si>
  <si>
    <t>ifrs-full:AdministrativeExpense</t>
  </si>
  <si>
    <t>scheme:5299000EAMGGBEYP7J33</t>
  </si>
  <si>
    <t>2025-01-01T00:00:00/2026-01-01T00:00:00</t>
  </si>
  <si>
    <t>iso4217:SEK</t>
  </si>
  <si>
    <t/>
  </si>
  <si>
    <t>10476000000.0</t>
  </si>
  <si>
    <t>f1__s1__3__11</t>
  </si>
  <si>
    <t>ifrs-full:OtherOperatingIncomeExpense</t>
  </si>
  <si>
    <t>-816000000.0</t>
  </si>
  <si>
    <t>f1__s1__3__12</t>
  </si>
  <si>
    <t>ifrs-full:ShareOfProfitLossOfAssociatesAndJointVenturesAccountedForUsingEquityMethod</t>
  </si>
  <si>
    <t>654000000.0</t>
  </si>
  <si>
    <t>f1__s1__3__13</t>
  </si>
  <si>
    <t>ifrs-full:ProfitLossFromOperatingActivities</t>
  </si>
  <si>
    <t>303000000.0</t>
  </si>
  <si>
    <t>f1__s1__3__14</t>
  </si>
  <si>
    <t>ifrs-full:RevenueFromInterest</t>
  </si>
  <si>
    <t>1929000000.0</t>
  </si>
  <si>
    <t>f1__s1__3__15</t>
  </si>
  <si>
    <t>ifrs-full:InterestExpense</t>
  </si>
  <si>
    <t>1251000000.0</t>
  </si>
  <si>
    <t>f1__s1__3__16</t>
  </si>
  <si>
    <t>ifrs-full:OtherFinanceIncomeCost</t>
  </si>
  <si>
    <t>-1647000000.0</t>
  </si>
  <si>
    <t>f1__s1__3__17</t>
  </si>
  <si>
    <t>ifrs-full:ProfitLossBeforeTax</t>
  </si>
  <si>
    <t>-666000000.0</t>
  </si>
  <si>
    <t>f1__s1__3__18</t>
  </si>
  <si>
    <t>ifrs-full:IncomeTaxExpenseContinuingOperations</t>
  </si>
  <si>
    <t>2302000000.0</t>
  </si>
  <si>
    <t>f1__s1__3__19</t>
  </si>
  <si>
    <t>ifrs-full:ProfitLoss</t>
  </si>
  <si>
    <t>-2968000000.0</t>
  </si>
  <si>
    <t>f1__s1__3__20</t>
  </si>
  <si>
    <t>ifrs-full:ProfitLossAttributableToOwnersOfParent</t>
  </si>
  <si>
    <t>174000000.0</t>
  </si>
  <si>
    <t>f1__s1__3__21</t>
  </si>
  <si>
    <t>ifrs-full:ProfitLossAttributableToNoncontrollingInterests</t>
  </si>
  <si>
    <t>-3142000000.0</t>
  </si>
  <si>
    <t>f1__s1__3__22</t>
  </si>
  <si>
    <t>f1__s1__3__23</t>
  </si>
  <si>
    <t>ifrs-full:BasicEarningsLossPerShare</t>
  </si>
  <si>
    <t>iso4217:SEK/xbrli:shares</t>
  </si>
  <si>
    <t>0.06</t>
  </si>
  <si>
    <t>f1__s1__3__24</t>
  </si>
  <si>
    <t>ifrs-full:DilutedEarningsLossPerShare</t>
  </si>
  <si>
    <t>f1__s1__3__5</t>
  </si>
  <si>
    <t>ifrs-full:Revenue</t>
  </si>
  <si>
    <t>357263000000.0</t>
  </si>
  <si>
    <t>f1__s1__3__6</t>
  </si>
  <si>
    <t>ifrs-full:CostOfSales</t>
  </si>
  <si>
    <t>297042000000.0</t>
  </si>
  <si>
    <t>f1__s1__3__7</t>
  </si>
  <si>
    <t>ifrs-full:GrossProfit</t>
  </si>
  <si>
    <t>60221000000.0</t>
  </si>
  <si>
    <t>f1__s1__3__8</t>
  </si>
  <si>
    <t>ifrs-full:ResearchAndDevelopmentExpense</t>
  </si>
  <si>
    <t>26067000000.0</t>
  </si>
  <si>
    <t>f1__s1__3__9</t>
  </si>
  <si>
    <t>ifrs-full:SellingExpense</t>
  </si>
  <si>
    <t>23213000000.0</t>
  </si>
  <si>
    <t>f1__s1__4__10</t>
  </si>
  <si>
    <t>2024-01-01T00:00:00/2025-01-01T00:00:00</t>
  </si>
  <si>
    <t>12038000000.0</t>
  </si>
  <si>
    <t>f1__s1__4__11</t>
  </si>
  <si>
    <t>2057000000.0</t>
  </si>
  <si>
    <t>f1__s1__4__12</t>
  </si>
  <si>
    <t>-4722000000.0</t>
  </si>
  <si>
    <t>f1__s1__4__13</t>
  </si>
  <si>
    <t>22318000000.0</t>
  </si>
  <si>
    <t>f1__s1__4__14</t>
  </si>
  <si>
    <t>2190000000.0</t>
  </si>
  <si>
    <t>f1__s1__4__15</t>
  </si>
  <si>
    <t>1164000000.0</t>
  </si>
  <si>
    <t>f1__s1__4__16</t>
  </si>
  <si>
    <t>-625000000.0</t>
  </si>
  <si>
    <t>f1__s1__4__17</t>
  </si>
  <si>
    <t>22719000000.0</t>
  </si>
  <si>
    <t>f1__s1__4__18</t>
  </si>
  <si>
    <t>6785000000.0</t>
  </si>
  <si>
    <t>f1__s1__4__19</t>
  </si>
  <si>
    <t>15934000000.0</t>
  </si>
  <si>
    <t>f1__s1__4__20</t>
  </si>
  <si>
    <t>15401000000.0</t>
  </si>
  <si>
    <t>f1__s1__4__21</t>
  </si>
  <si>
    <t>533000000.0</t>
  </si>
  <si>
    <t>f1__s1__4__22</t>
  </si>
  <si>
    <t>f1__s1__4__23</t>
  </si>
  <si>
    <t>5.17</t>
  </si>
  <si>
    <t>f1__s1__4__24</t>
  </si>
  <si>
    <t>f1__s1__4__5</t>
  </si>
  <si>
    <t>400234000000.0</t>
  </si>
  <si>
    <t>f1__s1__4__6</t>
  </si>
  <si>
    <t>320821000000.0</t>
  </si>
  <si>
    <t>f1__s1__4__7</t>
  </si>
  <si>
    <t>79413000000.0</t>
  </si>
  <si>
    <t>f1__s1__4__8</t>
  </si>
  <si>
    <t>16983000000.0</t>
  </si>
  <si>
    <t>f1__s1__4__9</t>
  </si>
  <si>
    <t>25409000000.0</t>
  </si>
  <si>
    <t>f1__s2__3__10</t>
  </si>
  <si>
    <t>ifrs-full:GainsLossesOnCashFlowHedgesBeforeTax</t>
  </si>
  <si>
    <t>8591000000.0</t>
  </si>
  <si>
    <t>f1__s2__3__11</t>
  </si>
  <si>
    <t>ifrs-full:IncomeTaxRelatingToComponentsOfOtherComprehensiveIncomeThatWillBeReclassifiedToProfitOrLoss</t>
  </si>
  <si>
    <t>1924000000.0</t>
  </si>
  <si>
    <t>f1__s2__3__12</t>
  </si>
  <si>
    <t>ifrs-full:OtherComprehensiveIncome</t>
  </si>
  <si>
    <t>4677000000.0</t>
  </si>
  <si>
    <t>f1__s2__3__13</t>
  </si>
  <si>
    <t>ifrs-full:ComprehensiveIncome</t>
  </si>
  <si>
    <t>1709000000.0</t>
  </si>
  <si>
    <t>f1__s2__3__14</t>
  </si>
  <si>
    <t>ifrs-full:ComprehensiveIncomeAttributableToOwnersOfParent</t>
  </si>
  <si>
    <t>5397000000.0</t>
  </si>
  <si>
    <t>f1__s2__3__15</t>
  </si>
  <si>
    <t>ifrs-full:ComprehensiveIncomeAttributableToNoncontrollingInterests</t>
  </si>
  <si>
    <t>-3688000000.0</t>
  </si>
  <si>
    <t>f1__s2__3__16</t>
  </si>
  <si>
    <t>f1__s2__3__5</t>
  </si>
  <si>
    <t>f1__s2__3__6</t>
  </si>
  <si>
    <t>ifrs-full:OtherComprehensiveIncomeBeforeTaxGainsLossesOnRemeasurementsOfDefinedBenefitPlans</t>
  </si>
  <si>
    <t>2403000000.0</t>
  </si>
  <si>
    <t>f1__s2__3__7</t>
  </si>
  <si>
    <t>ifrs-full:IncomeTaxRelatingToComponentsOfOtherComprehensiveIncomeThatWillNotBeReclassifiedToProfitOrLoss</t>
  </si>
  <si>
    <t>496000000.0</t>
  </si>
  <si>
    <t>f1__s2__3__8</t>
  </si>
  <si>
    <t>ifrs-full:OtherComprehensiveIncomeBeforeTaxExchangeDifferencesOnTranslation</t>
  </si>
  <si>
    <t>-4646000000.0</t>
  </si>
  <si>
    <t>f1__s2__3__9</t>
  </si>
  <si>
    <t>ifrs-full:OtherComprehensiveIncomeBeforeTaxHedgesOfNetInvestmentsInForeignOperations</t>
  </si>
  <si>
    <t>749000000.0</t>
  </si>
  <si>
    <t>f1__s2__4__10</t>
  </si>
  <si>
    <t>-5383000000.0</t>
  </si>
  <si>
    <t>f1__s2__4__11</t>
  </si>
  <si>
    <t>-1174000000.0</t>
  </si>
  <si>
    <t>f1__s2__4__12</t>
  </si>
  <si>
    <t>-3817000000.0</t>
  </si>
  <si>
    <t>f1__s2__4__13</t>
  </si>
  <si>
    <t>12117000000.0</t>
  </si>
  <si>
    <t>f1__s2__4__14</t>
  </si>
  <si>
    <t>11285000000.0</t>
  </si>
  <si>
    <t>f1__s2__4__15</t>
  </si>
  <si>
    <t>832000000.0</t>
  </si>
  <si>
    <t>f1__s2__4__16</t>
  </si>
  <si>
    <t>f1__s2__4__5</t>
  </si>
  <si>
    <t>f1__s2__4__6</t>
  </si>
  <si>
    <t>-312000000.0</t>
  </si>
  <si>
    <t>f1__s2__4__7</t>
  </si>
  <si>
    <t>-55000000.0</t>
  </si>
  <si>
    <t>f1__s2__4__8</t>
  </si>
  <si>
    <t>965000000.0</t>
  </si>
  <si>
    <t>f1__s2__4__9</t>
  </si>
  <si>
    <t>-316000000.0</t>
  </si>
  <si>
    <t>f1__s3__3__10</t>
  </si>
  <si>
    <t>ifrs-full:OtherNoncurrentReceivables</t>
  </si>
  <si>
    <t>2026-01-01T00:00:00</t>
  </si>
  <si>
    <t>1235000000.0</t>
  </si>
  <si>
    <t>f1__s3__3__11</t>
  </si>
  <si>
    <t>ifrs-full:NoncurrentDerivativeFinancialAssets</t>
  </si>
  <si>
    <t>1743000000.0</t>
  </si>
  <si>
    <t>f1__s3__3__12</t>
  </si>
  <si>
    <t>ifrs-full:OtherNoncurrentAssets</t>
  </si>
  <si>
    <t>4217000000.0</t>
  </si>
  <si>
    <t>f1__s3__3__13</t>
  </si>
  <si>
    <t>ifrs-full:NoncurrentAssets</t>
  </si>
  <si>
    <t>215371000000.0</t>
  </si>
  <si>
    <t>f1__s3__3__16</t>
  </si>
  <si>
    <t>ifrs-full:Inventories</t>
  </si>
  <si>
    <t>59024000000.0</t>
  </si>
  <si>
    <t>f1__s3__3__17</t>
  </si>
  <si>
    <t>ifrs-full:CurrentTradeReceivables</t>
  </si>
  <si>
    <t>21241000000.0</t>
  </si>
  <si>
    <t>f1__s3__3__18</t>
  </si>
  <si>
    <t>ifrs-full:CurrentTaxAssetsCurrent</t>
  </si>
  <si>
    <t>1284000000.0</t>
  </si>
  <si>
    <t>f1__s3__3__19</t>
  </si>
  <si>
    <t>ifrs-full:CurrentDerivativeFinancialAssets</t>
  </si>
  <si>
    <t>4923000000.0</t>
  </si>
  <si>
    <t>f1__s3__3__20</t>
  </si>
  <si>
    <t>ifrs-full:OtherCurrentAssets</t>
  </si>
  <si>
    <t>13764000000.0</t>
  </si>
  <si>
    <t>f1__s3__3__21</t>
  </si>
  <si>
    <t>ifrs-full:ShorttermDepositsNotClassifiedAsCashEquivalents</t>
  </si>
  <si>
    <t>1000000.0</t>
  </si>
  <si>
    <t>f1__s3__3__22</t>
  </si>
  <si>
    <t>ifrs-full:CashAndCashEquivalents</t>
  </si>
  <si>
    <t>57564000000.0</t>
  </si>
  <si>
    <t>f1__s3__3__23</t>
  </si>
  <si>
    <t>ifrs-full:CurrentAssets</t>
  </si>
  <si>
    <t>157801000000.0</t>
  </si>
  <si>
    <t>f1__s3__3__26</t>
  </si>
  <si>
    <t>ifrs-full:Assets</t>
  </si>
  <si>
    <t>373172000000.0</t>
  </si>
  <si>
    <t>f1__s3__3__29</t>
  </si>
  <si>
    <t>ifrs-full:EquityAttributableToOwnersOfParent</t>
  </si>
  <si>
    <t>147079000000.0</t>
  </si>
  <si>
    <t>f1__s3__3__30</t>
  </si>
  <si>
    <t>ifrs-full:NoncontrollingInterests</t>
  </si>
  <si>
    <t>1299000000.0</t>
  </si>
  <si>
    <t>f1__s3__3__31</t>
  </si>
  <si>
    <t>ifrs-full:Equity</t>
  </si>
  <si>
    <t>148378000000.0</t>
  </si>
  <si>
    <t>f1__s3__3__34</t>
  </si>
  <si>
    <t>ifrs-full:NoncurrentProvisionsForEmployeeBenefits</t>
  </si>
  <si>
    <t>5853000000.0</t>
  </si>
  <si>
    <t>f1__s3__3__35</t>
  </si>
  <si>
    <t>ifrs-full:DeferredTaxLiabilities</t>
  </si>
  <si>
    <t>9864000000.0</t>
  </si>
  <si>
    <t>f1__s3__3__36</t>
  </si>
  <si>
    <t>ifrs-full:LongtermMiscellaneousOtherProvisions</t>
  </si>
  <si>
    <t>8528000000.0</t>
  </si>
  <si>
    <t>f1__s3__3__37</t>
  </si>
  <si>
    <t>ifrs-full:NoncurrentPortionOfNoncurrentLoansReceived</t>
  </si>
  <si>
    <t>6723000000.0</t>
  </si>
  <si>
    <t>f1__s3__3__38</t>
  </si>
  <si>
    <t>ifrs-full:NoncurrentPortionOfNoncurrentBondsIssued</t>
  </si>
  <si>
    <t>21645000000.0</t>
  </si>
  <si>
    <t>f1__s3__3__39</t>
  </si>
  <si>
    <t>ifrs-full:NoncurrentContractLiabilities</t>
  </si>
  <si>
    <t>8605000000.0</t>
  </si>
  <si>
    <t>f1__s3__3__40</t>
  </si>
  <si>
    <t>VOL:OtherNonCurrentLiabilitiesInterestBearing</t>
  </si>
  <si>
    <t>5355000000.0</t>
  </si>
  <si>
    <t>f1__s3__3__41</t>
  </si>
  <si>
    <t>ifrs-full:NoncurrentDerivativeFinancialLiabilities</t>
  </si>
  <si>
    <t>253000000.0</t>
  </si>
  <si>
    <t>f1__s3__3__42</t>
  </si>
  <si>
    <t>VOL:OtherNonCurrentLiabilitiesNonInterestBearing</t>
  </si>
  <si>
    <t>6714000000.0</t>
  </si>
  <si>
    <t>f1__s3__3__43</t>
  </si>
  <si>
    <t>ifrs-full:NoncurrentLiabilities</t>
  </si>
  <si>
    <t>73540000000.0</t>
  </si>
  <si>
    <t>f1__s3__3__46</t>
  </si>
  <si>
    <t>ifrs-full:CurrentProvisions</t>
  </si>
  <si>
    <t>8356000000.0</t>
  </si>
  <si>
    <t>f1__s3__3__47</t>
  </si>
  <si>
    <t>ifrs-full:CurrentLoansReceivedAndCurrentPortionOfNoncurrentLoansReceived</t>
  </si>
  <si>
    <t>922000000.0</t>
  </si>
  <si>
    <t>f1__s3__3__48</t>
  </si>
  <si>
    <t>ifrs-full:CurrentBondsIssuedAndCurrentPortionOfNoncurrentBondsIssued</t>
  </si>
  <si>
    <t>1500000000.0</t>
  </si>
  <si>
    <t>f1__s3__3__49</t>
  </si>
  <si>
    <t>ifrs-full:CurrentContractLiabilities</t>
  </si>
  <si>
    <t>31264000000.0</t>
  </si>
  <si>
    <t>f1__s3__3__5</t>
  </si>
  <si>
    <t>ifrs-full:IntangibleAssetsAndGoodwill</t>
  </si>
  <si>
    <t>82965000000.0</t>
  </si>
  <si>
    <t>f1__s3__3__50</t>
  </si>
  <si>
    <t>ifrs-full:TradeAndOtherCurrentPayablesToTradeSuppliers</t>
  </si>
  <si>
    <t>57768000000.0</t>
  </si>
  <si>
    <t>f1__s3__3__51</t>
  </si>
  <si>
    <t>ifrs-full:CurrentTaxLiabilitiesCurrent</t>
  </si>
  <si>
    <t>1322000000.0</t>
  </si>
  <si>
    <t>f1__s3__3__52</t>
  </si>
  <si>
    <t>VOL:OtherCurrentLiabilitiesInterestBearing</t>
  </si>
  <si>
    <t>1570000000.0</t>
  </si>
  <si>
    <t>f1__s3__3__53</t>
  </si>
  <si>
    <t>ifrs-full:CurrentDerivativeFinancialLiabilities</t>
  </si>
  <si>
    <t>485000000.0</t>
  </si>
  <si>
    <t>f1__s3__3__54</t>
  </si>
  <si>
    <t>VOL:OtherCurrentLiabilitiesNonInterestBearing</t>
  </si>
  <si>
    <t>48067000000.0</t>
  </si>
  <si>
    <t>f1__s3__3__55</t>
  </si>
  <si>
    <t>ifrs-full:CurrentLiabilities</t>
  </si>
  <si>
    <t>151254000000.0</t>
  </si>
  <si>
    <t>f1__s3__3__58</t>
  </si>
  <si>
    <t>ifrs-full:EquityAndLiabilities</t>
  </si>
  <si>
    <t>f1__s3__3__6</t>
  </si>
  <si>
    <t>ifrs-full:PropertyPlantAndEquipmentIncludingRightofuseAssets</t>
  </si>
  <si>
    <t>99391000000.0</t>
  </si>
  <si>
    <t>f1__s3__3__7</t>
  </si>
  <si>
    <t>ifrs-full:InvestmentAccountedForUsingEquityMethod</t>
  </si>
  <si>
    <t>7003000000.0</t>
  </si>
  <si>
    <t>f1__s3__3__8</t>
  </si>
  <si>
    <t>ifrs-full:OtherNoncurrentFinancialAssets</t>
  </si>
  <si>
    <t>10454000000.0</t>
  </si>
  <si>
    <t>f1__s3__3__9</t>
  </si>
  <si>
    <t>ifrs-full:DeferredTaxAssets</t>
  </si>
  <si>
    <t>8363000000.0</t>
  </si>
  <si>
    <t>f1__s3__4__10</t>
  </si>
  <si>
    <t>2025-01-01T00:00:00</t>
  </si>
  <si>
    <t>1440000000.0</t>
  </si>
  <si>
    <t>f1__s3__4__11</t>
  </si>
  <si>
    <t>283000000.0</t>
  </si>
  <si>
    <t>f1__s3__4__12</t>
  </si>
  <si>
    <t>2984000000.0</t>
  </si>
  <si>
    <t>f1__s3__4__13</t>
  </si>
  <si>
    <t>229623000000.0</t>
  </si>
  <si>
    <t>f1__s3__4__16</t>
  </si>
  <si>
    <t>62455000000.0</t>
  </si>
  <si>
    <t>f1__s3__4__17</t>
  </si>
  <si>
    <t>22780000000.0</t>
  </si>
  <si>
    <t>f1__s3__4__18</t>
  </si>
  <si>
    <t>1854000000.0</t>
  </si>
  <si>
    <t>f1__s3__4__19</t>
  </si>
  <si>
    <t>f1__s3__4__20</t>
  </si>
  <si>
    <t>14665000000.0</t>
  </si>
  <si>
    <t>f1__s3__4__21</t>
  </si>
  <si>
    <t>0.0</t>
  </si>
  <si>
    <t>f1__s3__4__22</t>
  </si>
  <si>
    <t>56373000000.0</t>
  </si>
  <si>
    <t>f1__s3__4__23</t>
  </si>
  <si>
    <t>158612000000.0</t>
  </si>
  <si>
    <t>f1__s3__4__26</t>
  </si>
  <si>
    <t>388235000000.0</t>
  </si>
  <si>
    <t>f1__s3__4__29</t>
  </si>
  <si>
    <t>137461000000.0</t>
  </si>
  <si>
    <t>f1__s3__4__30</t>
  </si>
  <si>
    <t>4738000000.0</t>
  </si>
  <si>
    <t>f1__s3__4__31</t>
  </si>
  <si>
    <t>142199000000.0</t>
  </si>
  <si>
    <t>f1__s3__4__34</t>
  </si>
  <si>
    <t>8111000000.0</t>
  </si>
  <si>
    <t>f1__s3__4__35</t>
  </si>
  <si>
    <t>11080000000.0</t>
  </si>
  <si>
    <t>f1__s3__4__36</t>
  </si>
  <si>
    <t>9501000000.0</t>
  </si>
  <si>
    <t>f1__s3__4__37</t>
  </si>
  <si>
    <t>3885000000.0</t>
  </si>
  <si>
    <t>f1__s3__4__38</t>
  </si>
  <si>
    <t>18826000000.0</t>
  </si>
  <si>
    <t>f1__s3__4__39</t>
  </si>
  <si>
    <t>10755000000.0</t>
  </si>
  <si>
    <t>f1__s3__4__40</t>
  </si>
  <si>
    <t>7745000000.0</t>
  </si>
  <si>
    <t>f1__s3__4__41</t>
  </si>
  <si>
    <t>1252000000.0</t>
  </si>
  <si>
    <t>f1__s3__4__42</t>
  </si>
  <si>
    <t>5298000000.0</t>
  </si>
  <si>
    <t>f1__s3__4__43</t>
  </si>
  <si>
    <t>76453000000.0</t>
  </si>
  <si>
    <t>f1__s3__4__46</t>
  </si>
  <si>
    <t>11379000000.0</t>
  </si>
  <si>
    <t>f1__s3__4__47</t>
  </si>
  <si>
    <t>1059000000.0</t>
  </si>
  <si>
    <t>f1__s3__4__48</t>
  </si>
  <si>
    <t>5723000000.0</t>
  </si>
  <si>
    <t>f1__s3__4__49</t>
  </si>
  <si>
    <t>34997000000.0</t>
  </si>
  <si>
    <t>f1__s3__4__5</t>
  </si>
  <si>
    <t>83781000000.0</t>
  </si>
  <si>
    <t>f1__s3__4__50</t>
  </si>
  <si>
    <t>56479000000.0</t>
  </si>
  <si>
    <t>f1__s3__4__51</t>
  </si>
  <si>
    <t>1246000000.0</t>
  </si>
  <si>
    <t>f1__s3__4__52</t>
  </si>
  <si>
    <t>2490000000.0</t>
  </si>
  <si>
    <t>f1__s3__4__53</t>
  </si>
  <si>
    <t>2890000000.0</t>
  </si>
  <si>
    <t>f1__s3__4__54</t>
  </si>
  <si>
    <t>53320000000.0</t>
  </si>
  <si>
    <t>f1__s3__4__55</t>
  </si>
  <si>
    <t>169583000000.0</t>
  </si>
  <si>
    <t>f1__s3__4__58</t>
  </si>
  <si>
    <t>f1__s3__4__6</t>
  </si>
  <si>
    <t>107124000000.0</t>
  </si>
  <si>
    <t>f1__s3__4__7</t>
  </si>
  <si>
    <t>8998000000.0</t>
  </si>
  <si>
    <t>f1__s3__4__8</t>
  </si>
  <si>
    <t>12753000000.0</t>
  </si>
  <si>
    <t>f1__s3__4__9</t>
  </si>
  <si>
    <t>12260000000.0</t>
  </si>
  <si>
    <t>f1__s4__10__10</t>
  </si>
  <si>
    <t>ifrs-full:NoncontrollingInterestsMember</t>
  </si>
  <si>
    <t>f1__s4__10__11</t>
  </si>
  <si>
    <t>ifrs-full:IncomeTaxRelatingToComponentsOfOtherComprehensiveIncome</t>
  </si>
  <si>
    <t>f1__s4__10__12</t>
  </si>
  <si>
    <t>299000000.0</t>
  </si>
  <si>
    <t>f1__s4__10__13</t>
  </si>
  <si>
    <t>f1__s4__10__14</t>
  </si>
  <si>
    <t>VOL:IncreaseDecreaseThroughOtherContributionsByOwnersNonControllingInterests</t>
  </si>
  <si>
    <t>3000000.0</t>
  </si>
  <si>
    <t>f1__s4__10__15</t>
  </si>
  <si>
    <t>ifrs-full:IncreaseDecreaseThroughAcquisitionOfSubsidiary</t>
  </si>
  <si>
    <t>-211000000.0</t>
  </si>
  <si>
    <t>f1__s4__10__16</t>
  </si>
  <si>
    <t>ifrs-full:DividendsPaid</t>
  </si>
  <si>
    <t>f1__s4__10__17</t>
  </si>
  <si>
    <t>VOL:BonusIssue</t>
  </si>
  <si>
    <t>f1__s4__10__18</t>
  </si>
  <si>
    <t>ifrs-full:PurchaseOfTreasuryShares</t>
  </si>
  <si>
    <t>f1__s4__10__19</t>
  </si>
  <si>
    <t>ifrs-full:SaleOrIssueOfTreasuryShares</t>
  </si>
  <si>
    <t>f1__s4__10__20</t>
  </si>
  <si>
    <t>ifrs-full:IncreaseDecreaseThroughSharebasedPaymentTransactions</t>
  </si>
  <si>
    <t>f1__s4__10__21</t>
  </si>
  <si>
    <t>ifrs-full:IncreaseDecreaseThroughTransactionsWithOwners</t>
  </si>
  <si>
    <t>-208000000.0</t>
  </si>
  <si>
    <t>f1__s4__10__22</t>
  </si>
  <si>
    <t>f1__s4__10__31</t>
  </si>
  <si>
    <t>f1__s4__10__32</t>
  </si>
  <si>
    <t>f1__s4__10__33</t>
  </si>
  <si>
    <t>f1__s4__10__34</t>
  </si>
  <si>
    <t>-546000000.0</t>
  </si>
  <si>
    <t>f1__s4__10__35</t>
  </si>
  <si>
    <t>f1__s4__10__36</t>
  </si>
  <si>
    <t>f1__s4__10__37</t>
  </si>
  <si>
    <t>f1__s4__10__38</t>
  </si>
  <si>
    <t>f1__s4__10__39</t>
  </si>
  <si>
    <t>f1__s4__10__40</t>
  </si>
  <si>
    <t>249000000.0</t>
  </si>
  <si>
    <t>f1__s4__10__41</t>
  </si>
  <si>
    <t>VOL:IncreaseDecreaseThroughDivestmentsUnderCommonControl</t>
  </si>
  <si>
    <t>f1__s4__10__42</t>
  </si>
  <si>
    <t>f1__s4__10__43</t>
  </si>
  <si>
    <t>f1__s4__10__44</t>
  </si>
  <si>
    <t>f1__s4__10__45</t>
  </si>
  <si>
    <t>f1__s4__10__46</t>
  </si>
  <si>
    <t>f1__s4__10__47</t>
  </si>
  <si>
    <t>f1__s4__10__5</t>
  </si>
  <si>
    <t>2024-01-01T00:00:00</t>
  </si>
  <si>
    <t>4114000000.0</t>
  </si>
  <si>
    <t>f1__s4__10__6</t>
  </si>
  <si>
    <t>f1__s4__10__7</t>
  </si>
  <si>
    <t>f1__s4__10__8</t>
  </si>
  <si>
    <t>f1__s4__10__9</t>
  </si>
  <si>
    <t>f1__s4__11__10</t>
  </si>
  <si>
    <t>f1__s4__11__11</t>
  </si>
  <si>
    <t>-1229000000.0</t>
  </si>
  <si>
    <t>f1__s4__11__12</t>
  </si>
  <si>
    <t>f1__s4__11__13</t>
  </si>
  <si>
    <t>f1__s4__11__14</t>
  </si>
  <si>
    <t>f1__s4__11__15</t>
  </si>
  <si>
    <t>-210000000.0</t>
  </si>
  <si>
    <t>f1__s4__11__16</t>
  </si>
  <si>
    <t>90000000.0</t>
  </si>
  <si>
    <t>f1__s4__11__17</t>
  </si>
  <si>
    <t>f1__s4__11__18</t>
  </si>
  <si>
    <t>190000000.0</t>
  </si>
  <si>
    <t>f1__s4__11__19</t>
  </si>
  <si>
    <t>67000000.0</t>
  </si>
  <si>
    <t>f1__s4__11__20</t>
  </si>
  <si>
    <t>17000000.0</t>
  </si>
  <si>
    <t>f1__s4__11__21</t>
  </si>
  <si>
    <t>-403000000.0</t>
  </si>
  <si>
    <t>f1__s4__11__22</t>
  </si>
  <si>
    <t>f1__s4__11__31</t>
  </si>
  <si>
    <t>f1__s4__11__32</t>
  </si>
  <si>
    <t>f1__s4__11__33</t>
  </si>
  <si>
    <t>f1__s4__11__34</t>
  </si>
  <si>
    <t>f1__s4__11__35</t>
  </si>
  <si>
    <t>f1__s4__11__36</t>
  </si>
  <si>
    <t>f1__s4__11__37</t>
  </si>
  <si>
    <t>2420000000.0</t>
  </si>
  <si>
    <t>f1__s4__11__38</t>
  </si>
  <si>
    <t>f1__s4__11__39</t>
  </si>
  <si>
    <t>f1__s4__11__40</t>
  </si>
  <si>
    <t>-40000000.0</t>
  </si>
  <si>
    <t>f1__s4__11__41</t>
  </si>
  <si>
    <t>4656000000.0</t>
  </si>
  <si>
    <t>f1__s4__11__42</t>
  </si>
  <si>
    <t>-3000000.0</t>
  </si>
  <si>
    <t>f1__s4__11__43</t>
  </si>
  <si>
    <t>219000000.0</t>
  </si>
  <si>
    <t>f1__s4__11__44</t>
  </si>
  <si>
    <t>126000000.0</t>
  </si>
  <si>
    <t>f1__s4__11__45</t>
  </si>
  <si>
    <t>-56000000.0</t>
  </si>
  <si>
    <t>f1__s4__11__46</t>
  </si>
  <si>
    <t>4470000000.0</t>
  </si>
  <si>
    <t>f1__s4__11__47</t>
  </si>
  <si>
    <t>f1__s4__11__5</t>
  </si>
  <si>
    <t>130485000000.0</t>
  </si>
  <si>
    <t>f1__s4__11__6</t>
  </si>
  <si>
    <t>f1__s4__11__7</t>
  </si>
  <si>
    <t>f1__s4__11__8</t>
  </si>
  <si>
    <t>f1__s4__11__9</t>
  </si>
  <si>
    <t>f1__s4__3__10</t>
  </si>
  <si>
    <t>ifrs-full:IssuedCapitalMember</t>
  </si>
  <si>
    <t>f1__s4__3__11</t>
  </si>
  <si>
    <t>f1__s4__3__12</t>
  </si>
  <si>
    <t>f1__s4__3__13</t>
  </si>
  <si>
    <t>f1__s4__3__14</t>
  </si>
  <si>
    <t>f1__s4__3__15</t>
  </si>
  <si>
    <t>f1__s4__3__16</t>
  </si>
  <si>
    <t>30000000.0</t>
  </si>
  <si>
    <t>f1__s4__3__17</t>
  </si>
  <si>
    <t>f1__s4__3__18</t>
  </si>
  <si>
    <t>f1__s4__3__19</t>
  </si>
  <si>
    <t>f1__s4__3__20</t>
  </si>
  <si>
    <t>f1__s4__3__21</t>
  </si>
  <si>
    <t>f1__s4__3__22</t>
  </si>
  <si>
    <t>61000000.0</t>
  </si>
  <si>
    <t>f1__s4__3__25</t>
  </si>
  <si>
    <t>60947709.0</t>
  </si>
  <si>
    <t>f1__s4__3__31</t>
  </si>
  <si>
    <t>f1__s4__3__32</t>
  </si>
  <si>
    <t>f1__s4__3__33</t>
  </si>
  <si>
    <t>f1__s4__3__34</t>
  </si>
  <si>
    <t>f1__s4__3__35</t>
  </si>
  <si>
    <t>f1__s4__3__36</t>
  </si>
  <si>
    <t>f1__s4__3__37</t>
  </si>
  <si>
    <t>f1__s4__3__38</t>
  </si>
  <si>
    <t>f1__s4__3__39</t>
  </si>
  <si>
    <t>f1__s4__3__40</t>
  </si>
  <si>
    <t>f1__s4__3__41</t>
  </si>
  <si>
    <t>f1__s4__3__42</t>
  </si>
  <si>
    <t>f1__s4__3__43</t>
  </si>
  <si>
    <t>f1__s4__3__44</t>
  </si>
  <si>
    <t>f1__s4__3__45</t>
  </si>
  <si>
    <t>f1__s4__3__46</t>
  </si>
  <si>
    <t>f1__s4__3__47</t>
  </si>
  <si>
    <t>f1__s4__3__5</t>
  </si>
  <si>
    <t>f1__s4__3__50</t>
  </si>
  <si>
    <t>f1__s4__3__6</t>
  </si>
  <si>
    <t>f1__s4__3__7</t>
  </si>
  <si>
    <t>f1__s4__3__8</t>
  </si>
  <si>
    <t>f1__s4__3__9</t>
  </si>
  <si>
    <t>f1__s4__4__10</t>
  </si>
  <si>
    <t>ifrs-full:SharePremiumMember</t>
  </si>
  <si>
    <t>f1__s4__4__11</t>
  </si>
  <si>
    <t>f1__s4__4__12</t>
  </si>
  <si>
    <t>f1__s4__4__13</t>
  </si>
  <si>
    <t>f1__s4__4__14</t>
  </si>
  <si>
    <t>f1__s4__4__15</t>
  </si>
  <si>
    <t>f1__s4__4__16</t>
  </si>
  <si>
    <t>f1__s4__4__17</t>
  </si>
  <si>
    <t>f1__s4__4__18</t>
  </si>
  <si>
    <t>f1__s4__4__19</t>
  </si>
  <si>
    <t>f1__s4__4__20</t>
  </si>
  <si>
    <t>f1__s4__4__21</t>
  </si>
  <si>
    <t>f1__s4__4__22</t>
  </si>
  <si>
    <t>31654000000.0</t>
  </si>
  <si>
    <t>f1__s4__4__31</t>
  </si>
  <si>
    <t>f1__s4__4__32</t>
  </si>
  <si>
    <t>f1__s4__4__33</t>
  </si>
  <si>
    <t>f1__s4__4__34</t>
  </si>
  <si>
    <t>f1__s4__4__35</t>
  </si>
  <si>
    <t>f1__s4__4__36</t>
  </si>
  <si>
    <t>f1__s4__4__37</t>
  </si>
  <si>
    <t>f1__s4__4__38</t>
  </si>
  <si>
    <t>f1__s4__4__39</t>
  </si>
  <si>
    <t>f1__s4__4__40</t>
  </si>
  <si>
    <t>f1__s4__4__41</t>
  </si>
  <si>
    <t>f1__s4__4__42</t>
  </si>
  <si>
    <t>f1__s4__4__43</t>
  </si>
  <si>
    <t>f1__s4__4__44</t>
  </si>
  <si>
    <t>f1__s4__4__45</t>
  </si>
  <si>
    <t>f1__s4__4__46</t>
  </si>
  <si>
    <t>f1__s4__4__47</t>
  </si>
  <si>
    <t>f1__s4__4__5</t>
  </si>
  <si>
    <t>f1__s4__4__6</t>
  </si>
  <si>
    <t>f1__s4__4__7</t>
  </si>
  <si>
    <t>f1__s4__4__8</t>
  </si>
  <si>
    <t>f1__s4__4__9</t>
  </si>
  <si>
    <t>f1__s4__5__10</t>
  </si>
  <si>
    <t>VOL:OtherContributedCapitalMember</t>
  </si>
  <si>
    <t>f1__s4__5__11</t>
  </si>
  <si>
    <t>f1__s4__5__12</t>
  </si>
  <si>
    <t>f1__s4__5__13</t>
  </si>
  <si>
    <t>f1__s4__5__14</t>
  </si>
  <si>
    <t>f1__s4__5__15</t>
  </si>
  <si>
    <t>f1__s4__5__16</t>
  </si>
  <si>
    <t>f1__s4__5__17</t>
  </si>
  <si>
    <t>f1__s4__5__18</t>
  </si>
  <si>
    <t>f1__s4__5__19</t>
  </si>
  <si>
    <t>f1__s4__5__20</t>
  </si>
  <si>
    <t>f1__s4__5__21</t>
  </si>
  <si>
    <t>f1__s4__5__22</t>
  </si>
  <si>
    <t>8452000000.0</t>
  </si>
  <si>
    <t>f1__s4__5__31</t>
  </si>
  <si>
    <t>f1__s4__5__32</t>
  </si>
  <si>
    <t>f1__s4__5__33</t>
  </si>
  <si>
    <t>f1__s4__5__34</t>
  </si>
  <si>
    <t>f1__s4__5__35</t>
  </si>
  <si>
    <t>f1__s4__5__36</t>
  </si>
  <si>
    <t>f1__s4__5__37</t>
  </si>
  <si>
    <t>f1__s4__5__38</t>
  </si>
  <si>
    <t>f1__s4__5__39</t>
  </si>
  <si>
    <t>f1__s4__5__40</t>
  </si>
  <si>
    <t>f1__s4__5__41</t>
  </si>
  <si>
    <t>f1__s4__5__42</t>
  </si>
  <si>
    <t>f1__s4__5__43</t>
  </si>
  <si>
    <t>f1__s4__5__44</t>
  </si>
  <si>
    <t>f1__s4__5__45</t>
  </si>
  <si>
    <t>f1__s4__5__46</t>
  </si>
  <si>
    <t>f1__s4__5__47</t>
  </si>
  <si>
    <t>f1__s4__5__5</t>
  </si>
  <si>
    <t>f1__s4__5__6</t>
  </si>
  <si>
    <t>f1__s4__5__7</t>
  </si>
  <si>
    <t>f1__s4__5__8</t>
  </si>
  <si>
    <t>f1__s4__5__9</t>
  </si>
  <si>
    <t>f1__s4__6__10</t>
  </si>
  <si>
    <t>ifrs-full:ReserveOfExchangeDifferencesOnTranslationMember</t>
  </si>
  <si>
    <t>f1__s4__6__11</t>
  </si>
  <si>
    <t>-65000000.0</t>
  </si>
  <si>
    <t>f1__s4__6__12</t>
  </si>
  <si>
    <t>415000000.0</t>
  </si>
  <si>
    <t>f1__s4__6__13</t>
  </si>
  <si>
    <t>f1__s4__6__14</t>
  </si>
  <si>
    <t>f1__s4__6__15</t>
  </si>
  <si>
    <t>f1__s4__6__16</t>
  </si>
  <si>
    <t>f1__s4__6__17</t>
  </si>
  <si>
    <t>f1__s4__6__18</t>
  </si>
  <si>
    <t>f1__s4__6__19</t>
  </si>
  <si>
    <t>f1__s4__6__20</t>
  </si>
  <si>
    <t>f1__s4__6__21</t>
  </si>
  <si>
    <t>f1__s4__6__22</t>
  </si>
  <si>
    <t>4507000000.0</t>
  </si>
  <si>
    <t>f1__s4__6__31</t>
  </si>
  <si>
    <t>f1__s4__6__32</t>
  </si>
  <si>
    <t>f1__s4__6__33</t>
  </si>
  <si>
    <t>f1__s4__6__34</t>
  </si>
  <si>
    <t>-4100000000.0</t>
  </si>
  <si>
    <t>f1__s4__6__35</t>
  </si>
  <si>
    <t>f1__s4__6__36</t>
  </si>
  <si>
    <t>f1__s4__6__37</t>
  </si>
  <si>
    <t>154000000.0</t>
  </si>
  <si>
    <t>f1__s4__6__38</t>
  </si>
  <si>
    <t>-3505000000.0</t>
  </si>
  <si>
    <t>f1__s4__6__39</t>
  </si>
  <si>
    <t>f1__s4__6__40</t>
  </si>
  <si>
    <t>f1__s4__6__41</t>
  </si>
  <si>
    <t>f1__s4__6__42</t>
  </si>
  <si>
    <t>f1__s4__6__43</t>
  </si>
  <si>
    <t>f1__s4__6__44</t>
  </si>
  <si>
    <t>f1__s4__6__45</t>
  </si>
  <si>
    <t>f1__s4__6__46</t>
  </si>
  <si>
    <t>f1__s4__6__47</t>
  </si>
  <si>
    <t>1002000000.0</t>
  </si>
  <si>
    <t>f1__s4__6__5</t>
  </si>
  <si>
    <t>4092000000.0</t>
  </si>
  <si>
    <t>f1__s4__6__6</t>
  </si>
  <si>
    <t>f1__s4__6__7</t>
  </si>
  <si>
    <t>f1__s4__6__8</t>
  </si>
  <si>
    <t>666000000.0</t>
  </si>
  <si>
    <t>f1__s4__6__9</t>
  </si>
  <si>
    <t>f1__s4__7__10</t>
  </si>
  <si>
    <t>ifrs-full:MiscellaneousOtherReservesMember</t>
  </si>
  <si>
    <t>f1__s4__7__11</t>
  </si>
  <si>
    <t>-1109000000.0</t>
  </si>
  <si>
    <t>f1__s4__7__12</t>
  </si>
  <si>
    <t>-4274000000.0</t>
  </si>
  <si>
    <t>f1__s4__7__13</t>
  </si>
  <si>
    <t>f1__s4__7__14</t>
  </si>
  <si>
    <t>f1__s4__7__15</t>
  </si>
  <si>
    <t>f1__s4__7__16</t>
  </si>
  <si>
    <t>f1__s4__7__17</t>
  </si>
  <si>
    <t>f1__s4__7__18</t>
  </si>
  <si>
    <t>f1__s4__7__19</t>
  </si>
  <si>
    <t>f1__s4__7__20</t>
  </si>
  <si>
    <t>f1__s4__7__21</t>
  </si>
  <si>
    <t>f1__s4__7__22</t>
  </si>
  <si>
    <t>-2258000000.0</t>
  </si>
  <si>
    <t>f1__s4__7__31</t>
  </si>
  <si>
    <t>f1__s4__7__32</t>
  </si>
  <si>
    <t>f1__s4__7__33</t>
  </si>
  <si>
    <t>f1__s4__7__34</t>
  </si>
  <si>
    <t>f1__s4__7__35</t>
  </si>
  <si>
    <t>f1__s4__7__36</t>
  </si>
  <si>
    <t>f1__s4__7__37</t>
  </si>
  <si>
    <t>1770000000.0</t>
  </si>
  <si>
    <t>f1__s4__7__38</t>
  </si>
  <si>
    <t>6821000000.0</t>
  </si>
  <si>
    <t>f1__s4__7__39</t>
  </si>
  <si>
    <t>f1__s4__7__40</t>
  </si>
  <si>
    <t>f1__s4__7__41</t>
  </si>
  <si>
    <t>f1__s4__7__42</t>
  </si>
  <si>
    <t>f1__s4__7__43</t>
  </si>
  <si>
    <t>f1__s4__7__44</t>
  </si>
  <si>
    <t>f1__s4__7__45</t>
  </si>
  <si>
    <t>f1__s4__7__46</t>
  </si>
  <si>
    <t>f1__s4__7__47</t>
  </si>
  <si>
    <t>4563000000.0</t>
  </si>
  <si>
    <t>f1__s4__7__5</t>
  </si>
  <si>
    <t>2016000000.0</t>
  </si>
  <si>
    <t>f1__s4__7__6</t>
  </si>
  <si>
    <t>f1__s4__7__7</t>
  </si>
  <si>
    <t>f1__s4__7__8</t>
  </si>
  <si>
    <t>f1__s4__7__9</t>
  </si>
  <si>
    <t>f1__s4__8__10</t>
  </si>
  <si>
    <t>ifrs-full:RetainedEarningsMember</t>
  </si>
  <si>
    <t>f1__s4__8__11</t>
  </si>
  <si>
    <t>f1__s4__8__12</t>
  </si>
  <si>
    <t>-257000000.0</t>
  </si>
  <si>
    <t>f1__s4__8__13</t>
  </si>
  <si>
    <t>15144000000.0</t>
  </si>
  <si>
    <t>f1__s4__8__14</t>
  </si>
  <si>
    <t>f1__s4__8__15</t>
  </si>
  <si>
    <t>f1__s4__8__16</t>
  </si>
  <si>
    <t>60000000.0</t>
  </si>
  <si>
    <t>f1__s4__8__17</t>
  </si>
  <si>
    <t>-30000000.0</t>
  </si>
  <si>
    <t>f1__s4__8__18</t>
  </si>
  <si>
    <t>f1__s4__8__19</t>
  </si>
  <si>
    <t>f1__s4__8__20</t>
  </si>
  <si>
    <t>f1__s4__8__21</t>
  </si>
  <si>
    <t>-195000000.0</t>
  </si>
  <si>
    <t>f1__s4__8__22</t>
  </si>
  <si>
    <t>95045000000.0</t>
  </si>
  <si>
    <t>f1__s4__8__31</t>
  </si>
  <si>
    <t>f1__s4__8__32</t>
  </si>
  <si>
    <t>f1__s4__8__33</t>
  </si>
  <si>
    <t>f1__s4__8__34</t>
  </si>
  <si>
    <t>f1__s4__8__35</t>
  </si>
  <si>
    <t>f1__s4__8__36</t>
  </si>
  <si>
    <t>f1__s4__8__37</t>
  </si>
  <si>
    <t>f1__s4__8__38</t>
  </si>
  <si>
    <t>1907000000.0</t>
  </si>
  <si>
    <t>f1__s4__8__39</t>
  </si>
  <si>
    <t>2081000000.0</t>
  </si>
  <si>
    <t>f1__s4__8__40</t>
  </si>
  <si>
    <t>-289000000.0</t>
  </si>
  <si>
    <t>f1__s4__8__41</t>
  </si>
  <si>
    <t>f1__s4__8__42</t>
  </si>
  <si>
    <t>f1__s4__8__43</t>
  </si>
  <si>
    <t>f1__s4__8__44</t>
  </si>
  <si>
    <t>f1__s4__8__45</t>
  </si>
  <si>
    <t>f1__s4__8__46</t>
  </si>
  <si>
    <t>4221000000.0</t>
  </si>
  <si>
    <t>f1__s4__8__47</t>
  </si>
  <si>
    <t>101347000000.0</t>
  </si>
  <si>
    <t>f1__s4__8__5</t>
  </si>
  <si>
    <t>80096000000.0</t>
  </si>
  <si>
    <t>f1__s4__8__6</t>
  </si>
  <si>
    <t>f1__s4__8__7</t>
  </si>
  <si>
    <t>f1__s4__8__8</t>
  </si>
  <si>
    <t>f1__s4__8__9</t>
  </si>
  <si>
    <t>f1__s4__9__10</t>
  </si>
  <si>
    <t>ifrs-full:EquityAttributableToOwnersOfParentMember</t>
  </si>
  <si>
    <t>f1__s4__9__11</t>
  </si>
  <si>
    <t>f1__s4__9__12</t>
  </si>
  <si>
    <t>-4116000000.0</t>
  </si>
  <si>
    <t>f1__s4__9__13</t>
  </si>
  <si>
    <t>f1__s4__9__14</t>
  </si>
  <si>
    <t>f1__s4__9__15</t>
  </si>
  <si>
    <t>f1__s4__9__16</t>
  </si>
  <si>
    <t>f1__s4__9__17</t>
  </si>
  <si>
    <t>f1__s4__9__18</t>
  </si>
  <si>
    <t>f1__s4__9__19</t>
  </si>
  <si>
    <t>f1__s4__9__20</t>
  </si>
  <si>
    <t>f1__s4__9__21</t>
  </si>
  <si>
    <t>f1__s4__9__22</t>
  </si>
  <si>
    <t>f1__s4__9__31</t>
  </si>
  <si>
    <t>f1__s4__9__32</t>
  </si>
  <si>
    <t>f1__s4__9__33</t>
  </si>
  <si>
    <t>f1__s4__9__34</t>
  </si>
  <si>
    <t>f1__s4__9__35</t>
  </si>
  <si>
    <t>f1__s4__9__36</t>
  </si>
  <si>
    <t>f1__s4__9__37</t>
  </si>
  <si>
    <t>f1__s4__9__38</t>
  </si>
  <si>
    <t>5223000000.0</t>
  </si>
  <si>
    <t>f1__s4__9__39</t>
  </si>
  <si>
    <t>f1__s4__9__40</t>
  </si>
  <si>
    <t>f1__s4__9__41</t>
  </si>
  <si>
    <t>f1__s4__9__42</t>
  </si>
  <si>
    <t>f1__s4__9__43</t>
  </si>
  <si>
    <t>f1__s4__9__44</t>
  </si>
  <si>
    <t>f1__s4__9__45</t>
  </si>
  <si>
    <t>f1__s4__9__46</t>
  </si>
  <si>
    <t>f1__s4__9__47</t>
  </si>
  <si>
    <t>f1__s4__9__5</t>
  </si>
  <si>
    <t>126371000000.0</t>
  </si>
  <si>
    <t>f1__s4__9__6</t>
  </si>
  <si>
    <t>f1__s4__9__7</t>
  </si>
  <si>
    <t>f1__s4__9__8</t>
  </si>
  <si>
    <t>f1__s4__9__9</t>
  </si>
  <si>
    <t>f1__s5__3__10</t>
  </si>
  <si>
    <t>VOL:FinanceCostsPaidAndFinanceIncomeReceivedClassifiedAsOperatingActivities</t>
  </si>
  <si>
    <t>1963000000.0</t>
  </si>
  <si>
    <t>f1__s5__3__11</t>
  </si>
  <si>
    <t>ifrs-full:IncomeTaxesPaidClassifiedAsOperatingActivities</t>
  </si>
  <si>
    <t>3724000000.0</t>
  </si>
  <si>
    <t>f1__s5__3__12</t>
  </si>
  <si>
    <t>ifrs-full:OtherAdjustmentsForNoncashItems</t>
  </si>
  <si>
    <t>6281000000.0</t>
  </si>
  <si>
    <t>f1__s5__3__13</t>
  </si>
  <si>
    <t>ifrs-full:CashFlowsFromUsedInOperationsBeforeChangesInWorkingCapital</t>
  </si>
  <si>
    <t>25438000000.0</t>
  </si>
  <si>
    <t>f1__s5__3__14</t>
  </si>
  <si>
    <t>ifrs-full:AdjustmentsForDecreaseIncreaseInInventories</t>
  </si>
  <si>
    <t>2353000000.0</t>
  </si>
  <si>
    <t>f1__s5__3__15</t>
  </si>
  <si>
    <t>ifrs-full:AdjustmentsForDecreaseIncreaseInTradeAccountReceivable</t>
  </si>
  <si>
    <t>-84000000.0</t>
  </si>
  <si>
    <t>f1__s5__3__16</t>
  </si>
  <si>
    <t>ifrs-full:AdjustmentsForIncreaseDecreaseInTradeAccountPayable</t>
  </si>
  <si>
    <t>7205000000.0</t>
  </si>
  <si>
    <t>f1__s5__3__17</t>
  </si>
  <si>
    <t>ifrs-full:AdjustmentsForProvisions</t>
  </si>
  <si>
    <t>-1867000000.0</t>
  </si>
  <si>
    <t>f1__s5__3__18</t>
  </si>
  <si>
    <t>ifrs-full:AdjustmentsForIncreaseDecreaseInContractLiabilities</t>
  </si>
  <si>
    <t>644000000.0</t>
  </si>
  <si>
    <t>f1__s5__3__19</t>
  </si>
  <si>
    <t>VOL:IncreaseDecreaseInOtherWorkingCapital</t>
  </si>
  <si>
    <t>-936000000.0</t>
  </si>
  <si>
    <t>f1__s5__3__20</t>
  </si>
  <si>
    <t>ifrs-full:IncreaseDecreaseInWorkingCapital</t>
  </si>
  <si>
    <t>-9187000000.0</t>
  </si>
  <si>
    <t>f1__s5__3__21</t>
  </si>
  <si>
    <t>ifrs-full:CashFlowsFromUsedInOperatingActivities</t>
  </si>
  <si>
    <t>34625000000.0</t>
  </si>
  <si>
    <t>f1__s5__3__24</t>
  </si>
  <si>
    <t>VOL:InvestmentsInSharesAndParticipationsClassifiedAsInvestingActivities</t>
  </si>
  <si>
    <t>-280000000.0</t>
  </si>
  <si>
    <t>f1__s5__3__25</t>
  </si>
  <si>
    <t>VOL:DivestmentsInSharesAndParticipationsClassifiedAsInvestingActivities</t>
  </si>
  <si>
    <t>7716000000.0</t>
  </si>
  <si>
    <t>f1__s5__3__26</t>
  </si>
  <si>
    <t>ifrs-full:CashAdvancesAndLoansMadeToRelatedParties</t>
  </si>
  <si>
    <t>2727000000.0</t>
  </si>
  <si>
    <t>f1__s5__3__27</t>
  </si>
  <si>
    <t>ifrs-full:CashReceiptsFromRepaymentOfAdvancesAndLoansMadeToRelatedParties</t>
  </si>
  <si>
    <t>1688000000.0</t>
  </si>
  <si>
    <t>f1__s5__3__28</t>
  </si>
  <si>
    <t>ifrs-full:PurchaseOfIntangibleAssetsClassifiedAsInvestingActivities</t>
  </si>
  <si>
    <t>17252000000.0</t>
  </si>
  <si>
    <t>f1__s5__3__29</t>
  </si>
  <si>
    <t>ifrs-full:PurchaseOfPropertyPlantAndEquipmentClassifiedAsInvestingActivities</t>
  </si>
  <si>
    <t>22825000000.0</t>
  </si>
  <si>
    <t>f1__s5__3__30</t>
  </si>
  <si>
    <t>ifrs-full:ProceedsFromSalesOfPropertyPlantAndEquipmentClassifiedAsInvestingActivities</t>
  </si>
  <si>
    <t>872000000.0</t>
  </si>
  <si>
    <t>f1__s5__3__31</t>
  </si>
  <si>
    <t>ifrs-full:OtherInflowsOutflowsOfCashClassifiedAsInvestingActivities</t>
  </si>
  <si>
    <t>72000000.0</t>
  </si>
  <si>
    <t>f1__s5__3__32</t>
  </si>
  <si>
    <t>ifrs-full:CashFlowsFromUsedInInvestingActivities</t>
  </si>
  <si>
    <t>-32176000000.0</t>
  </si>
  <si>
    <t>f1__s5__3__35</t>
  </si>
  <si>
    <t>VOL:CashFlowsFromUsedInOperatingAndInvestingActivities</t>
  </si>
  <si>
    <t>2449000000.0</t>
  </si>
  <si>
    <t>f1__s5__3__38</t>
  </si>
  <si>
    <t>ifrs-full:ProceedsFromBorrowingsClassifiedAsFinancingActivities</t>
  </si>
  <si>
    <t>4947000000.0</t>
  </si>
  <si>
    <t>f1__s5__3__39</t>
  </si>
  <si>
    <t>ifrs-full:ProceedsFromIssueOfBondsNotesAndDebentures</t>
  </si>
  <si>
    <t>5476000000.0</t>
  </si>
  <si>
    <t>f1__s5__3__40</t>
  </si>
  <si>
    <t>ifrs-full:PaymentsToAcquireOrRedeemEntitysShares</t>
  </si>
  <si>
    <t>f1__s5__3__41</t>
  </si>
  <si>
    <t>ifrs-full:RepaymentsOfBondsNotesAndDebentures</t>
  </si>
  <si>
    <t>5732000000.0</t>
  </si>
  <si>
    <t>f1__s5__3__42</t>
  </si>
  <si>
    <t>ifrs-full:RepaymentsOfBorrowingsClassifiedAsFinancingActivities</t>
  </si>
  <si>
    <t>1631000000.0</t>
  </si>
  <si>
    <t>f1__s5__3__43</t>
  </si>
  <si>
    <t>VOL:RepaymentsOfInterestBearingLiabilitiesClassifiedAsFinancingActivities</t>
  </si>
  <si>
    <t>2108000000.0</t>
  </si>
  <si>
    <t>f1__s5__3__44</t>
  </si>
  <si>
    <t>VOL:MaturedInvestmentsInMarketableSecuritiesClassifiedAsFinancingActivities</t>
  </si>
  <si>
    <t>-1000000.0</t>
  </si>
  <si>
    <t>f1__s5__3__45</t>
  </si>
  <si>
    <t>ifrs-full:OtherInflowsOutflowsOfCashClassifiedAsFinancingActivities</t>
  </si>
  <si>
    <t>996000000.0</t>
  </si>
  <si>
    <t>f1__s5__3__46</t>
  </si>
  <si>
    <t>ifrs-full:CashFlowsFromUsedInFinancingActivities</t>
  </si>
  <si>
    <t>1728000000.0</t>
  </si>
  <si>
    <t>f1__s5__3__49</t>
  </si>
  <si>
    <t>ifrs-full:IncreaseDecreaseInCashAndCashEquivalentsBeforeEffectOfExchangeRateChanges</t>
  </si>
  <si>
    <t>4177000000.0</t>
  </si>
  <si>
    <t>f1__s5__3__5</t>
  </si>
  <si>
    <t>f1__s5__3__50</t>
  </si>
  <si>
    <t>f1__s5__3__51</t>
  </si>
  <si>
    <t>ifrs-full:EffectOfExchangeRateChangesOnCashAndCashEquivalents</t>
  </si>
  <si>
    <t>-2986000000.0</t>
  </si>
  <si>
    <t>f1__s5__3__52</t>
  </si>
  <si>
    <t>f1__s5__3__6</t>
  </si>
  <si>
    <t>ifrs-full:AdjustmentsForDepreciationAndAmortisationExpense</t>
  </si>
  <si>
    <t>23945000000.0</t>
  </si>
  <si>
    <t>f1__s5__3__7</t>
  </si>
  <si>
    <t>ifrs-full:DividendsReceivedClassifiedAsOperatingActivities</t>
  </si>
  <si>
    <t>205000000.0</t>
  </si>
  <si>
    <t>f1__s5__3__8</t>
  </si>
  <si>
    <t>ifrs-full:InterestReceivedClassifiedAsOperatingActivities</t>
  </si>
  <si>
    <t>f1__s5__3__9</t>
  </si>
  <si>
    <t>ifrs-full:InterestPaidClassifiedAsOperatingActivities</t>
  </si>
  <si>
    <t>1538000000.0</t>
  </si>
  <si>
    <t>f1__s5__4__10</t>
  </si>
  <si>
    <t>836000000.0</t>
  </si>
  <si>
    <t>f1__s5__4__11</t>
  </si>
  <si>
    <t>4448000000.0</t>
  </si>
  <si>
    <t>f1__s5__4__12</t>
  </si>
  <si>
    <t>2754000000.0</t>
  </si>
  <si>
    <t>f1__s5__4__13</t>
  </si>
  <si>
    <t>43298000000.0</t>
  </si>
  <si>
    <t>f1__s5__4__14</t>
  </si>
  <si>
    <t>-2757000000.0</t>
  </si>
  <si>
    <t>f1__s5__4__15</t>
  </si>
  <si>
    <t>-1386000000.0</t>
  </si>
  <si>
    <t>f1__s5__4__16</t>
  </si>
  <si>
    <t>-7539000000.0</t>
  </si>
  <si>
    <t>f1__s5__4__17</t>
  </si>
  <si>
    <t>-1905000000.0</t>
  </si>
  <si>
    <t>f1__s5__4__18</t>
  </si>
  <si>
    <t>8709000000.0</t>
  </si>
  <si>
    <t>f1__s5__4__19</t>
  </si>
  <si>
    <t>-8952000000.0</t>
  </si>
  <si>
    <t>f1__s5__4__20</t>
  </si>
  <si>
    <t>-4074000000.0</t>
  </si>
  <si>
    <t>f1__s5__4__21</t>
  </si>
  <si>
    <t>47372000000.0</t>
  </si>
  <si>
    <t>f1__s5__4__24</t>
  </si>
  <si>
    <t>1901000000.0</t>
  </si>
  <si>
    <t>f1__s5__4__25</t>
  </si>
  <si>
    <t>-217000000.0</t>
  </si>
  <si>
    <t>f1__s5__4__26</t>
  </si>
  <si>
    <t>75000000.0</t>
  </si>
  <si>
    <t>f1__s5__4__27</t>
  </si>
  <si>
    <t>f1__s5__4__28</t>
  </si>
  <si>
    <t>19774000000.0</t>
  </si>
  <si>
    <t>f1__s5__4__29</t>
  </si>
  <si>
    <t>25259000000.0</t>
  </si>
  <si>
    <t>f1__s5__4__30</t>
  </si>
  <si>
    <t>981000000.0</t>
  </si>
  <si>
    <t>f1__s5__4__31</t>
  </si>
  <si>
    <t>f1__s5__4__32</t>
  </si>
  <si>
    <t>-46245000000.0</t>
  </si>
  <si>
    <t>f1__s5__4__35</t>
  </si>
  <si>
    <t>1127000000.0</t>
  </si>
  <si>
    <t>f1__s5__4__38</t>
  </si>
  <si>
    <t>199000000.0</t>
  </si>
  <si>
    <t>f1__s5__4__39</t>
  </si>
  <si>
    <t>5857000000.0</t>
  </si>
  <si>
    <t>f1__s5__4__40</t>
  </si>
  <si>
    <t>f1__s5__4__41</t>
  </si>
  <si>
    <t>6936000000.0</t>
  </si>
  <si>
    <t>f1__s5__4__42</t>
  </si>
  <si>
    <t>862000000.0</t>
  </si>
  <si>
    <t>f1__s5__4__43</t>
  </si>
  <si>
    <t>2053000000.0</t>
  </si>
  <si>
    <t>f1__s5__4__44</t>
  </si>
  <si>
    <t>10269000000.0</t>
  </si>
  <si>
    <t>f1__s5__4__45</t>
  </si>
  <si>
    <t>-368000000.0</t>
  </si>
  <si>
    <t>f1__s5__4__46</t>
  </si>
  <si>
    <t>5916000000.0</t>
  </si>
  <si>
    <t>f1__s5__4__49</t>
  </si>
  <si>
    <t>7043000000.0</t>
  </si>
  <si>
    <t>f1__s5__4__5</t>
  </si>
  <si>
    <t>f1__s5__4__50</t>
  </si>
  <si>
    <t>47861000000.0</t>
  </si>
  <si>
    <t>f1__s5__4__51</t>
  </si>
  <si>
    <t>1469000000.0</t>
  </si>
  <si>
    <t>f1__s5__4__52</t>
  </si>
  <si>
    <t>f1__s5__4__6</t>
  </si>
  <si>
    <t>22730000000.0</t>
  </si>
  <si>
    <t>f1__s5__4__7</t>
  </si>
  <si>
    <t>213000000.0</t>
  </si>
  <si>
    <t>f1__s5__4__8</t>
  </si>
  <si>
    <t>f1__s5__4__9</t>
  </si>
  <si>
    <t>1623000000.0</t>
  </si>
  <si>
    <t>f1__s8__6__10</t>
  </si>
  <si>
    <t>ifrs-full:AddressOfRegisteredOfficeOfEntity</t>
  </si>
  <si>
    <t>Gunnar Engellaus väg 8SE-418 78 Gothenburg, Sweden</t>
  </si>
  <si>
    <t>f1__s8__6__100</t>
  </si>
  <si>
    <t>ifrs-full:DescriptionOfAccountingPolicyForInterestIncomeAndExpenseExplanatory</t>
  </si>
  <si>
    <t>&lt;span style="display:inherit;clear:left;"&gt;ACCOUNTING&lt;span class="_ _2"&gt;&lt;/span&gt; POLICIES&lt;/span&gt;&lt;span style="display:inherit;clear:left;"&gt;Fin&lt;span class="_ _7"&gt;&lt;/span&gt;an&lt;span class="_ _7"&gt;&lt;/span&gt;cin&lt;span class="_ _7"&gt;&lt;/span&gt;g exp&lt;span class="_ _7"&gt;&lt;/span&gt;en&lt;span class="_ _7"&gt;&lt;/span&gt;se&lt;span class="_ _7"&gt;&lt;/span&gt;s o&lt;span class="_ _7"&gt;&lt;/span&gt;n rep&lt;span class="_ _7"&gt;&lt;/span&gt;ur&lt;span class="_ _7"&gt;&lt;/span&gt;ch&lt;span class="_ _7"&gt;&lt;/span&gt;as&lt;span class="_ _7"&gt;&lt;/span&gt;e ob&lt;span class="_ _7"&gt;&lt;/span&gt;lig&lt;span class="_ _7"&gt;&lt;/span&gt;ati&lt;span class="_ _7"&gt;&lt;/span&gt;on&lt;span class="_ _7"&gt;&lt;/span&gt;s are p&lt;span class="_ _7"&gt;&lt;/span&gt;re&lt;span class="_ _7"&gt;&lt;/span&gt;s&lt;span class="_ _7"&gt;&lt;/span&gt;ent&lt;span class="_ _7"&gt;&lt;/span&gt;ed a&lt;span class="_ _7"&gt;&lt;/span&gt;s &lt;/span&gt;&lt;span style="display:inherit;clear:left;"&gt;oth&lt;span class="_ _7"&gt;&lt;/span&gt;er f&lt;span class="_ _7"&gt;&lt;/span&gt;in&lt;span class="_ _7"&gt;&lt;/span&gt;anc&lt;span class="_ _7"&gt;&lt;/span&gt;ia&lt;span class="_ _7"&gt;&lt;/span&gt;l exp&lt;span class="_ _7"&gt;&lt;/span&gt;en&lt;span class="_ _7"&gt;&lt;/span&gt;se&lt;span class="_ _7"&gt;&lt;/span&gt;s&lt;span class="_ _7"&gt;&lt;/span&gt;. For&lt;span class="_ _7"&gt;&lt;/span&gt;eig&lt;span class="_ _7"&gt;&lt;/span&gt;n exch&lt;span class="_ _7"&gt;&lt;/span&gt;an&lt;span class="_ _7"&gt;&lt;/span&gt;ge r&lt;span class="_ _7"&gt;&lt;/span&gt;ate g&lt;span class="_ _7"&gt;&lt;/span&gt;ain&lt;span class="_ _7"&gt;&lt;/span&gt;s an&lt;span class="_ _7"&gt;&lt;/span&gt;d lo&lt;span class="_ _7"&gt;&lt;/span&gt;s&lt;span class="_ _7"&gt;&lt;/span&gt;se&lt;span class="_ _7"&gt;&lt;/span&gt;s on &lt;/span&gt;&lt;span style="display:inherit;clear:left;"&gt;fi&lt;span class="_ _7"&gt;&lt;/span&gt;nan&lt;span class="_ _7"&gt;&lt;/span&gt;ci&lt;span class="_ _7"&gt;&lt;/span&gt;al tr&lt;span class="_ _7"&gt;&lt;/span&gt;an&lt;span class="_ _7"&gt;&lt;/span&gt;s&lt;span class="_ _7"&gt;&lt;/span&gt;ac&lt;span class="_ _7"&gt;&lt;/span&gt;tio&lt;span class="_ _7"&gt;&lt;/span&gt;ns a&lt;span class="_ _7"&gt;&lt;/span&gt;re p&lt;span class="_ _7"&gt;&lt;/span&gt;re&lt;span class="_ _7"&gt;&lt;/span&gt;se&lt;span class="_ _7"&gt;&lt;/span&gt;nte&lt;span class="_ _7"&gt;&lt;/span&gt;d ne&lt;span class="_ _7"&gt;&lt;/span&gt;t in ot&lt;span class="_ _7"&gt;&lt;/span&gt;her f&lt;span class="_ _7"&gt;&lt;/span&gt;in&lt;span class="_ _7"&gt;&lt;/span&gt;an&lt;span class="_ _7"&gt;&lt;/span&gt;ci&lt;span class="_ _7"&gt;&lt;/span&gt;al in&lt;span class="_ _7"&gt;&lt;/span&gt;co&lt;span class="_ _7"&gt;&lt;/span&gt;me &lt;/span&gt;&lt;span style="display:inherit;clear:left;"&gt;and e&lt;span class="_ _7"&gt;&lt;/span&gt;xp&lt;span class="_ _7"&gt;&lt;/span&gt;en&lt;span class="_ _7"&gt;&lt;/span&gt;se&lt;span class="_ _7"&gt;&lt;/span&gt;s&lt;span class="_ _7"&gt;&lt;/span&gt;. Al&lt;span class="_ _7"&gt;&lt;/span&gt;so p&lt;span class="_ _7"&gt;&lt;/span&gt;re&lt;span class="_ _7"&gt;&lt;/span&gt;s&lt;span class="_ _7"&gt;&lt;/span&gt;ent&lt;span class="_ _7"&gt;&lt;/span&gt;ed n&lt;span class="_ _7"&gt;&lt;/span&gt;et ar&lt;span class="_ _7"&gt;&lt;/span&gt;e fl&lt;span class="_ _7"&gt;&lt;/span&gt;uct&lt;span class="_ _7"&gt;&lt;/span&gt;ua&lt;span class="_ _7"&gt;&lt;/span&gt;tio&lt;span class="_ _7"&gt;&lt;/span&gt;ns i&lt;span class="_ _7"&gt;&lt;/span&gt;n the f&lt;span class="_ _7"&gt;&lt;/span&gt;ai&lt;span class="_ _7"&gt;&lt;/span&gt;r val&lt;span class="_ _7"&gt;&lt;/span&gt;ue of &lt;/span&gt;&lt;span style="display:inherit;clear:left;"&gt;deriv&lt;span class="_ _7"&gt;&lt;/span&gt;atives hedg&lt;span class="_ _7"&gt;&lt;/span&gt;ing finan&lt;span class="_ _7"&gt;&lt;/span&gt;cial trans&lt;span class="_ _7"&gt;&lt;/span&gt;acti&lt;span class="_ _7"&gt;&lt;/span&gt;ons wher&lt;span class="_ _7"&gt;&lt;/span&gt;e hedge accounti&lt;span class="_ _7"&gt;&lt;/span&gt;ng &lt;/span&gt;&lt;span style="display:inherit;clear:left;"&gt;is n&lt;span class="_ _7"&gt;&lt;/span&gt;ot ap&lt;span class="_ _7"&gt;&lt;/span&gt;pl&lt;span class="_ _7"&gt;&lt;/span&gt;ie&lt;span class="_ _7"&gt;&lt;/span&gt;d. In&lt;span class="_ _7"&gt;&lt;/span&gt;fo&lt;span class="_ _7"&gt;&lt;/span&gt;rm&lt;span class="_ _7"&gt;&lt;/span&gt;ati&lt;span class="_ _7"&gt;&lt;/span&gt;on o&lt;span class="_ _7"&gt;&lt;/span&gt;n the c&lt;span class="_ _7"&gt;&lt;/span&gt;la&lt;span class="_ _7"&gt;&lt;/span&gt;s&lt;span class="_ _7"&gt;&lt;/span&gt;si&lt;span class="_ _7"&gt;&lt;/span&gt;f&lt;span class="_ _7"&gt;&lt;/span&gt;ic&lt;span class="_ _7"&gt;&lt;/span&gt;ati&lt;span class="_ _7"&gt;&lt;/span&gt;on o&lt;span class="_ _7"&gt;&lt;/span&gt;f fi&lt;span class="_ _7"&gt;&lt;/span&gt;nan&lt;span class="_ _7"&gt;&lt;/span&gt;ci&lt;span class="_ _7"&gt;&lt;/span&gt;al in&lt;span class="_ _7"&gt;&lt;/span&gt;s&lt;span class="_ _7"&gt;&lt;/span&gt;tr&lt;span class="_ _7"&gt;&lt;/span&gt;u-&lt;/span&gt;&lt;span style="display:inherit;clear:left;"&gt;me&lt;span class="_ _7"&gt;&lt;/span&gt;nts&lt;span class="_ _7"&gt;&lt;/span&gt;, s&lt;span class="_ _7"&gt;&lt;/span&gt;e&lt;span class="_ _7"&gt;&lt;/span&gt;e Note 19 – F&lt;span class="_ _7"&gt;&lt;/span&gt;in&lt;span class="_ _7"&gt;&lt;/span&gt;anc&lt;span class="_ _7"&gt;&lt;/span&gt;ia&lt;span class="_ _7"&gt;&lt;/span&gt;l ins&lt;span class="_ _7"&gt;&lt;/span&gt;t&lt;span class="_ _7"&gt;&lt;/span&gt;rum&lt;span class="_ _7"&gt;&lt;/span&gt;en&lt;span class="_ _7"&gt;&lt;/span&gt;ts a&lt;span class="_ _7"&gt;&lt;/span&gt;nd F&lt;span class="_ _7"&gt;&lt;/span&gt;ina&lt;span class="_ _7"&gt;&lt;/span&gt;nc&lt;span class="_ _7"&gt;&lt;/span&gt;ial r&lt;span class="_ _7"&gt;&lt;/span&gt;is&lt;span class="_ _7"&gt;&lt;/span&gt;ks&lt;span class="_ _7"&gt;&lt;/span&gt;.&lt;/span&gt;</t>
  </si>
  <si>
    <t>f1__s8__6__104</t>
  </si>
  <si>
    <t>ifrs-full:DisclosureOfSignificantInvestmentsInAssociatesExplanatory</t>
  </si>
  <si>
    <t>&lt;span style="display:inherit;clear:left;"&gt;NOT&lt;span class="_ _7"&gt;&lt;/span&gt;E 12&lt;/span&gt;&lt;span style="display:inherit;clear:left;"&gt;IN&lt;span class="_ _7"&gt;&lt;/span&gt;VEST&lt;span class="_ _7"&gt;&lt;/span&gt;MEN&lt;span class="_ _7"&gt;&lt;/span&gt;TS IN J&lt;span class="_ _7"&gt;&lt;/span&gt;O&lt;span class="_ _7"&gt;&lt;/span&gt;INT V&lt;span class="_ _7"&gt;&lt;/span&gt;ENT&lt;span class="_ _7"&gt;&lt;/span&gt;U&lt;span class="_ _7"&gt;&lt;/span&gt;RES AN&lt;span class="_ _7"&gt;&lt;/span&gt;D  &lt;/span&gt;&lt;span style="display:inherit;clear:left;"&gt;ASSOCIA&lt;span class="_ _6"&gt;&lt;/span&gt;TES&lt;/span&gt;&lt;span style="display:inherit;clear:left;"&gt;ACCOUNTING&lt;span class="_ _2"&gt;&lt;/span&gt; POLICIES&lt;/span&gt;&lt;span style="display:inherit;clear:left;"&gt;Jo&lt;span class="_ _7"&gt;&lt;/span&gt;int ve&lt;span class="_ _7"&gt;&lt;/span&gt;ntu&lt;span class="_ _7"&gt;&lt;/span&gt;re&lt;span class="_ _7"&gt;&lt;/span&gt;s re&lt;span class="_ _7"&gt;&lt;/span&gt;fe&lt;span class="_ _7"&gt;&lt;/span&gt;r to jo&lt;span class="_ _7"&gt;&lt;/span&gt;int a&lt;span class="_ _7"&gt;&lt;/span&gt;rr&lt;span class="_ _7"&gt;&lt;/span&gt;ang&lt;span class="_ _7"&gt;&lt;/span&gt;em&lt;span class="_ _7"&gt;&lt;/span&gt;ent&lt;span class="_ _7"&gt;&lt;/span&gt;s wh&lt;span class="_ _7"&gt;&lt;/span&gt;er&lt;span class="_ _7"&gt;&lt;/span&gt;eby Volvo C&lt;span class="_ _7"&gt;&lt;/span&gt;ar G&lt;span class="_ _7"&gt;&lt;/span&gt;ro&lt;span class="_ _7"&gt;&lt;/span&gt;up &lt;/span&gt;&lt;span style="display:inherit;clear:left;"&gt;toge&lt;span class="_ _7"&gt;&lt;/span&gt;th&lt;span class="_ _7"&gt;&lt;/span&gt;er wi&lt;span class="_ _7"&gt;&lt;/span&gt;th o&lt;span class="_ _7"&gt;&lt;/span&gt;ne or m&lt;span class="_ _7"&gt;&lt;/span&gt;or&lt;span class="_ _7"&gt;&lt;/span&gt;e pa&lt;span class="_ _7"&gt;&lt;/span&gt;r&lt;span class="_ _7"&gt;&lt;/span&gt;tie&lt;span class="_ _7"&gt;&lt;/span&gt;s h&lt;span class="_ _7"&gt;&lt;/span&gt;ave jo&lt;span class="_ _7"&gt;&lt;/span&gt;in&lt;span class="_ _7"&gt;&lt;/span&gt;t con&lt;span class="_ _7"&gt;&lt;/span&gt;tro&lt;span class="_ _7"&gt;&lt;/span&gt;l an&lt;span class="_ _7"&gt;&lt;/span&gt;d ri&lt;span class="_ _7"&gt;&lt;/span&gt;ght&lt;span class="_ _7"&gt;&lt;/span&gt;s to th&lt;span class="_ _7"&gt;&lt;/span&gt;e&lt;/span&gt;&lt;span style="display:inherit;clear:left;"&gt;net a&lt;span class="_ _7"&gt;&lt;/span&gt;s&lt;span class="_ _7"&gt;&lt;/span&gt;s&lt;span class="_ _7"&gt;&lt;/span&gt;et&lt;span class="_ _7"&gt;&lt;/span&gt;s of th&lt;span class="_ _7"&gt;&lt;/span&gt;e ar&lt;span class="_ _7"&gt;&lt;/span&gt;ra&lt;span class="_ _7"&gt;&lt;/span&gt;nge&lt;span class="_ _7"&gt;&lt;/span&gt;me&lt;span class="_ _7"&gt;&lt;/span&gt;nt&lt;span class="_ _7"&gt;&lt;/span&gt;s. &lt;/span&gt;&lt;span style="display:inherit;clear:left;"&gt;As&lt;span class="_ _7"&gt;&lt;/span&gt;s&lt;span class="_ _7"&gt;&lt;/span&gt;oc&lt;span class="_ _7"&gt;&lt;/span&gt;iat&lt;span class="_ _7"&gt;&lt;/span&gt;ed c&lt;span class="_ _7"&gt;&lt;/span&gt;omp&lt;span class="_ _7"&gt;&lt;/span&gt;an&lt;span class="_ _7"&gt;&lt;/span&gt;ie&lt;span class="_ _7"&gt;&lt;/span&gt;s ar&lt;span class="_ _7"&gt;&lt;/span&gt;e com&lt;span class="_ _7"&gt;&lt;/span&gt;pa&lt;span class="_ _7"&gt;&lt;/span&gt;ni&lt;span class="_ _7"&gt;&lt;/span&gt;es i&lt;span class="_ _7"&gt;&lt;/span&gt;n whi&lt;span class="_ _7"&gt;&lt;/span&gt;ch Volvo C&lt;span class="_ _7"&gt;&lt;/span&gt;ar Gr&lt;span class="_ _7"&gt;&lt;/span&gt;ou&lt;span class="_ _7"&gt;&lt;/span&gt;p &lt;/span&gt;&lt;span style="display:inherit;clear:left;"&gt;ha&lt;span class="_ _7"&gt;&lt;/span&gt;s a sig&lt;span class="_ _7"&gt;&lt;/span&gt;ni&lt;span class="_ _7"&gt;&lt;/span&gt;f&lt;span class="_ _7"&gt;&lt;/span&gt;ic&lt;span class="_ _7"&gt;&lt;/span&gt;ant b&lt;span class="_ _7"&gt;&lt;/span&gt;ut n&lt;span class="_ _7"&gt;&lt;/span&gt;ot co&lt;span class="_ _7"&gt;&lt;/span&gt;ntr&lt;span class="_ _7"&gt;&lt;/span&gt;ol&lt;span class="_ _7"&gt;&lt;/span&gt;lin&lt;span class="_ _7"&gt;&lt;/span&gt;g inf&lt;span class="_ _7"&gt;&lt;/span&gt;lu&lt;span class="_ _7"&gt;&lt;/span&gt;en&lt;span class="_ _7"&gt;&lt;/span&gt;ce, w&lt;span class="_ _7"&gt;&lt;/span&gt;hi&lt;span class="_ _7"&gt;&lt;/span&gt;ch ge&lt;span class="_ _7"&gt;&lt;/span&gt;ne&lt;span class="_ _7"&gt;&lt;/span&gt;ra&lt;span class="_ _7"&gt;&lt;/span&gt;lly i&lt;span class="_ _7"&gt;&lt;/span&gt;s &lt;/span&gt;&lt;span style="display:inherit;clear:left;"&gt;wh&lt;span class="_ _7"&gt;&lt;/span&gt;en Volvo C&lt;span class="_ _7"&gt;&lt;/span&gt;ar Gr&lt;span class="_ _7"&gt;&lt;/span&gt;ou&lt;span class="_ _7"&gt;&lt;/span&gt;p ho&lt;span class="_ _7"&gt;&lt;/span&gt;lds b&lt;span class="_ _7"&gt;&lt;/span&gt;et&lt;span class="_ _7"&gt;&lt;/span&gt;we&lt;span class="_ _7"&gt;&lt;/span&gt;en 20 a&lt;span class="_ _7"&gt;&lt;/span&gt;nd 50 p&lt;span class="_ _7"&gt;&lt;/span&gt;er c&lt;span class="_ _7"&gt;&lt;/span&gt;ent o&lt;span class="_ _7"&gt;&lt;/span&gt;f th&lt;span class="_ _7"&gt;&lt;/span&gt;e &lt;/span&gt;&lt;span style="display:inherit;clear:left;"&gt;sh&lt;span class="_ _7"&gt;&lt;/span&gt;are&lt;span class="_ _7"&gt;&lt;/span&gt;s&lt;span class="_ _7"&gt;&lt;/span&gt;, bu&lt;span class="_ _7"&gt;&lt;/span&gt;t it a&lt;span class="_ _7"&gt;&lt;/span&gt;ls&lt;span class="_ _7"&gt;&lt;/span&gt;o in&lt;span class="_ _7"&gt;&lt;/span&gt;clu&lt;span class="_ _7"&gt;&lt;/span&gt;de&lt;span class="_ _7"&gt;&lt;/span&gt;s inv&lt;span class="_ _7"&gt;&lt;/span&gt;es&lt;span class="_ _7"&gt;&lt;/span&gt;tm&lt;span class="_ _7"&gt;&lt;/span&gt;en&lt;span class="_ _7"&gt;&lt;/span&gt;ts w&lt;span class="_ _7"&gt;&lt;/span&gt;ith l&lt;span class="_ _7"&gt;&lt;/span&gt;es&lt;span class="_ _7"&gt;&lt;/span&gt;s p&lt;span class="_ _7"&gt;&lt;/span&gt;ar&lt;span class="_ _7"&gt;&lt;/span&gt;t&lt;span class="_ _7"&gt;&lt;/span&gt;ici&lt;span class="_ _7"&gt;&lt;/span&gt;pat&lt;span class="_ _7"&gt;&lt;/span&gt;io&lt;span class="_ _7"&gt;&lt;/span&gt;n if s&lt;span class="_ _7"&gt;&lt;/span&gt;ig-&lt;/span&gt;&lt;span style="display:inherit;clear:left;"&gt;ni&lt;span class="_ _7"&gt;&lt;/span&gt;fi&lt;span class="_ _7"&gt;&lt;/span&gt;ca&lt;span class="_ _7"&gt;&lt;/span&gt;nt in&lt;span class="_ _7"&gt;&lt;/span&gt;fl&lt;span class="_ _7"&gt;&lt;/span&gt;uen&lt;span class="_ _7"&gt;&lt;/span&gt;ce i&lt;span class="_ _7"&gt;&lt;/span&gt;s pr&lt;span class="_ _7"&gt;&lt;/span&gt;ove&lt;span class="_ _7"&gt;&lt;/span&gt;n ba&lt;span class="_ _7"&gt;&lt;/span&gt;se&lt;span class="_ _7"&gt;&lt;/span&gt;d on o&lt;span class="_ _7"&gt;&lt;/span&gt;the&lt;span class="_ _7"&gt;&lt;/span&gt;r fa&lt;span class="_ _7"&gt;&lt;/span&gt;ct&lt;span class="_ _7"&gt;&lt;/span&gt;s an&lt;span class="_ _7"&gt;&lt;/span&gt;d cir&lt;span class="_ _7"&gt;&lt;/span&gt;cum&lt;span class="_ _7"&gt;&lt;/span&gt;s&lt;span class="_ _7"&gt;&lt;/span&gt;ta&lt;span class="_ _7"&gt;&lt;/span&gt;nc&lt;span class="_ _7"&gt;&lt;/span&gt;es&lt;span class="_ _7"&gt;&lt;/span&gt;. &lt;/span&gt;&lt;span style="display:inherit;clear:left;"&gt;Inve&lt;span class="_ _7"&gt;&lt;/span&gt;s&lt;span class="_ _7"&gt;&lt;/span&gt;tme&lt;span class="_ _7"&gt;&lt;/span&gt;nt&lt;span class="_ _7"&gt;&lt;/span&gt;s in j&lt;span class="_ _7"&gt;&lt;/span&gt;oin&lt;span class="_ _7"&gt;&lt;/span&gt;t ven&lt;span class="_ _7"&gt;&lt;/span&gt;tur&lt;span class="_ _7"&gt;&lt;/span&gt;es a&lt;span class="_ _7"&gt;&lt;/span&gt;nd a&lt;span class="_ _7"&gt;&lt;/span&gt;s&lt;span class="_ _7"&gt;&lt;/span&gt;so&lt;span class="_ _7"&gt;&lt;/span&gt;ci&lt;span class="_ _7"&gt;&lt;/span&gt;ate&lt;span class="_ _7"&gt;&lt;/span&gt;d co&lt;span class="_ _7"&gt;&lt;/span&gt;mp&lt;span class="_ _7"&gt;&lt;/span&gt;ani&lt;span class="_ _7"&gt;&lt;/span&gt;es a&lt;span class="_ _7"&gt;&lt;/span&gt;re &lt;/span&gt;&lt;span style="display:inherit;clear:left;"&gt; &lt;span class="_ _1"&gt;&lt;/span&gt;r&lt;span class="_ _7"&gt;&lt;/span&gt;ec&lt;span class="_ _7"&gt;&lt;/span&gt;ogn&lt;span class="_ _7"&gt;&lt;/span&gt;is&lt;span class="_ _7"&gt;&lt;/span&gt;e&lt;span class="_ _7"&gt;&lt;/span&gt;d in ac&lt;span class="_ _7"&gt;&lt;/span&gt;co&lt;span class="_ _7"&gt;&lt;/span&gt;rd&lt;span class="_ _7"&gt;&lt;/span&gt;anc&lt;span class="_ _7"&gt;&lt;/span&gt;e wi&lt;span class="_ _7"&gt;&lt;/span&gt;th th&lt;span class="_ _7"&gt;&lt;/span&gt;e eq&lt;span class="_ _7"&gt;&lt;/span&gt;ui&lt;span class="_ _7"&gt;&lt;/span&gt;t&lt;span class="_ _7"&gt;&lt;/span&gt;y met&lt;span class="_ _7"&gt;&lt;/span&gt;ho&lt;span class="_ _7"&gt;&lt;/span&gt;d. W&lt;span class="_ _7"&gt;&lt;/span&gt;he&lt;span class="_ _7"&gt;&lt;/span&gt;n Volvo Ca&lt;span class="_ _7"&gt;&lt;/span&gt;r &lt;/span&gt;&lt;span style="display:inherit;clear:left;"&gt;Gro&lt;span class="_ _7"&gt;&lt;/span&gt;up’s sh&lt;span class="_ _7"&gt;&lt;/span&gt;ar&lt;span class="_ _7"&gt;&lt;/span&gt;e of lo&lt;span class="_ _7"&gt;&lt;/span&gt;s&lt;span class="_ _7"&gt;&lt;/span&gt;s&lt;span class="_ _7"&gt;&lt;/span&gt;es i&lt;span class="_ _7"&gt;&lt;/span&gt;n a jo&lt;span class="_ _7"&gt;&lt;/span&gt;int ve&lt;span class="_ _7"&gt;&lt;/span&gt;ntu&lt;span class="_ _7"&gt;&lt;/span&gt;re o&lt;span class="_ _7"&gt;&lt;/span&gt;r as&lt;span class="_ _7"&gt;&lt;/span&gt;s&lt;span class="_ _7"&gt;&lt;/span&gt;oc&lt;span class="_ _7"&gt;&lt;/span&gt;iat&lt;span class="_ _7"&gt;&lt;/span&gt;e equ&lt;span class="_ _7"&gt;&lt;/span&gt;al&lt;span class="_ _7"&gt;&lt;/span&gt;s o&lt;span class="_ _7"&gt;&lt;/span&gt;r &lt;/span&gt;&lt;span style="display:inherit;clear:left;"&gt;exce&lt;span class="_ _7"&gt;&lt;/span&gt;ed&lt;span class="_ _7"&gt;&lt;/span&gt;s it&lt;span class="_ _7"&gt;&lt;/span&gt;s int&lt;span class="_ _7"&gt;&lt;/span&gt;ere&lt;span class="_ _7"&gt;&lt;/span&gt;s&lt;span class="_ _7"&gt;&lt;/span&gt;t in t&lt;span class="_ _7"&gt;&lt;/span&gt;he jo&lt;span class="_ _7"&gt;&lt;/span&gt;in&lt;span class="_ _7"&gt;&lt;/span&gt;t vent&lt;span class="_ _7"&gt;&lt;/span&gt;ur&lt;span class="_ _7"&gt;&lt;/span&gt;e or as&lt;span class="_ _7"&gt;&lt;/span&gt;s&lt;span class="_ _7"&gt;&lt;/span&gt;o&lt;span class="_ _7"&gt;&lt;/span&gt;cia&lt;span class="_ _7"&gt;&lt;/span&gt;te, Volvo C&lt;span class="_ _7"&gt;&lt;/span&gt;ar&lt;span class="_ _7"&gt;&lt;/span&gt;s &lt;/span&gt;&lt;span style="display:inherit;clear:left;"&gt;do&lt;span class="_ _7"&gt;&lt;/span&gt;es n&lt;span class="_ _7"&gt;&lt;/span&gt;ot re&lt;span class="_ _7"&gt;&lt;/span&gt;co&lt;span class="_ _7"&gt;&lt;/span&gt;gn&lt;span class="_ _7"&gt;&lt;/span&gt;is&lt;span class="_ _7"&gt;&lt;/span&gt;e f&lt;span class="_ _7"&gt;&lt;/span&gt;ur&lt;span class="_ _7"&gt;&lt;/span&gt;th&lt;span class="_ _7"&gt;&lt;/span&gt;er lo&lt;span class="_ _7"&gt;&lt;/span&gt;s&lt;span class="_ _7"&gt;&lt;/span&gt;s&lt;span class="_ _7"&gt;&lt;/span&gt;es u&lt;span class="_ _7"&gt;&lt;/span&gt;nle&lt;span class="_ _7"&gt;&lt;/span&gt;s&lt;span class="_ _7"&gt;&lt;/span&gt;s i&lt;span class="_ _7"&gt;&lt;/span&gt;t ha&lt;span class="_ _7"&gt;&lt;/span&gt;s a leg&lt;span class="_ _7"&gt;&lt;/span&gt;al o&lt;span class="_ _7"&gt;&lt;/span&gt;r con&lt;span class="_ _7"&gt;&lt;/span&gt;s&lt;span class="_ _7"&gt;&lt;/span&gt;tr&lt;span class="_ _7"&gt;&lt;/span&gt;uc-&lt;/span&gt;&lt;span style="display:inherit;clear:left;"&gt;&lt;span&gt;&lt;span style="display:inherit;clear:left;"&gt;tiv&lt;span class="_ _7"&gt;&lt;/span&gt;e ob&lt;span class="_ _7"&gt;&lt;/span&gt;lig&lt;span class="_ _7"&gt;&lt;/span&gt;ati&lt;span class="_ _7"&gt;&lt;/span&gt;on&lt;span class="_ _7"&gt;&lt;/span&gt;s in re&lt;span class="_ _7"&gt;&lt;/span&gt;l&lt;span class="_ _7"&gt;&lt;/span&gt;ati&lt;span class="_ _7"&gt;&lt;/span&gt;on to th&lt;span class="_ _7"&gt;&lt;/span&gt;e jo&lt;span class="_ _7"&gt;&lt;/span&gt;int v&lt;span class="_ _7"&gt;&lt;/span&gt;ent&lt;span class="_ _7"&gt;&lt;/span&gt;ure o&lt;span class="_ _7"&gt;&lt;/span&gt;r as&lt;span class="_ _7"&gt;&lt;/span&gt;s&lt;span class="_ _7"&gt;&lt;/span&gt;o&lt;span class="_ _7"&gt;&lt;/span&gt;cia&lt;span class="_ _7"&gt;&lt;/span&gt;te.&lt;/span&gt;&lt;/span&gt; &lt;/span&gt;&lt;span style="display:inherit;clear:left;"&gt;CRITICAL A&lt;span class="_ _2"&gt;&lt;/span&gt;CC&lt;span class="_ _7"&gt;&lt;/span&gt;OUNTING ESTIMA&lt;span class="_ _6"&gt;&lt;/span&gt;TES AND JUDGEMENTS&lt;/span&gt;&lt;span style="display:inherit;clear:left;"&gt;A critical&lt;span class="_ _2"&gt;&lt;/span&gt; judgement in r&lt;span class="_ _2"&gt;&lt;/span&gt;el&lt;span class="_ _7"&gt;&lt;/span&gt;ation t&lt;span class="_ _2"&gt;&lt;/span&gt;o joint ven&lt;span class="_ _2"&gt;&lt;/span&gt;tures is whether joi&lt;span class="_ _2"&gt;&lt;/span&gt;nt &lt;/span&gt;&lt;span style="display:inherit;clear:left;"&gt;con&lt;span class="_ _7"&gt;&lt;/span&gt;tr&lt;span class="_ _7"&gt;&lt;/span&gt;ol ex&lt;span class="_ _7"&gt;&lt;/span&gt;is&lt;span class="_ _7"&gt;&lt;/span&gt;t&lt;span class="_ _7"&gt;&lt;/span&gt;s whe&lt;span class="_ _7"&gt;&lt;/span&gt;n Volvo C&lt;span class="_ _7"&gt;&lt;/span&gt;ar Gr&lt;span class="_ _7"&gt;&lt;/span&gt;ou&lt;span class="_ _7"&gt;&lt;/span&gt;p ha&lt;span class="_ _7"&gt;&lt;/span&gt;s a sh&lt;span class="_ _7"&gt;&lt;/span&gt;are&lt;span class="_ _7"&gt;&lt;/span&gt;ho&lt;span class="_ _7"&gt;&lt;/span&gt;ldi&lt;span class="_ _7"&gt;&lt;/span&gt;ng of g&lt;span class="_ _7"&gt;&lt;/span&gt;re&lt;span class="_ _7"&gt;&lt;/span&gt;ate&lt;span class="_ _7"&gt;&lt;/span&gt;r &lt;/span&gt;&lt;span style="display:inherit;clear:left;"&gt;tha&lt;span class="_ _7"&gt;&lt;/span&gt;n 50 pe&lt;span class="_ _7"&gt;&lt;/span&gt;r ce&lt;span class="_ _7"&gt;&lt;/span&gt;nt b&lt;span class="_ _7"&gt;&lt;/span&gt;ut b&lt;span class="_ _7"&gt;&lt;/span&gt;as&lt;span class="_ _7"&gt;&lt;/span&gt;ed o&lt;span class="_ _7"&gt;&lt;/span&gt;n oth&lt;span class="_ _7"&gt;&lt;/span&gt;er f&lt;span class="_ _7"&gt;&lt;/span&gt;ac&lt;span class="_ _7"&gt;&lt;/span&gt;ts a&lt;span class="_ _7"&gt;&lt;/span&gt;nd ci&lt;span class="_ _7"&gt;&lt;/span&gt;rcu&lt;span class="_ _7"&gt;&lt;/span&gt;ms&lt;span class="_ _7"&gt;&lt;/span&gt;t&lt;span class="_ _7"&gt;&lt;/span&gt;an&lt;span class="_ _7"&gt;&lt;/span&gt;ce&lt;span class="_ _7"&gt;&lt;/span&gt;s ha&lt;span class="_ _7"&gt;&lt;/span&gt;s &lt;/span&gt;&lt;span style="display:inherit;clear:left;"&gt;joi&lt;span class="_ _7"&gt;&lt;/span&gt;nt c&lt;span class="_ _7"&gt;&lt;/span&gt;ont&lt;span class="_ _7"&gt;&lt;/span&gt;ro&lt;span class="_ _7"&gt;&lt;/span&gt;l over t&lt;span class="_ _7"&gt;&lt;/span&gt;he in&lt;span class="_ _7"&gt;&lt;/span&gt;ves&lt;span class="_ _7"&gt;&lt;/span&gt;te&lt;span class="_ _7"&gt;&lt;/span&gt;e. T&lt;span class="_ _7"&gt;&lt;/span&gt;hi&lt;span class="_ _7"&gt;&lt;/span&gt;s co&lt;span class="_ _7"&gt;&lt;/span&gt;uld b&lt;span class="_ _7"&gt;&lt;/span&gt;e ba&lt;span class="_ _7"&gt;&lt;/span&gt;se&lt;span class="_ _7"&gt;&lt;/span&gt;d on b&lt;span class="_ _7"&gt;&lt;/span&gt;ut n&lt;span class="_ _7"&gt;&lt;/span&gt;ot li&lt;span class="_ _7"&gt;&lt;/span&gt;m-&lt;/span&gt;&lt;span style="display:inherit;clear:left;"&gt;ite&lt;span class="_ _7"&gt;&lt;/span&gt;d to th&lt;span class="_ _7"&gt;&lt;/span&gt;e gove&lt;span class="_ _7"&gt;&lt;/span&gt;rn&lt;span class="_ _7"&gt;&lt;/span&gt;an&lt;span class="_ _7"&gt;&lt;/span&gt;ce s&lt;span class="_ _7"&gt;&lt;/span&gt;tr&lt;span class="_ _7"&gt;&lt;/span&gt;uc&lt;span class="_ _7"&gt;&lt;/span&gt;tur&lt;span class="_ _7"&gt;&lt;/span&gt;e of th&lt;span class="_ _7"&gt;&lt;/span&gt;e jo&lt;span class="_ _7"&gt;&lt;/span&gt;int v&lt;span class="_ _7"&gt;&lt;/span&gt;ent&lt;span class="_ _7"&gt;&lt;/span&gt;ur&lt;span class="_ _7"&gt;&lt;/span&gt;e, an&lt;span class="_ _7"&gt;&lt;/span&gt;d pr&lt;span class="_ _7"&gt;&lt;/span&gt;oc&lt;span class="_ _7"&gt;&lt;/span&gt;e-&lt;/span&gt;&lt;span style="display:inherit;clear:left;"&gt;dur&lt;span class="_ _7"&gt;&lt;/span&gt;es f&lt;span class="_ _7"&gt;&lt;/span&gt;or a&lt;span class="_ _7"&gt;&lt;/span&gt;pp&lt;span class="_ _7"&gt;&lt;/span&gt;oin&lt;span class="_ _7"&gt;&lt;/span&gt;tme&lt;span class="_ _7"&gt;&lt;/span&gt;nt o&lt;span class="_ _7"&gt;&lt;/span&gt;f key ma&lt;span class="_ _7"&gt;&lt;/span&gt;nag&lt;span class="_ _7"&gt;&lt;/span&gt;em&lt;span class="_ _7"&gt;&lt;/span&gt;ent a&lt;span class="_ _7"&gt;&lt;/span&gt;nd d&lt;span class="_ _7"&gt;&lt;/span&gt;is&lt;span class="_ _7"&gt;&lt;/span&gt;pu&lt;span class="_ _7"&gt;&lt;/span&gt;te re&lt;span class="_ _7"&gt;&lt;/span&gt;s&lt;span class="_ _7"&gt;&lt;/span&gt;olu&lt;span class="_ _7"&gt;&lt;/span&gt;tio&lt;span class="_ _7"&gt;&lt;/span&gt;n. &lt;/span&gt;&lt;span style="display:inherit;clear:left;"&gt;Th&lt;span class="_ _7"&gt;&lt;/span&gt;e jud&lt;span class="_ _7"&gt;&lt;/span&gt;gem&lt;span class="_ _7"&gt;&lt;/span&gt;en&lt;span class="_ _7"&gt;&lt;/span&gt;t tha&lt;span class="_ _7"&gt;&lt;/span&gt;t is m&lt;span class="_ _7"&gt;&lt;/span&gt;ad&lt;span class="_ _7"&gt;&lt;/span&gt;e is w&lt;span class="_ _7"&gt;&lt;/span&gt;het&lt;span class="_ _7"&gt;&lt;/span&gt;he&lt;span class="_ _7"&gt;&lt;/span&gt;r Volvo Ca&lt;span class="_ _7"&gt;&lt;/span&gt;r Gro&lt;span class="_ _7"&gt;&lt;/span&gt;up h&lt;span class="_ _7"&gt;&lt;/span&gt;as th&lt;span class="_ _7"&gt;&lt;/span&gt;e &lt;/span&gt;&lt;span style="display:inherit;clear:left;"&gt;pow&lt;span class="_ _7"&gt;&lt;/span&gt;er to d&lt;span class="_ _7"&gt;&lt;/span&gt;ire&lt;span class="_ _7"&gt;&lt;/span&gt;ct t&lt;span class="_ _7"&gt;&lt;/span&gt;he a&lt;span class="_ _7"&gt;&lt;/span&gt;cti&lt;span class="_ _7"&gt;&lt;/span&gt;vi&lt;span class="_ _7"&gt;&lt;/span&gt;ti&lt;span class="_ _7"&gt;&lt;/span&gt;es t&lt;span class="_ _7"&gt;&lt;/span&gt;hat s&lt;span class="_ _7"&gt;&lt;/span&gt;ig&lt;span class="_ _7"&gt;&lt;/span&gt;ni&lt;span class="_ _7"&gt;&lt;/span&gt;fi&lt;span class="_ _7"&gt;&lt;/span&gt;ca&lt;span class="_ _7"&gt;&lt;/span&gt;ntly a&lt;span class="_ _7"&gt;&lt;/span&gt;f&lt;span class="_ _7"&gt;&lt;/span&gt;f&lt;span class="_ _7"&gt;&lt;/span&gt;ec&lt;span class="_ _7"&gt;&lt;/span&gt;t the r&lt;span class="_ _7"&gt;&lt;/span&gt;etu&lt;span class="_ _7"&gt;&lt;/span&gt;rn&lt;span class="_ _7"&gt;&lt;/span&gt;s of &lt;/span&gt;&lt;span style="display:inherit;clear:left;"&gt;the j&lt;span class="_ _7"&gt;&lt;/span&gt;oi&lt;span class="_ _7"&gt;&lt;/span&gt;nt ven&lt;span class="_ _7"&gt;&lt;/span&gt;tur&lt;span class="_ _7"&gt;&lt;/span&gt;e, h&lt;span class="_ _7"&gt;&lt;/span&gt;as a r&lt;span class="_ _7"&gt;&lt;/span&gt;igh&lt;span class="_ _7"&gt;&lt;/span&gt;t to va&lt;span class="_ _7"&gt;&lt;/span&gt;ri&lt;span class="_ _7"&gt;&lt;/span&gt;abl&lt;span class="_ _7"&gt;&lt;/span&gt;e ret&lt;span class="_ _7"&gt;&lt;/span&gt;ur&lt;span class="_ _7"&gt;&lt;/span&gt;ns f&lt;span class="_ _7"&gt;&lt;/span&gt;ro&lt;span class="_ _7"&gt;&lt;/span&gt;m the j&lt;span class="_ _7"&gt;&lt;/span&gt;oi&lt;span class="_ _7"&gt;&lt;/span&gt;nt ve&lt;span class="_ _7"&gt;&lt;/span&gt;n-&lt;/span&gt;&lt;span style="display:inherit;clear:left;"&gt;tur&lt;span class="_ _7"&gt;&lt;/span&gt;e, an&lt;span class="_ _7"&gt;&lt;/span&gt;d th&lt;span class="_ _7"&gt;&lt;/span&gt;e abi&lt;span class="_ _7"&gt;&lt;/span&gt;li&lt;span class="_ _7"&gt;&lt;/span&gt;t&lt;span class="_ _7"&gt;&lt;/span&gt;y to exer&lt;span class="_ _7"&gt;&lt;/span&gt;cis&lt;span class="_ _7"&gt;&lt;/span&gt;e i&lt;span class="_ _7"&gt;&lt;/span&gt;ts p&lt;span class="_ _7"&gt;&lt;/span&gt;owe&lt;span class="_ _7"&gt;&lt;/span&gt;r ove&lt;span class="_ _7"&gt;&lt;/span&gt;r the j&lt;span class="_ _7"&gt;&lt;/span&gt;oin&lt;span class="_ _7"&gt;&lt;/span&gt;t ven&lt;span class="_ _7"&gt;&lt;/span&gt;tur&lt;span class="_ _7"&gt;&lt;/span&gt;e to &lt;/span&gt;&lt;span style="display:inherit;clear:left;"&gt;af&lt;span class="_ _7"&gt;&lt;/span&gt;f&lt;span class="_ _7"&gt;&lt;/span&gt;ec&lt;span class="_ _7"&gt;&lt;/span&gt;t th&lt;span class="_ _7"&gt;&lt;/span&gt;e amo&lt;span class="_ _7"&gt;&lt;/span&gt;un&lt;span class="_ _7"&gt;&lt;/span&gt;t of it&lt;span class="_ _7"&gt;&lt;/span&gt;s re&lt;span class="_ _7"&gt;&lt;/span&gt;tu&lt;span class="_ _7"&gt;&lt;/span&gt;rn&lt;span class="_ _7"&gt;&lt;/span&gt;s. Eve&lt;span class="_ _7"&gt;&lt;/span&gt;n wi&lt;span class="_ _7"&gt;&lt;/span&gt;th a g&lt;span class="_ _7"&gt;&lt;/span&gt;re&lt;span class="_ _7"&gt;&lt;/span&gt;ater t&lt;span class="_ _7"&gt;&lt;/span&gt;ha&lt;span class="_ _7"&gt;&lt;/span&gt;n 50 pe&lt;span class="_ _7"&gt;&lt;/span&gt;r ce&lt;span class="_ _7"&gt;&lt;/span&gt;nt &lt;/span&gt;&lt;span style="display:inherit;clear:left;"&gt;own&lt;span class="_ _7"&gt;&lt;/span&gt;er&lt;span class="_ _7"&gt;&lt;/span&gt;s&lt;span class="_ _7"&gt;&lt;/span&gt;hip i&lt;span class="_ _7"&gt;&lt;/span&gt;n an inv&lt;span class="_ _7"&gt;&lt;/span&gt;es&lt;span class="_ _7"&gt;&lt;/span&gt;te&lt;span class="_ _7"&gt;&lt;/span&gt;e, i&lt;span class="_ _7"&gt;&lt;/span&gt;f Volvo Ca&lt;span class="_ _7"&gt;&lt;/span&gt;r Gr&lt;span class="_ _7"&gt;&lt;/span&gt;oup c&lt;span class="_ _7"&gt;&lt;/span&gt;an&lt;span class="_ _7"&gt;&lt;/span&gt;no&lt;span class="_ _7"&gt;&lt;/span&gt;t dir&lt;span class="_ _7"&gt;&lt;/span&gt;ec&lt;span class="_ _7"&gt;&lt;/span&gt;t th&lt;span class="_ _7"&gt;&lt;/span&gt;e act&lt;span class="_ _7"&gt;&lt;/span&gt;iv&lt;span class="_ _7"&gt;&lt;/span&gt;i&lt;span class="ls3"&gt;-&lt;/span&gt;&lt;/span&gt;&lt;span style="display:inherit;clear:left;"&gt;tie&lt;span class="_ _7"&gt;&lt;/span&gt;s of t&lt;span class="_ _7"&gt;&lt;/span&gt;he j&lt;span class="_ _7"&gt;&lt;/span&gt;oin&lt;span class="_ _7"&gt;&lt;/span&gt;t ven&lt;span class="_ _7"&gt;&lt;/span&gt;tur&lt;span class="_ _7"&gt;&lt;/span&gt;e to si&lt;span class="_ _7"&gt;&lt;/span&gt;gn&lt;span class="_ _7"&gt;&lt;/span&gt;if&lt;span class="_ _7"&gt;&lt;/span&gt;ic&lt;span class="_ _7"&gt;&lt;/span&gt;an&lt;span class="_ _7"&gt;&lt;/span&gt;tly af&lt;span class="_ _9"&gt;&lt;/span&gt;fec&lt;span class="_ _7"&gt;&lt;/span&gt;t it&lt;span class="_ _7"&gt;&lt;/span&gt;s re&lt;span class="_ _7"&gt;&lt;/span&gt;tu&lt;span class="_ _7"&gt;&lt;/span&gt;rn&lt;span class="_ _7"&gt;&lt;/span&gt;s fr&lt;span class="_ _7"&gt;&lt;/span&gt;om th&lt;span class="_ _7"&gt;&lt;/span&gt;e jo&lt;span class="_ _7"&gt;&lt;/span&gt;int&lt;/span&gt;&lt;span style="display:inherit;clear:left;"&gt;ven&lt;span class="_ _7"&gt;&lt;/span&gt;tur&lt;span class="_ _7"&gt;&lt;/span&gt;e, no&lt;span class="_ _7"&gt;&lt;/span&gt;r exer&lt;span class="_ _7"&gt;&lt;/span&gt;ci&lt;span class="_ _7"&gt;&lt;/span&gt;se i&lt;span class="_ _7"&gt;&lt;/span&gt;ts p&lt;span class="_ _7"&gt;&lt;/span&gt;owe&lt;span class="_ _7"&gt;&lt;/span&gt;r ove&lt;span class="_ _7"&gt;&lt;/span&gt;r the j&lt;span class="_ _7"&gt;&lt;/span&gt;oi&lt;span class="_ _7"&gt;&lt;/span&gt;nt ve&lt;span class="_ _7"&gt;&lt;/span&gt;ntu&lt;span class="_ _7"&gt;&lt;/span&gt;re. Volvo C&lt;span class="_ _7"&gt;&lt;/span&gt;ar G&lt;span class="_ _7"&gt;&lt;/span&gt;ro&lt;span class="_ _7"&gt;&lt;/span&gt;up&lt;/span&gt;&lt;span style="display:inherit;clear:left;"&gt;re&lt;span class="_ _7"&gt;&lt;/span&gt;cog&lt;span class="_ _7"&gt;&lt;/span&gt;ni&lt;span class="_ _7"&gt;&lt;/span&gt;s&lt;span class="_ _7"&gt;&lt;/span&gt;es Volvo C&lt;span class="_ _7"&gt;&lt;/span&gt;ar G&lt;span class="_ _7"&gt;&lt;/span&gt;rou&lt;span class="_ _7"&gt;&lt;/span&gt;p Fi&lt;span class="_ _7"&gt;&lt;/span&gt;nan&lt;span class="_ _7"&gt;&lt;/span&gt;ci&lt;span class="_ _7"&gt;&lt;/span&gt;al Le&lt;span class="_ _7"&gt;&lt;/span&gt;as&lt;span class="_ _7"&gt;&lt;/span&gt;ing (Sh&lt;span class="_ _7"&gt;&lt;/span&gt;an&lt;span class="_ _7"&gt;&lt;/span&gt;gh&lt;span class="_ _7"&gt;&lt;/span&gt;ai) C&lt;span class="_ _7"&gt;&lt;/span&gt;o.&lt;span class="_ _7"&gt;&lt;/span&gt;, Ltd as a&lt;span class="_ _7"&gt;&lt;/span&gt; &lt;/span&gt;&lt;span style="display:inherit;clear:left;"&gt;joi&lt;span class="_ _7"&gt;&lt;/span&gt;nt ve&lt;span class="_ _7"&gt;&lt;/span&gt;ntu&lt;span class="_ _7"&gt;&lt;/span&gt;re w&lt;span class="_ _7"&gt;&lt;/span&gt;ith a 55 p&lt;span class="_ _7"&gt;&lt;/span&gt;er c&lt;span class="_ _7"&gt;&lt;/span&gt;en&lt;span class="_ _7"&gt;&lt;/span&gt;t sh&lt;span class="_ _7"&gt;&lt;/span&gt;are&lt;span class="_ _7"&gt;&lt;/span&gt;ho&lt;span class="_ _7"&gt;&lt;/span&gt;ldi&lt;span class="_ _7"&gt;&lt;/span&gt;ng an&lt;span class="_ _7"&gt;&lt;/span&gt;d vot&lt;span class="_ _7"&gt;&lt;/span&gt;ing i&lt;span class="_ _7"&gt;&lt;/span&gt;nte&lt;span class="_ _7"&gt;&lt;/span&gt;re&lt;span class="_ _7"&gt;&lt;/span&gt;st&lt;span class="_ _7"&gt;&lt;/span&gt; &lt;/span&gt;&lt;span style="display:inherit;clear:left;"&gt;because it has joint&lt;span class="_ _2"&gt;&lt;/span&gt; decision-&lt;span class="_ _2"&gt;&lt;/span&gt;making power ov&lt;span class="_ _2"&gt;&lt;/span&gt;er the operations.&lt;/span&gt;&lt;span style="display:inherit;clear:left;"&gt;A cri&lt;span class="_ _7"&gt;&lt;/span&gt;tic&lt;span class="_ _7"&gt;&lt;/span&gt;a&lt;span class="_ _7"&gt;&lt;/span&gt;l jud&lt;span class="_ _7"&gt;&lt;/span&gt;gem&lt;span class="_ _7"&gt;&lt;/span&gt;en&lt;span class="_ _7"&gt;&lt;/span&gt;t in re&lt;span class="_ _7"&gt;&lt;/span&gt;l&lt;span class="_ _7"&gt;&lt;/span&gt;ati&lt;span class="_ _7"&gt;&lt;/span&gt;on to a&lt;span class="_ _7"&gt;&lt;/span&gt;s&lt;span class="_ _7"&gt;&lt;/span&gt;so&lt;span class="_ _7"&gt;&lt;/span&gt;ci&lt;span class="_ _7"&gt;&lt;/span&gt;ate&lt;span class="_ _7"&gt;&lt;/span&gt;s is w&lt;span class="_ _7"&gt;&lt;/span&gt;he&lt;span class="_ _7"&gt;&lt;/span&gt;the&lt;span class="_ _7"&gt;&lt;/span&gt;r sig&lt;span class="_ _7"&gt;&lt;/span&gt;ni&lt;span class="_ _7"&gt;&lt;/span&gt;f&lt;span class="_ _7"&gt;&lt;/span&gt;i-&lt;/span&gt;&lt;span style="display:inherit;clear:left;"&gt;ca&lt;span class="_ _7"&gt;&lt;/span&gt;nt in&lt;span class="_ _7"&gt;&lt;/span&gt;fl&lt;span class="_ _7"&gt;&lt;/span&gt;uen&lt;span class="_ _7"&gt;&lt;/span&gt;ce ex&lt;span class="_ _7"&gt;&lt;/span&gt;is&lt;span class="_ _7"&gt;&lt;/span&gt;t&lt;span class="_ _7"&gt;&lt;/span&gt;s wh&lt;span class="_ _7"&gt;&lt;/span&gt;er&lt;span class="_ _7"&gt;&lt;/span&gt;e Volvo Ca&lt;span class="_ _7"&gt;&lt;/span&gt;r Gro&lt;span class="_ _7"&gt;&lt;/span&gt;up h&lt;span class="_ _7"&gt;&lt;/span&gt;as vo&lt;span class="_ _7"&gt;&lt;/span&gt;tin&lt;span class="_ _7"&gt;&lt;/span&gt;g pow&lt;span class="_ _7"&gt;&lt;/span&gt;er o&lt;span class="_ _7"&gt;&lt;/span&gt;f &lt;/span&gt;&lt;span style="display:inherit;clear:left;"&gt;le&lt;span class="_ _7"&gt;&lt;/span&gt;s&lt;span class="_ _7"&gt;&lt;/span&gt;s tha&lt;span class="_ _7"&gt;&lt;/span&gt;n 20 per c&lt;span class="_ _7"&gt;&lt;/span&gt;en&lt;span class="_ _7"&gt;&lt;/span&gt;t bu&lt;span class="_ _7"&gt;&lt;/span&gt;t ba&lt;span class="_ _7"&gt;&lt;/span&gt;se&lt;span class="_ _7"&gt;&lt;/span&gt;d on o&lt;span class="_ _7"&gt;&lt;/span&gt;the&lt;span class="_ _7"&gt;&lt;/span&gt;r fa&lt;span class="_ _7"&gt;&lt;/span&gt;ct&lt;span class="_ _7"&gt;&lt;/span&gt;s an&lt;span class="_ _7"&gt;&lt;/span&gt;d cir&lt;span class="_ _7"&gt;&lt;/span&gt;cum&lt;span class="_ _7"&gt;&lt;/span&gt;s&lt;span class="_ _7"&gt;&lt;/span&gt;ta&lt;span class="_ _7"&gt;&lt;/span&gt;nc&lt;span class="_ _7"&gt;&lt;/span&gt;es &lt;/span&gt;&lt;span style="display:inherit;clear:left;"&gt;co&lt;span class="_ _7"&gt;&lt;/span&gt;uld h&lt;span class="_ _7"&gt;&lt;/span&gt;ave s&lt;span class="_ _7"&gt;&lt;/span&gt;ign&lt;span class="_ _7"&gt;&lt;/span&gt;if&lt;span class="_ _7"&gt;&lt;/span&gt;ic&lt;span class="_ _7"&gt;&lt;/span&gt;an&lt;span class="_ _7"&gt;&lt;/span&gt;t in&lt;span class="_ _7"&gt;&lt;/span&gt;flu&lt;span class="_ _7"&gt;&lt;/span&gt;en&lt;span class="_ _7"&gt;&lt;/span&gt;ce ov&lt;span class="_ _7"&gt;&lt;/span&gt;er a co&lt;span class="_ _7"&gt;&lt;/span&gt;mp&lt;span class="_ _7"&gt;&lt;/span&gt;any. Thi&lt;span class="_ _7"&gt;&lt;/span&gt;s co&lt;span class="_ _7"&gt;&lt;/span&gt;uld b&lt;span class="_ _7"&gt;&lt;/span&gt;e &lt;/span&gt;&lt;span style="display:inherit;clear:left;"&gt;ba&lt;span class="_ _7"&gt;&lt;/span&gt;se&lt;span class="_ _7"&gt;&lt;/span&gt;d on t&lt;span class="_ _7"&gt;&lt;/span&gt;he c&lt;span class="_ _7"&gt;&lt;/span&gt;onte&lt;span class="_ _7"&gt;&lt;/span&gt;nt o&lt;span class="_ _7"&gt;&lt;/span&gt;f a sh&lt;span class="_ _7"&gt;&lt;/span&gt;are&lt;span class="_ _7"&gt;&lt;/span&gt;ho&lt;span class="_ _7"&gt;&lt;/span&gt;ld&lt;span class="_ _7"&gt;&lt;/span&gt;er ag&lt;span class="_ _7"&gt;&lt;/span&gt;re&lt;span class="_ _7"&gt;&lt;/span&gt;em&lt;span class="_ _7"&gt;&lt;/span&gt;ent&lt;span class="_ _7"&gt;&lt;/span&gt;, ev&lt;span class="_ _7"&gt;&lt;/span&gt;alu&lt;span class="_ _7"&gt;&lt;/span&gt;ati&lt;span class="_ _7"&gt;&lt;/span&gt;on o&lt;span class="_ _7"&gt;&lt;/span&gt;f the &lt;/span&gt;&lt;span style="display:inherit;clear:left;"&gt;company’&lt;span class="_ _2"&gt;&lt;/span&gt;s financing structure&lt;span class="_ _2"&gt;&lt;/span&gt; and board of directions&lt;span class="_ _2"&gt;&lt;/span&gt; composition, &lt;/span&gt;&lt;span style="display:inherit;clear:left;"&gt;or ot&lt;span class="_ _7"&gt;&lt;/span&gt;he&lt;span class="_ _7"&gt;&lt;/span&gt;r mar&lt;span class="_ _7"&gt;&lt;/span&gt;ket&lt;span class="_ _2"&gt;&lt;/span&gt;-b&lt;span class="_ _7"&gt;&lt;/span&gt;as&lt;span class="_ _7"&gt;&lt;/span&gt;ed a&lt;span class="_ _7"&gt;&lt;/span&gt;s&lt;span class="_ _7"&gt;&lt;/span&gt;su&lt;span class="_ _7"&gt;&lt;/span&gt;mpt&lt;span class="_ _7"&gt;&lt;/span&gt;io&lt;span class="_ _7"&gt;&lt;/span&gt;ns an&lt;span class="_ _7"&gt;&lt;/span&gt;d re&lt;span class="_ _7"&gt;&lt;/span&gt;l&lt;span class="_ _7"&gt;&lt;/span&gt;ati&lt;span class="_ _7"&gt;&lt;/span&gt;on&lt;span class="_ _7"&gt;&lt;/span&gt;shi&lt;span class="_ _7"&gt;&lt;/span&gt;p-ba&lt;span class="_ _7"&gt;&lt;/span&gt;se&lt;span class="_ _7"&gt;&lt;/span&gt;d fa&lt;span class="_ _7"&gt;&lt;/span&gt;ct&lt;span class="_ _7"&gt;&lt;/span&gt;s&lt;span class="_ _7"&gt;&lt;/span&gt;. &lt;/span&gt;&lt;span style="display:inherit;clear:left;"&gt;Volvo Ca&lt;span class="_ _7"&gt;&lt;/span&gt;r Gro&lt;span class="_ _7"&gt;&lt;/span&gt;up r&lt;span class="_ _7"&gt;&lt;/span&gt;ec&lt;span class="_ _7"&gt;&lt;/span&gt;og&lt;span class="_ _7"&gt;&lt;/span&gt;nis&lt;span class="_ _7"&gt;&lt;/span&gt;e&lt;span class="_ _7"&gt;&lt;/span&gt;s Po&lt;span class="_ _7"&gt;&lt;/span&gt;le&lt;span class="_ _7"&gt;&lt;/span&gt;st&lt;span class="_ _7"&gt;&lt;/span&gt;ar Au&lt;span class="_ _7"&gt;&lt;/span&gt;tom&lt;span class="_ _7"&gt;&lt;/span&gt;oti&lt;span class="_ _7"&gt;&lt;/span&gt;ve Ho&lt;span class="_ _7"&gt;&lt;/span&gt;ld&lt;span class="_ _7"&gt;&lt;/span&gt;ing UK P&lt;span class="_ _7"&gt;&lt;/span&gt;LC as &lt;/span&gt;&lt;span style="display:inherit;clear:left;"&gt;an as&lt;span class="_ _7"&gt;&lt;/span&gt;s&lt;span class="_ _7"&gt;&lt;/span&gt;o&lt;span class="_ _7"&gt;&lt;/span&gt;cia&lt;span class="_ _7"&gt;&lt;/span&gt;te wi&lt;span class="_ _7"&gt;&lt;/span&gt;th a 13.7 (1&lt;span class="_ _2"&gt;&lt;/span&gt;8&lt;span class="_ _7"&gt;&lt;/span&gt;.0) per c&lt;span class="_ _7"&gt;&lt;/span&gt;en&lt;span class="_ _7"&gt;&lt;/span&gt;t sh&lt;span class="_ _7"&gt;&lt;/span&gt;are&lt;span class="_ _7"&gt;&lt;/span&gt;ho&lt;span class="_ _7"&gt;&lt;/span&gt;ldi&lt;span class="_ _7"&gt;&lt;/span&gt;ng an&lt;span class="_ _7"&gt;&lt;/span&gt;d 12.5 (14.&lt;span class="_ _7"&gt;&lt;/span&gt;9) &lt;/span&gt;&lt;span style="display:inherit;clear:left;"&gt;pe&lt;span class="_ _7"&gt;&lt;/span&gt;r cen&lt;span class="_ _7"&gt;&lt;/span&gt;t of vo&lt;span class="_ _7"&gt;&lt;/span&gt;tin&lt;span class="_ _7"&gt;&lt;/span&gt;g pow&lt;span class="_ _7"&gt;&lt;/span&gt;er, and re&lt;span class="_ _7"&gt;&lt;/span&gt;ta&lt;span class="_ _7"&gt;&lt;/span&gt;ins s&lt;span class="_ _7"&gt;&lt;/span&gt;ig&lt;span class="_ _7"&gt;&lt;/span&gt;ni&lt;span class="_ _7"&gt;&lt;/span&gt;fi&lt;span class="_ _7"&gt;&lt;/span&gt;c&lt;span class="_ _7"&gt;&lt;/span&gt;ant i&lt;span class="_ _7"&gt;&lt;/span&gt;nf&lt;span class="_ _7"&gt;&lt;/span&gt;lue&lt;span class="_ _7"&gt;&lt;/span&gt;nc&lt;span class="_ _7"&gt;&lt;/span&gt;e in th&lt;span class="_ _7"&gt;&lt;/span&gt;e &lt;/span&gt;&lt;span style="display:inherit;clear:left;"&gt;Polestar Group through its remaining shareholding, board rep&lt;span class="ls3 ws3"&gt;-&lt;/span&gt;&lt;/span&gt;&lt;span style="display:inherit;clear:left;"&gt;resentation, operational collaborations&lt;span class="_ _2"&gt;&lt;/span&gt; and technical reliance.&lt;/span&gt;&lt;span style="display:inherit;clear:left;position:relative;height:67.86328125px;"&gt;&lt;span class="pp-font-color-override-1" style="position: absolute; display: inline-block; left: 263.859px; top: 0.0039062px; width: 68.9941px; white-space: pre; word-spacing: -0.0384px; letter-spacing: 0.0384px; margin-left: 0px; font-size: 9.6px; font-family: ff7f; -webkit-text-stroke: 0.144px rgba(0, 0, 0, 0);"&gt;&lt;span style="display: inline-block;"&gt;2025&lt;/span&gt;&lt;span style="word-spacing: -0.0384px; letter-spacing: 0.0384px; display: inline-block; margin-left: 0px; width: 30.6738px; font-size: 9.6px; font-family: ff7f; -webkit-text-stroke: 0.144px rgba(0, 0, 0, 0);"&gt;&lt;span style="display: inline-block;"&gt; &lt;/span&gt;&lt;/span&gt;&lt;span class="pp-font-color-override-1" style="word-spacing: 0.0576px; letter-spacing: -0.0576px; display: inline-block; margin-left: 0px; font-size: 9.6px; font-family: ff7e; -webkit-text-stroke: 0.144px rgba(0, 0, 0, 0);"&gt;&lt;span style="display: inline-block;"&gt;2024&lt;/span&gt;&lt;/span&gt;&lt;/span&gt;&lt;span class="pp-font-color-override-1" style="position: absolute; display: inline-block; left: 0px; top: 22.6191px; width: 321.094px; white-space: pre; word-spacing: 0px; letter-spacing: 0.0315px; margin-left: 0px; font-size: 10.5px; font-family: ff80; -webkit-text-stroke: 0.1575px rgba(0, 0, 0, 0);"&gt;&lt;span style="display: inline-block;"&gt;Sha&lt;/span&gt;&lt;span style="word-spacing: 0px; letter-spacing: 0.0315px; display: inline-block; margin-left: 0px; width: 0.410156px; font-size: 10.5px; font-family: ff80; -webkit-text-stroke: 0.1575px rgba(0, 0, 0, 0);"&gt;&lt;/span&gt;&lt;span style="display: inline-block;"&gt;re of i&lt;/span&gt;&lt;span style="word-spacing: 0px; letter-spacing: 0.0315px; display: inline-block; margin-left: 0px; width: 0.410156px; font-size: 10.5px; font-family: ff80; -webkit-text-stroke: 0.1575px rgba(0, 0, 0, 0);"&gt;&lt;/span&gt;&lt;span style="display: inline-block;"&gt;nc&lt;/span&gt;&lt;span style="word-spacing: 0px; letter-spacing: 0.0315px; display: inline-block; margin-left: 0px; width: 0.410156px; font-size: 10.5px; font-family: ff80; -webkit-text-stroke: 0.1575px rgba(0, 0, 0, 0);"&gt;&lt;/span&gt;&lt;span style="display: inline-block;"&gt;ome i&lt;/span&gt;&lt;span style="word-spacing: 0px; letter-spacing: 0.0315px; display: inline-block; margin-left: 0px; width: 0.410156px; font-size: 10.5px; font-family: ff80; -webkit-text-stroke: 0.1575px rgba(0, 0, 0, 0);"&gt;&lt;/span&gt;&lt;span style="display: inline-block;"&gt;n joi&lt;/span&gt;&lt;span style="word-spacing: 0px; letter-spacing: 0.0315px; display: inline-block; margin-left: 0px; width: 0.410156px; font-size: 10.5px; font-family: ff80; -webkit-text-stroke: 0.1575px rgba(0, 0, 0, 0);"&gt;&lt;/span&gt;&lt;span style="display: inline-block;"&gt;nt ven&lt;/span&gt;&lt;span style="word-spacing: 0px; letter-spacing: 0.0315px; display: inline-block; margin-left: 0px; width: 0.410156px; font-size: 10.5px; font-family: ff80; -webkit-text-stroke: 0.1575px rgba(0, 0, 0, 0);"&gt;&lt;/span&gt;&lt;span style="display: inline-block;"&gt;ture&lt;/span&gt;&lt;span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109.395px; font-size: 10.5px; font-family: ff80; -webkit-text-stroke: 0.1575px rgba(0, 0, 0, 0);"&gt;&lt;span style="display: inline-block;"&gt; &lt;/span&gt;&lt;/span&gt;&lt;span class="pp-font-color-override-1" style="word-spacing: 0.147px; letter-spacing: -0.147px; display: inline-block; margin-left: 0px; font-size: 10.5px; font-family: ff80; -webkit-text-stroke: 0.1575px rgba(0, 0, 0, 0);"&gt;&lt;span style="display: inline-block;"&gt;597&lt;/span&gt;&lt;span style="word-spacing: 0.147px; letter-spacing: -0.147px; display: inline-block; margin-left: 0px; width: 24.2988px; font-size: 10.5px; font-family: ff80;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ff80; -webkit-text-stroke: 0.1575px rgba(0, 0, 0, 0);"&gt;&lt;span style="display: inline-block;"&gt;–1&lt;/span&gt;&lt;span style="word-spacing: 0.273px; letter-spacing: -0.273px; display: inline-block; margin-left: 0px; width: 0.410156px; font-size: 10.5px; font-family: ff80; -webkit-text-stroke: 0.1575px rgba(0, 0, 0, 0);"&gt;&lt;/span&gt;&lt;span style="display: inline-block;"&gt;,&lt;/span&gt;&lt;span style="word-spacing: 0.273px; letter-spacing: -0.273px; display: inline-block; margin-left: 0px; width: 0.410156px; font-size: 10.5px; font-family: ff80; -webkit-text-stroke: 0.1575px rgba(0, 0, 0, 0);"&gt;&lt;/span&gt;&lt;span style="display: inline-block;"&gt;9&lt;/span&gt;&lt;span style="word-spacing: 0.273px; letter-spacing: -0.273px; display: inline-block; margin-left: 0px; width: 0.410156px; font-size: 10.5px; font-family: ff80; -webkit-text-stroke: 0.1575px rgba(0, 0, 0, 0);"&gt;&lt;/span&gt;&lt;span style="display: inline-block;"&gt;37&lt;/span&gt;&lt;/span&gt;&lt;/span&gt;&lt;/span&gt;&lt;span class="pp-font-color-override-1" style="position: absolute; display: inline-block; left: 0px; top: 40.3223px; width: 319.951px; white-space: pre; word-spacing: 0px; letter-spacing: 0.0315px; margin-left: 0px; font-size: 10.5px; font-family: ff80; -webkit-text-stroke: 0.1575px rgba(0, 0, 0, 0);"&gt;&lt;span style="display: inline-block;"&gt;Sha&lt;/span&gt;&lt;span style="word-spacing: 0px; letter-spacing: 0.0315px; display: inline-block; margin-left: 0px; width: 0.410156px; font-size: 10.5px; font-family: ff80; -webkit-text-stroke: 0.1575px rgba(0, 0, 0, 0);"&gt;&lt;/span&gt;&lt;span style="display: inline-block;"&gt;re of i&lt;/span&gt;&lt;span style="word-spacing: 0px; letter-spacing: 0.0315px; display: inline-block; margin-left: 0px; width: 0.410156px; font-size: 10.5px; font-family: ff80; -webkit-text-stroke: 0.1575px rgba(0, 0, 0, 0);"&gt;&lt;/span&gt;&lt;span style="display: inline-block;"&gt;nc&lt;/span&gt;&lt;span style="word-spacing: 0px; letter-spacing: 0.0315px; display: inline-block; margin-left: 0px; width: 0.410156px; font-size: 10.5px; font-family: ff80; -webkit-text-stroke: 0.1575px rgba(0, 0, 0, 0);"&gt;&lt;/span&gt;&lt;span style="display: inline-block;"&gt;ome i&lt;/span&gt;&lt;span style="word-spacing: 0px; letter-spacing: 0.0315px; display: inline-block; margin-left: 0px; width: 0.410156px; font-size: 10.5px; font-family: ff80; -webkit-text-stroke: 0.1575px rgba(0, 0, 0, 0);"&gt;&lt;/span&gt;&lt;span style="display: inline-block;"&gt;n as&lt;/span&gt;&lt;span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0.410156px; font-size: 10.5px; font-family: ff80; -webkit-text-stroke: 0.1575px rgba(0, 0, 0, 0);"&gt;&lt;/span&gt;&lt;span style="display: inline-block;"&gt;oc&lt;/span&gt;&lt;span style="word-spacing: 0px; letter-spacing: 0.0315px; display: inline-block; margin-left: 0px; width: 0.410156px; font-size: 10.5px; font-family: ff80; -webkit-text-stroke: 0.1575px rgba(0, 0, 0, 0);"&gt;&lt;/span&gt;&lt;span style="display: inline-block;"&gt;iate&lt;/span&gt;&lt;span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130.447px; font-size: 10.5px; font-family: ff80; -webkit-text-stroke: 0.1575px rgba(0, 0, 0, 0);"&gt;&lt;span style="display: inline-block;"&gt; &lt;/span&gt;&lt;/span&gt;&lt;span class="pp-font-color-override-1" style="word-spacing: -0.0315px; letter-spacing: 0.0315px; display: inline-block; margin-left: 0px; font-size: 10.5px; font-family: ff80; -webkit-text-stroke: 0.1575px rgba(0, 0, 0, 0);"&gt;&lt;span style="display: inline-block;"&gt;57&lt;/span&gt;&lt;span style="word-spacing: -0.0315px; letter-spacing: 0.0315px; display: inline-block; margin-left: 0px; width: 22.4355px; font-size: 10.5px; font-family: ff80; -webkit-text-stroke: 0.1575px rgba(0, 0, 0, 0);"&gt;&lt;span style="display: inline-block;"&gt; &lt;/span&gt;&lt;/span&gt;&lt;span class="pp-font-color-override-1" style="word-spacing: 0.273px; letter-spacing: -0.273px; display: inline-block; margin-left: 0px; font-size: 10.5px; font-family: ff80; -webkit-text-stroke: 0.1575px rgba(0, 0, 0, 0);"&gt;&lt;span style="display: inline-block;"&gt;–2&lt;/span&gt;&lt;span style="word-spacing: 0.273px; letter-spacing: -0.273px; display: inline-block; margin-left: 0px; width: 0.410156px; font-size: 10.5px; font-family: ff80; -webkit-text-stroke: 0.1575px rgba(0, 0, 0, 0);"&gt;&lt;/span&gt;&lt;span style="display: inline-block;"&gt;,7&lt;/span&gt;&lt;span style="word-spacing: 0.273px; letter-spacing: -0.273px; display: inline-block; margin-left: 0px; width: 0.410156px; font-size: 10.5px; font-family: ff80; -webkit-text-stroke: 0.1575px rgba(0, 0, 0, 0);"&gt;&lt;/span&gt;&lt;span style="display: inline-block;"&gt;85&lt;/span&gt;&lt;/span&gt;&lt;/span&gt;&lt;/span&gt;&lt;span class="pp-font-color-override-1" style="posit</t>
  </si>
  <si>
    <t>f1__s8__6__105</t>
  </si>
  <si>
    <t>ifrs-full:DisclosureOfJointVenturesExplanatory</t>
  </si>
  <si>
    <t>f1__s8__6__106</t>
  </si>
  <si>
    <t>ifrs-full:DisclosureOfInvestmentsAccountedForUsingEquityMethodExplanatory</t>
  </si>
  <si>
    <t>f1__s8__6__107</t>
  </si>
  <si>
    <t>ifrs-full:DescriptionOfAccountingPolicyForInvestmentInAssociatesAndJointVenturesExplanatory</t>
  </si>
  <si>
    <t>&lt;span style="display:inherit;clear:left;"&gt;ACCOUNTING&lt;span class="_ _2"&gt;&lt;/span&gt; POLICIES&lt;/span&gt;&lt;span style="display:inherit;clear:left;"&gt;Jo&lt;span class="_ _7"&gt;&lt;/span&gt;int ve&lt;span class="_ _7"&gt;&lt;/span&gt;ntu&lt;span class="_ _7"&gt;&lt;/span&gt;re&lt;span class="_ _7"&gt;&lt;/span&gt;s re&lt;span class="_ _7"&gt;&lt;/span&gt;fe&lt;span class="_ _7"&gt;&lt;/span&gt;r to jo&lt;span class="_ _7"&gt;&lt;/span&gt;int a&lt;span class="_ _7"&gt;&lt;/span&gt;rr&lt;span class="_ _7"&gt;&lt;/span&gt;ang&lt;span class="_ _7"&gt;&lt;/span&gt;em&lt;span class="_ _7"&gt;&lt;/span&gt;ent&lt;span class="_ _7"&gt;&lt;/span&gt;s wh&lt;span class="_ _7"&gt;&lt;/span&gt;er&lt;span class="_ _7"&gt;&lt;/span&gt;eby Volvo C&lt;span class="_ _7"&gt;&lt;/span&gt;ar G&lt;span class="_ _7"&gt;&lt;/span&gt;ro&lt;span class="_ _7"&gt;&lt;/span&gt;up &lt;/span&gt;&lt;span style="display:inherit;clear:left;"&gt;toge&lt;span class="_ _7"&gt;&lt;/span&gt;th&lt;span class="_ _7"&gt;&lt;/span&gt;er wi&lt;span class="_ _7"&gt;&lt;/span&gt;th o&lt;span class="_ _7"&gt;&lt;/span&gt;ne or m&lt;span class="_ _7"&gt;&lt;/span&gt;or&lt;span class="_ _7"&gt;&lt;/span&gt;e pa&lt;span class="_ _7"&gt;&lt;/span&gt;r&lt;span class="_ _7"&gt;&lt;/span&gt;tie&lt;span class="_ _7"&gt;&lt;/span&gt;s h&lt;span class="_ _7"&gt;&lt;/span&gt;ave jo&lt;span class="_ _7"&gt;&lt;/span&gt;in&lt;span class="_ _7"&gt;&lt;/span&gt;t con&lt;span class="_ _7"&gt;&lt;/span&gt;tro&lt;span class="_ _7"&gt;&lt;/span&gt;l an&lt;span class="_ _7"&gt;&lt;/span&gt;d ri&lt;span class="_ _7"&gt;&lt;/span&gt;ght&lt;span class="_ _7"&gt;&lt;/span&gt;s to th&lt;span class="_ _7"&gt;&lt;/span&gt;e&lt;/span&gt;&lt;span style="display:inherit;clear:left;"&gt;net a&lt;span class="_ _7"&gt;&lt;/span&gt;s&lt;span class="_ _7"&gt;&lt;/span&gt;s&lt;span class="_ _7"&gt;&lt;/span&gt;et&lt;span class="_ _7"&gt;&lt;/span&gt;s of th&lt;span class="_ _7"&gt;&lt;/span&gt;e ar&lt;span class="_ _7"&gt;&lt;/span&gt;ra&lt;span class="_ _7"&gt;&lt;/span&gt;nge&lt;span class="_ _7"&gt;&lt;/span&gt;me&lt;span class="_ _7"&gt;&lt;/span&gt;nt&lt;span class="_ _7"&gt;&lt;/span&gt;s. &lt;/span&gt;&lt;span style="display:inherit;clear:left;"&gt;As&lt;span class="_ _7"&gt;&lt;/span&gt;s&lt;span class="_ _7"&gt;&lt;/span&gt;oc&lt;span class="_ _7"&gt;&lt;/span&gt;iat&lt;span class="_ _7"&gt;&lt;/span&gt;ed c&lt;span class="_ _7"&gt;&lt;/span&gt;omp&lt;span class="_ _7"&gt;&lt;/span&gt;an&lt;span class="_ _7"&gt;&lt;/span&gt;ie&lt;span class="_ _7"&gt;&lt;/span&gt;s ar&lt;span class="_ _7"&gt;&lt;/span&gt;e com&lt;span class="_ _7"&gt;&lt;/span&gt;pa&lt;span class="_ _7"&gt;&lt;/span&gt;ni&lt;span class="_ _7"&gt;&lt;/span&gt;es i&lt;span class="_ _7"&gt;&lt;/span&gt;n whi&lt;span class="_ _7"&gt;&lt;/span&gt;ch Volvo C&lt;span class="_ _7"&gt;&lt;/span&gt;ar Gr&lt;span class="_ _7"&gt;&lt;/span&gt;ou&lt;span class="_ _7"&gt;&lt;/span&gt;p &lt;/span&gt;&lt;span style="display:inherit;clear:left;"&gt;ha&lt;span class="_ _7"&gt;&lt;/span&gt;s a sig&lt;span class="_ _7"&gt;&lt;/span&gt;ni&lt;span class="_ _7"&gt;&lt;/span&gt;f&lt;span class="_ _7"&gt;&lt;/span&gt;ic&lt;span class="_ _7"&gt;&lt;/span&gt;ant b&lt;span class="_ _7"&gt;&lt;/span&gt;ut n&lt;span class="_ _7"&gt;&lt;/span&gt;ot co&lt;span class="_ _7"&gt;&lt;/span&gt;ntr&lt;span class="_ _7"&gt;&lt;/span&gt;ol&lt;span class="_ _7"&gt;&lt;/span&gt;lin&lt;span class="_ _7"&gt;&lt;/span&gt;g inf&lt;span class="_ _7"&gt;&lt;/span&gt;lu&lt;span class="_ _7"&gt;&lt;/span&gt;en&lt;span class="_ _7"&gt;&lt;/span&gt;ce, w&lt;span class="_ _7"&gt;&lt;/span&gt;hi&lt;span class="_ _7"&gt;&lt;/span&gt;ch ge&lt;span class="_ _7"&gt;&lt;/span&gt;ne&lt;span class="_ _7"&gt;&lt;/span&gt;ra&lt;span class="_ _7"&gt;&lt;/span&gt;lly i&lt;span class="_ _7"&gt;&lt;/span&gt;s &lt;/span&gt;&lt;span style="display:inherit;clear:left;"&gt;wh&lt;span class="_ _7"&gt;&lt;/span&gt;en Volvo C&lt;span class="_ _7"&gt;&lt;/span&gt;ar Gr&lt;span class="_ _7"&gt;&lt;/span&gt;ou&lt;span class="_ _7"&gt;&lt;/span&gt;p ho&lt;span class="_ _7"&gt;&lt;/span&gt;lds b&lt;span class="_ _7"&gt;&lt;/span&gt;et&lt;span class="_ _7"&gt;&lt;/span&gt;we&lt;span class="_ _7"&gt;&lt;/span&gt;en 20 a&lt;span class="_ _7"&gt;&lt;/span&gt;nd 50 p&lt;span class="_ _7"&gt;&lt;/span&gt;er c&lt;span class="_ _7"&gt;&lt;/span&gt;ent o&lt;span class="_ _7"&gt;&lt;/span&gt;f th&lt;span class="_ _7"&gt;&lt;/span&gt;e &lt;/span&gt;&lt;span style="display:inherit;clear:left;"&gt;sh&lt;span class="_ _7"&gt;&lt;/span&gt;are&lt;span class="_ _7"&gt;&lt;/span&gt;s&lt;span class="_ _7"&gt;&lt;/span&gt;, bu&lt;span class="_ _7"&gt;&lt;/span&gt;t it a&lt;span class="_ _7"&gt;&lt;/span&gt;ls&lt;span class="_ _7"&gt;&lt;/span&gt;o in&lt;span class="_ _7"&gt;&lt;/span&gt;clu&lt;span class="_ _7"&gt;&lt;/span&gt;de&lt;span class="_ _7"&gt;&lt;/span&gt;s inv&lt;span class="_ _7"&gt;&lt;/span&gt;es&lt;span class="_ _7"&gt;&lt;/span&gt;tm&lt;span class="_ _7"&gt;&lt;/span&gt;en&lt;span class="_ _7"&gt;&lt;/span&gt;ts w&lt;span class="_ _7"&gt;&lt;/span&gt;ith l&lt;span class="_ _7"&gt;&lt;/span&gt;es&lt;span class="_ _7"&gt;&lt;/span&gt;s p&lt;span class="_ _7"&gt;&lt;/span&gt;ar&lt;span class="_ _7"&gt;&lt;/span&gt;t&lt;span class="_ _7"&gt;&lt;/span&gt;ici&lt;span class="_ _7"&gt;&lt;/span&gt;pat&lt;span class="_ _7"&gt;&lt;/span&gt;io&lt;span class="_ _7"&gt;&lt;/span&gt;n if s&lt;span class="_ _7"&gt;&lt;/span&gt;ig-&lt;/span&gt;&lt;span style="display:inherit;clear:left;"&gt;ni&lt;span class="_ _7"&gt;&lt;/span&gt;fi&lt;span class="_ _7"&gt;&lt;/span&gt;ca&lt;span class="_ _7"&gt;&lt;/span&gt;nt in&lt;span class="_ _7"&gt;&lt;/span&gt;fl&lt;span class="_ _7"&gt;&lt;/span&gt;uen&lt;span class="_ _7"&gt;&lt;/span&gt;ce i&lt;span class="_ _7"&gt;&lt;/span&gt;s pr&lt;span class="_ _7"&gt;&lt;/span&gt;ove&lt;span class="_ _7"&gt;&lt;/span&gt;n ba&lt;span class="_ _7"&gt;&lt;/span&gt;se&lt;span class="_ _7"&gt;&lt;/span&gt;d on o&lt;span class="_ _7"&gt;&lt;/span&gt;the&lt;span class="_ _7"&gt;&lt;/span&gt;r fa&lt;span class="_ _7"&gt;&lt;/span&gt;ct&lt;span class="_ _7"&gt;&lt;/span&gt;s an&lt;span class="_ _7"&gt;&lt;/span&gt;d cir&lt;span class="_ _7"&gt;&lt;/span&gt;cum&lt;span class="_ _7"&gt;&lt;/span&gt;s&lt;span class="_ _7"&gt;&lt;/span&gt;ta&lt;span class="_ _7"&gt;&lt;/span&gt;nc&lt;span class="_ _7"&gt;&lt;/span&gt;es&lt;span class="_ _7"&gt;&lt;/span&gt;. &lt;/span&gt;&lt;span style="display:inherit;clear:left;"&gt;Inve&lt;span class="_ _7"&gt;&lt;/span&gt;s&lt;span class="_ _7"&gt;&lt;/span&gt;tme&lt;span class="_ _7"&gt;&lt;/span&gt;nt&lt;span class="_ _7"&gt;&lt;/span&gt;s in j&lt;span class="_ _7"&gt;&lt;/span&gt;oin&lt;span class="_ _7"&gt;&lt;/span&gt;t ven&lt;span class="_ _7"&gt;&lt;/span&gt;tur&lt;span class="_ _7"&gt;&lt;/span&gt;es a&lt;span class="_ _7"&gt;&lt;/span&gt;nd a&lt;span class="_ _7"&gt;&lt;/span&gt;s&lt;span class="_ _7"&gt;&lt;/span&gt;so&lt;span class="_ _7"&gt;&lt;/span&gt;ci&lt;span class="_ _7"&gt;&lt;/span&gt;ate&lt;span class="_ _7"&gt;&lt;/span&gt;d co&lt;span class="_ _7"&gt;&lt;/span&gt;mp&lt;span class="_ _7"&gt;&lt;/span&gt;ani&lt;span class="_ _7"&gt;&lt;/span&gt;es a&lt;span class="_ _7"&gt;&lt;/span&gt;re &lt;/span&gt;&lt;span style="display:inherit;clear:left;"&gt; &lt;span class="_ _1"&gt;&lt;/span&gt;r&lt;span class="_ _7"&gt;&lt;/span&gt;ec&lt;span class="_ _7"&gt;&lt;/span&gt;ogn&lt;span class="_ _7"&gt;&lt;/span&gt;is&lt;span class="_ _7"&gt;&lt;/span&gt;e&lt;span class="_ _7"&gt;&lt;/span&gt;d in ac&lt;span class="_ _7"&gt;&lt;/span&gt;co&lt;span class="_ _7"&gt;&lt;/span&gt;rd&lt;span class="_ _7"&gt;&lt;/span&gt;anc&lt;span class="_ _7"&gt;&lt;/span&gt;e wi&lt;span class="_ _7"&gt;&lt;/span&gt;th th&lt;span class="_ _7"&gt;&lt;/span&gt;e eq&lt;span class="_ _7"&gt;&lt;/span&gt;ui&lt;span class="_ _7"&gt;&lt;/span&gt;t&lt;span class="_ _7"&gt;&lt;/span&gt;y met&lt;span class="_ _7"&gt;&lt;/span&gt;ho&lt;span class="_ _7"&gt;&lt;/span&gt;d. W&lt;span class="_ _7"&gt;&lt;/span&gt;he&lt;span class="_ _7"&gt;&lt;/span&gt;n Volvo Ca&lt;span class="_ _7"&gt;&lt;/span&gt;r &lt;/span&gt;&lt;span style="display:inherit;clear:left;"&gt;Gro&lt;span class="_ _7"&gt;&lt;/span&gt;up’s sh&lt;span class="_ _7"&gt;&lt;/span&gt;ar&lt;span class="_ _7"&gt;&lt;/span&gt;e of lo&lt;span class="_ _7"&gt;&lt;/span&gt;s&lt;span class="_ _7"&gt;&lt;/span&gt;s&lt;span class="_ _7"&gt;&lt;/span&gt;es i&lt;span class="_ _7"&gt;&lt;/span&gt;n a jo&lt;span class="_ _7"&gt;&lt;/span&gt;int ve&lt;span class="_ _7"&gt;&lt;/span&gt;ntu&lt;span class="_ _7"&gt;&lt;/span&gt;re o&lt;span class="_ _7"&gt;&lt;/span&gt;r as&lt;span class="_ _7"&gt;&lt;/span&gt;s&lt;span class="_ _7"&gt;&lt;/span&gt;oc&lt;span class="_ _7"&gt;&lt;/span&gt;iat&lt;span class="_ _7"&gt;&lt;/span&gt;e equ&lt;span class="_ _7"&gt;&lt;/span&gt;al&lt;span class="_ _7"&gt;&lt;/span&gt;s o&lt;span class="_ _7"&gt;&lt;/span&gt;r &lt;/span&gt;&lt;span style="display:inherit;clear:left;"&gt;exce&lt;span class="_ _7"&gt;&lt;/span&gt;ed&lt;span class="_ _7"&gt;&lt;/span&gt;s it&lt;span class="_ _7"&gt;&lt;/span&gt;s int&lt;span class="_ _7"&gt;&lt;/span&gt;ere&lt;span class="_ _7"&gt;&lt;/span&gt;s&lt;span class="_ _7"&gt;&lt;/span&gt;t in t&lt;span class="_ _7"&gt;&lt;/span&gt;he jo&lt;span class="_ _7"&gt;&lt;/span&gt;in&lt;span class="_ _7"&gt;&lt;/span&gt;t vent&lt;span class="_ _7"&gt;&lt;/span&gt;ur&lt;span class="_ _7"&gt;&lt;/span&gt;e or as&lt;span class="_ _7"&gt;&lt;/span&gt;s&lt;span class="_ _7"&gt;&lt;/span&gt;o&lt;span class="_ _7"&gt;&lt;/span&gt;cia&lt;span class="_ _7"&gt;&lt;/span&gt;te, Volvo C&lt;span class="_ _7"&gt;&lt;/span&gt;ar&lt;span class="_ _7"&gt;&lt;/span&gt;s &lt;/span&gt;&lt;span style="display:inherit;clear:left;"&gt;do&lt;span class="_ _7"&gt;&lt;/span&gt;es n&lt;span class="_ _7"&gt;&lt;/span&gt;ot re&lt;span class="_ _7"&gt;&lt;/span&gt;co&lt;span class="_ _7"&gt;&lt;/span&gt;gn&lt;span class="_ _7"&gt;&lt;/span&gt;is&lt;span class="_ _7"&gt;&lt;/span&gt;e f&lt;span class="_ _7"&gt;&lt;/span&gt;ur&lt;span class="_ _7"&gt;&lt;/span&gt;th&lt;span class="_ _7"&gt;&lt;/span&gt;er lo&lt;span class="_ _7"&gt;&lt;/span&gt;s&lt;span class="_ _7"&gt;&lt;/span&gt;s&lt;span class="_ _7"&gt;&lt;/span&gt;es u&lt;span class="_ _7"&gt;&lt;/span&gt;nle&lt;span class="_ _7"&gt;&lt;/span&gt;s&lt;span class="_ _7"&gt;&lt;/span&gt;s i&lt;span class="_ _7"&gt;&lt;/span&gt;t ha&lt;span class="_ _7"&gt;&lt;/span&gt;s a leg&lt;span class="_ _7"&gt;&lt;/span&gt;al o&lt;span class="_ _7"&gt;&lt;/span&gt;r con&lt;span class="_ _7"&gt;&lt;/span&gt;s&lt;span class="_ _7"&gt;&lt;/span&gt;tr&lt;span class="_ _7"&gt;&lt;/span&gt;uc-&lt;/span&gt;&lt;span style="display:inherit;clear:left;"&gt;tiv&lt;span class="_ _7"&gt;&lt;/span&gt;e ob&lt;span class="_ _7"&gt;&lt;/span&gt;lig&lt;span class="_ _7"&gt;&lt;/span&gt;ati&lt;span class="_ _7"&gt;&lt;/span&gt;on&lt;span class="_ _7"&gt;&lt;/span&gt;s in re&lt;span class="_ _7"&gt;&lt;/span&gt;l&lt;span class="_ _7"&gt;&lt;/span&gt;ati&lt;span class="_ _7"&gt;&lt;/span&gt;on to th&lt;span class="_ _7"&gt;&lt;/span&gt;e jo&lt;span class="_ _7"&gt;&lt;/span&gt;int v&lt;span class="_ _7"&gt;&lt;/span&gt;ent&lt;span class="_ _7"&gt;&lt;/span&gt;ure o&lt;span class="_ _7"&gt;&lt;/span&gt;r as&lt;span class="_ _7"&gt;&lt;/span&gt;s&lt;span class="_ _7"&gt;&lt;/span&gt;o&lt;span class="_ _7"&gt;&lt;/span&gt;cia&lt;span class="_ _7"&gt;&lt;/span&gt;te.&lt;/span&gt;</t>
  </si>
  <si>
    <t>f1__s8__6__108</t>
  </si>
  <si>
    <t>ifrs-full:DescriptionOfAccountingPolicyForInvestmentInAssociates</t>
  </si>
  <si>
    <t>f1__s8__6__109</t>
  </si>
  <si>
    <t>ifrs-full:DescriptionOfAccountingPolicyForInvestmentsInJointVentures</t>
  </si>
  <si>
    <t>f1__s8__6__11</t>
  </si>
  <si>
    <t>ifrs-full:NameOfParentEntity</t>
  </si>
  <si>
    <t>Geely Sweden Holdings AB</t>
  </si>
  <si>
    <t>f1__s8__6__111</t>
  </si>
  <si>
    <t>ifrs-full:DisclosureOfIncomeTaxExplanatory</t>
  </si>
  <si>
    <t>&lt;span style="display:inherit;clear:left;"&gt;NOT&lt;span class="_ _7"&gt;&lt;/span&gt;E 13&lt;/span&gt;&lt;span style="display:inherit;clear:left;"&gt;TA&lt;span class="_ _9"&gt;&lt;/span&gt;X&lt;span class="_ _9"&gt;&lt;/span&gt;E&lt;span class="_ _9"&gt;&lt;/span&gt;S&lt;/span&gt;&lt;span style="display:inherit;clear:left;"&gt;ACCOUNTING&lt;span class="_ _2"&gt;&lt;/span&gt; POLICIES&lt;/span&gt;&lt;span style="display:inherit;clear:left;"&gt;Income taxes&lt;/span&gt;&lt;span style="display:inherit;clear:left;"&gt;Inc&lt;span class="_ _7"&gt;&lt;/span&gt;om&lt;span class="_ _7"&gt;&lt;/span&gt;e ta&lt;span class="_ _7"&gt;&lt;/span&gt;xe&lt;span class="_ _7"&gt;&lt;/span&gt;s in&lt;span class="_ _7"&gt;&lt;/span&gt;clu&lt;span class="_ _7"&gt;&lt;/span&gt;de cu&lt;span class="_ _7"&gt;&lt;/span&gt;rr&lt;span class="_ _7"&gt;&lt;/span&gt;ent a&lt;span class="_ _7"&gt;&lt;/span&gt;nd d&lt;span class="_ _7"&gt;&lt;/span&gt;ef&lt;span class="_ _7"&gt;&lt;/span&gt;er&lt;span class="_ _7"&gt;&lt;/span&gt;red t&lt;span class="_ _7"&gt;&lt;/span&gt;a&lt;span class="_ _7"&gt;&lt;/span&gt;xe&lt;span class="_ _7"&gt;&lt;/span&gt;s as we&lt;span class="_ _7"&gt;&lt;/span&gt;ll a&lt;span class="_ _7"&gt;&lt;/span&gt;s wit&lt;span class="_ _7"&gt;&lt;/span&gt;h-&lt;/span&gt;&lt;span style="display:inherit;clear:left;"&gt;ho&lt;span class="_ _7"&gt;&lt;/span&gt;ldi&lt;span class="_ _7"&gt;&lt;/span&gt;ng ta&lt;span class="_ _7"&gt;&lt;/span&gt;x&lt;span class="_ _7"&gt;&lt;/span&gt;, m&lt;span class="_ _7"&gt;&lt;/span&gt;ain&lt;span class="_ _7"&gt;&lt;/span&gt;ly on l&lt;span class="_ _7"&gt;&lt;/span&gt;ice&lt;span class="_ _7"&gt;&lt;/span&gt;ns&lt;span class="_ _7"&gt;&lt;/span&gt;e&lt;span class="_ _7"&gt;&lt;/span&gt;s&lt;span class="_ _7"&gt;&lt;/span&gt;, and a&lt;span class="_ _7"&gt;&lt;/span&gt;re r&lt;span class="_ _7"&gt;&lt;/span&gt;ep&lt;span class="_ _7"&gt;&lt;/span&gt;or&lt;span class="_ _7"&gt;&lt;/span&gt;te&lt;span class="_ _7"&gt;&lt;/span&gt;d in t&lt;span class="_ _7"&gt;&lt;/span&gt;he in&lt;span class="_ _7"&gt;&lt;/span&gt;co&lt;span class="_ _7"&gt;&lt;/span&gt;me &lt;/span&gt;&lt;span style="display:inherit;clear:left;"&gt;st&lt;span class="_ _7"&gt;&lt;/span&gt;ate&lt;span class="_ _7"&gt;&lt;/span&gt;me&lt;span class="_ _7"&gt;&lt;/span&gt;nt un&lt;span class="_ _7"&gt;&lt;/span&gt;le&lt;span class="_ _7"&gt;&lt;/span&gt;s&lt;span class="_ _7"&gt;&lt;/span&gt;s the u&lt;span class="_ _7"&gt;&lt;/span&gt;nd&lt;span class="_ _7"&gt;&lt;/span&gt;er&lt;span class="_ _7"&gt;&lt;/span&gt;lyi&lt;span class="_ _7"&gt;&lt;/span&gt;ng tr&lt;span class="_ _7"&gt;&lt;/span&gt;an&lt;span class="_ _7"&gt;&lt;/span&gt;s&lt;span class="_ _7"&gt;&lt;/span&gt;ac&lt;span class="_ _7"&gt;&lt;/span&gt;tio&lt;span class="_ _7"&gt;&lt;/span&gt;n is r&lt;span class="_ _7"&gt;&lt;/span&gt;ec&lt;span class="_ _7"&gt;&lt;/span&gt;og&lt;span class="_ _7"&gt;&lt;/span&gt;ni&lt;span class="_ _7"&gt;&lt;/span&gt;se&lt;span class="_ _7"&gt;&lt;/span&gt;d di&lt;span class="_ _7"&gt;&lt;/span&gt;rec&lt;span class="_ _7"&gt;&lt;/span&gt;tly &lt;/span&gt;&lt;span style="display:inherit;clear:left;"&gt;in equity or&lt;span class="_ _2"&gt;&lt;/span&gt; other comprehensive income.&lt;span class="_ _2"&gt;&lt;/span&gt; For those items&lt;span class="_ _2"&gt;&lt;/span&gt; the &lt;/span&gt;&lt;span style="display:inherit;clear:left;"&gt;re&lt;span class="_ _7"&gt;&lt;/span&gt;lat&lt;span class="_ _7"&gt;&lt;/span&gt;ed i&lt;span class="_ _7"&gt;&lt;/span&gt;nco&lt;span class="_ _7"&gt;&lt;/span&gt;me t&lt;span class="_ _7"&gt;&lt;/span&gt;a&lt;span class="_ _7"&gt;&lt;/span&gt;x is a&lt;span class="_ _7"&gt;&lt;/span&gt;ls&lt;span class="_ _7"&gt;&lt;/span&gt;o r&lt;span class="_ _7"&gt;&lt;/span&gt;ep&lt;span class="_ _7"&gt;&lt;/span&gt;or&lt;span class="_ _7"&gt;&lt;/span&gt;te&lt;span class="_ _7"&gt;&lt;/span&gt;d di&lt;span class="_ _7"&gt;&lt;/span&gt;rec&lt;span class="_ _7"&gt;&lt;/span&gt;tly i&lt;span class="_ _7"&gt;&lt;/span&gt;n eq&lt;span class="_ _7"&gt;&lt;/span&gt;ui&lt;span class="_ _7"&gt;&lt;/span&gt;t&lt;span class="_ _7"&gt;&lt;/span&gt;y or oth&lt;span class="_ _7"&gt;&lt;/span&gt;er  &lt;/span&gt;&lt;span style="display:inherit;clear:left;"&gt;comprehensive income.&lt;span class="_ _2"&gt;&lt;/span&gt; &lt;/span&gt;&lt;span style="display:inherit;clear:left;"&gt;De&lt;span class="_ _7"&gt;&lt;/span&gt;fer&lt;span class="_ _7"&gt;&lt;/span&gt;re&lt;span class="_ _7"&gt;&lt;/span&gt;d t&lt;span class="_ _7"&gt;&lt;/span&gt;axe&lt;span class="_ _7"&gt;&lt;/span&gt;s ar&lt;span class="_ _7"&gt;&lt;/span&gt;e re&lt;span class="_ _7"&gt;&lt;/span&gt;cog&lt;span class="_ _7"&gt;&lt;/span&gt;ni&lt;span class="_ _7"&gt;&lt;/span&gt;s&lt;span class="_ _7"&gt;&lt;/span&gt;ed o&lt;span class="_ _7"&gt;&lt;/span&gt;n ta&lt;span class="_ _7"&gt;&lt;/span&gt;x lo&lt;span class="_ _7"&gt;&lt;/span&gt;s&lt;span class="_ _7"&gt;&lt;/span&gt;s c&lt;span class="_ _7"&gt;&lt;/span&gt;arr&lt;span class="_ _9"&gt;&lt;/span&gt;y-&lt;span class="_ _2"&gt;&lt;/span&gt;fo&lt;span class="_ _7"&gt;&lt;/span&gt;r&lt;span class="_ _7"&gt;&lt;/span&gt;wa&lt;span class="_ _7"&gt;&lt;/span&gt;rd&lt;span class="_ _7"&gt;&lt;/span&gt;s&lt;span class="_ _7"&gt;&lt;/span&gt;, unu&lt;span class="_ _7"&gt;&lt;/span&gt;s&lt;span class="_ _7"&gt;&lt;/span&gt;ed &lt;/span&gt;&lt;span style="display:inherit;clear:left;"&gt;ta&lt;span class="_ _7"&gt;&lt;/span&gt;x cr&lt;span class="_ _7"&gt;&lt;/span&gt;ed&lt;span class="_ _7"&gt;&lt;/span&gt;it&lt;span class="_ _7"&gt;&lt;/span&gt;s an&lt;span class="_ _7"&gt;&lt;/span&gt;d di&lt;span class="_ _7"&gt;&lt;/span&gt;f&lt;span class="_ _7"&gt;&lt;/span&gt;fe&lt;span class="_ _7"&gt;&lt;/span&gt;re&lt;span class="_ _7"&gt;&lt;/span&gt;nce&lt;span class="_ _7"&gt;&lt;/span&gt;s th&lt;span class="_ _7"&gt;&lt;/span&gt;at a&lt;span class="_ _7"&gt;&lt;/span&gt;ri&lt;span class="_ _7"&gt;&lt;/span&gt;se b&lt;span class="_ _7"&gt;&lt;/span&gt;et&lt;span class="_ _7"&gt;&lt;/span&gt;we&lt;span class="_ _7"&gt;&lt;/span&gt;en t&lt;span class="_ _7"&gt;&lt;/span&gt;he t&lt;span class="_ _7"&gt;&lt;/span&gt;ax&lt;span class="_ _7"&gt;&lt;/span&gt;ab&lt;span class="_ _7"&gt;&lt;/span&gt;le va&lt;span class="_ _7"&gt;&lt;/span&gt;lue a&lt;span class="_ _7"&gt;&lt;/span&gt;nd &lt;/span&gt;&lt;span style="display:inherit;clear:left;"&gt;ca&lt;span class="_ _7"&gt;&lt;/span&gt;rr&lt;span class="_ _7"&gt;&lt;/span&gt;y&lt;span class="_ _7"&gt;&lt;/span&gt;in&lt;span class="_ _7"&gt;&lt;/span&gt;g valu&lt;span class="_ _7"&gt;&lt;/span&gt;e of a&lt;span class="_ _7"&gt;&lt;/span&gt;s&lt;span class="_ _7"&gt;&lt;/span&gt;s&lt;span class="_ _7"&gt;&lt;/span&gt;et&lt;span class="_ _7"&gt;&lt;/span&gt;s and l&lt;span class="_ _7"&gt;&lt;/span&gt;iab&lt;span class="_ _7"&gt;&lt;/span&gt;il&lt;span class="_ _7"&gt;&lt;/span&gt;iti&lt;span class="_ _7"&gt;&lt;/span&gt;es&lt;span class="_ _7"&gt;&lt;/span&gt;, w&lt;span class="_ _7"&gt;&lt;/span&gt;ith t&lt;span class="_ _7"&gt;&lt;/span&gt;he exc&lt;span class="_ _7"&gt;&lt;/span&gt;ept&lt;span class="_ _7"&gt;&lt;/span&gt;io&lt;span class="_ _7"&gt;&lt;/span&gt;n of go&lt;span class="_ _7"&gt;&lt;/span&gt;o&lt;span class="_ _7"&gt;&lt;/span&gt;d-&lt;/span&gt;&lt;span style="display:inherit;clear:left;"&gt;will.&lt;/span&gt;&lt;span style="display:inherit;clear:left;"&gt;Volvo Ca&lt;span class="_ _7"&gt;&lt;/span&gt;r Gro&lt;span class="_ _7"&gt;&lt;/span&gt;up a&lt;span class="_ _7"&gt;&lt;/span&gt;pp&lt;span class="_ _7"&gt;&lt;/span&gt;lie&lt;span class="_ _7"&gt;&lt;/span&gt;s th&lt;span class="_ _7"&gt;&lt;/span&gt;e ma&lt;span class="_ _7"&gt;&lt;/span&gt;nd&lt;span class="_ _7"&gt;&lt;/span&gt;ator&lt;span class="_ _9"&gt;&lt;/span&gt;y temp&lt;span class="_ _7"&gt;&lt;/span&gt;or&lt;span class="_ _7"&gt;&lt;/span&gt;ar&lt;span class="_ _9"&gt;&lt;/span&gt;y exemp&lt;span class="_ _7"&gt;&lt;/span&gt;tio&lt;span class="_ _7"&gt;&lt;/span&gt;n in &lt;/span&gt;&lt;span style="display:inherit;clear:left;"&gt;IAS 12 to not r&lt;span class="_ _7"&gt;&lt;/span&gt;ec&lt;span class="_ _7"&gt;&lt;/span&gt;og&lt;span class="_ _7"&gt;&lt;/span&gt;ni&lt;span class="_ _7"&gt;&lt;/span&gt;se o&lt;span class="_ _7"&gt;&lt;/span&gt;r di&lt;span class="_ _7"&gt;&lt;/span&gt;sc&lt;span class="_ _7"&gt;&lt;/span&gt;lo&lt;span class="_ _7"&gt;&lt;/span&gt;se i&lt;span class="_ _7"&gt;&lt;/span&gt;nfo&lt;span class="_ _7"&gt;&lt;/span&gt;rm&lt;span class="_ _7"&gt;&lt;/span&gt;at&lt;span class="_ _7"&gt;&lt;/span&gt;ion a&lt;span class="_ _7"&gt;&lt;/span&gt;bo&lt;span class="_ _7"&gt;&lt;/span&gt;ut d&lt;span class="_ _7"&gt;&lt;/span&gt;ef&lt;span class="_ _7"&gt;&lt;/span&gt;err&lt;span class="_ _7"&gt;&lt;/span&gt;ed t&lt;span class="_ _7"&gt;&lt;/span&gt;a&lt;span class="_ _7"&gt;&lt;/span&gt;x &lt;/span&gt;&lt;span style="display:inherit;clear:left;"&gt;as&lt;span class="_ _7"&gt;&lt;/span&gt;s&lt;span class="_ _7"&gt;&lt;/span&gt;et&lt;span class="_ _7"&gt;&lt;/span&gt;s an&lt;span class="_ _7"&gt;&lt;/span&gt;d lia&lt;span class="_ _7"&gt;&lt;/span&gt;bi&lt;span class="_ _7"&gt;&lt;/span&gt;lit&lt;span class="_ _7"&gt;&lt;/span&gt;ie&lt;span class="_ _7"&gt;&lt;/span&gt;s re&lt;span class="_ _7"&gt;&lt;/span&gt;la&lt;span class="_ _7"&gt;&lt;/span&gt;ted to t&lt;span class="_ _7"&gt;&lt;/span&gt;he O&lt;span class="_ _7"&gt;&lt;/span&gt;ECD Pil&lt;span class="_ _7"&gt;&lt;/span&gt;la&lt;span class="_ _7"&gt;&lt;/span&gt;r T&lt;span class="_ _2"&gt;&lt;/span&gt;wo ru&lt;span class="_ _7"&gt;&lt;/span&gt;le&lt;span class="_ _7"&gt;&lt;/span&gt;s. I&lt;span class="_ _7"&gt;&lt;/span&gt;nf&lt;span class="_ _7"&gt;&lt;/span&gt;or&lt;span class="_ _7"&gt;&lt;/span&gt;ma-&lt;/span&gt;&lt;span style="display:inherit;clear:left;"&gt;tio&lt;span class="_ _7"&gt;&lt;/span&gt;n reg&lt;span class="_ _7"&gt;&lt;/span&gt;ar&lt;span class="_ _7"&gt;&lt;/span&gt;di&lt;span class="_ _7"&gt;&lt;/span&gt;ng th&lt;span class="_ _7"&gt;&lt;/span&gt;e Gro&lt;span class="_ _7"&gt;&lt;/span&gt;up’s exp&lt;span class="_ _7"&gt;&lt;/span&gt;o&lt;span class="_ _7"&gt;&lt;/span&gt;su&lt;span class="_ _7"&gt;&lt;/span&gt;re to th&lt;span class="_ _7"&gt;&lt;/span&gt;e en&lt;span class="_ _7"&gt;&lt;/span&gt;ac&lt;span class="_ _7"&gt;&lt;/span&gt;ted S&lt;span class="_ _7"&gt;&lt;/span&gt;wed&lt;span class="_ _7"&gt;&lt;/span&gt;is&lt;span class="_ _7"&gt;&lt;/span&gt;h Pi&lt;span class="_ _7"&gt;&lt;/span&gt;ll&lt;span class="_ _7"&gt;&lt;/span&gt;ar &lt;/span&gt;&lt;span style="display:inherit;clear:left;"&gt;&lt;span&gt;&lt;span style="display:inherit;clear:left;"&gt;T&lt;span class="_ _2"&gt;&lt;/span&gt;wo leg&lt;span class="_ _7"&gt;&lt;/span&gt;is&lt;span class="_ _7"&gt;&lt;/span&gt;l&lt;span class="_ _7"&gt;&lt;/span&gt;ati&lt;span class="_ _7"&gt;&lt;/span&gt;on i&lt;span class="_ _7"&gt;&lt;/span&gt;s pre&lt;span class="_ _7"&gt;&lt;/span&gt;s&lt;span class="_ _7"&gt;&lt;/span&gt;ent&lt;span class="_ _7"&gt;&lt;/span&gt;ed i&lt;span class="_ _7"&gt;&lt;/span&gt;n thi&lt;span class="_ _7"&gt;&lt;/span&gt;s not&lt;span class="_ _7"&gt;&lt;/span&gt;e.&lt;/span&gt;&lt;/span&gt; &lt;/span&gt;&lt;span style="display:inherit;clear:left;"&gt;CRITICAL A&lt;span class="_ _2"&gt;&lt;/span&gt;CC&lt;span class="_ _7"&gt;&lt;/span&gt;OUNTING ESTIMA&lt;span class="_ _6"&gt;&lt;/span&gt;TES AND JUDGEMENTS&lt;/span&gt;&lt;span style="display:inherit;clear:left;"&gt;Defer&lt;span class="_ _7"&gt;&lt;/span&gt;red t&lt;span class="_ _7"&gt;&lt;/span&gt;ax a&lt;span class="_ _7"&gt;&lt;/span&gt;ss&lt;span class="_ _7"&gt;&lt;/span&gt;ets &lt;/span&gt;&lt;span style="display:inherit;clear:left;"&gt;Th&lt;span class="_ _7"&gt;&lt;/span&gt;e rec&lt;span class="_ _7"&gt;&lt;/span&gt;og&lt;span class="_ _7"&gt;&lt;/span&gt;ni&lt;span class="_ _7"&gt;&lt;/span&gt;tio&lt;span class="_ _7"&gt;&lt;/span&gt;n of d&lt;span class="_ _7"&gt;&lt;/span&gt;ef&lt;span class="_ _7"&gt;&lt;/span&gt;er&lt;span class="_ _7"&gt;&lt;/span&gt;red t&lt;span class="_ _7"&gt;&lt;/span&gt;a&lt;span class="_ _7"&gt;&lt;/span&gt;x as&lt;span class="_ _7"&gt;&lt;/span&gt;s&lt;span class="_ _7"&gt;&lt;/span&gt;et&lt;span class="_ _7"&gt;&lt;/span&gt;s re&lt;span class="_ _7"&gt;&lt;/span&gt;qu&lt;span class="_ _7"&gt;&lt;/span&gt;ir&lt;span class="_ _7"&gt;&lt;/span&gt;es a&lt;span class="_ _7"&gt;&lt;/span&gt;s&lt;span class="_ _7"&gt;&lt;/span&gt;su&lt;span class="_ _7"&gt;&lt;/span&gt;mpt&lt;span class="_ _7"&gt;&lt;/span&gt;ion&lt;span class="_ _7"&gt;&lt;/span&gt;s ab&lt;span class="_ _7"&gt;&lt;/span&gt;ou&lt;span class="_ _7"&gt;&lt;/span&gt;t &lt;/span&gt;&lt;span style="display:inherit;clear:left;"&gt;the l&lt;span class="_ _7"&gt;&lt;/span&gt;evel o&lt;span class="_ _7"&gt;&lt;/span&gt;f f&lt;span class="_ _7"&gt;&lt;/span&gt;utu&lt;span class="_ _7"&gt;&lt;/span&gt;re t&lt;span class="_ _7"&gt;&lt;/span&gt;a&lt;span class="_ _7"&gt;&lt;/span&gt;xab&lt;span class="_ _7"&gt;&lt;/span&gt;le in&lt;span class="_ _7"&gt;&lt;/span&gt;co&lt;span class="_ _7"&gt;&lt;/span&gt;me a&lt;span class="_ _7"&gt;&lt;/span&gt;nd th&lt;span class="_ _7"&gt;&lt;/span&gt;e ti&lt;span class="_ _7"&gt;&lt;/span&gt;min&lt;span class="_ _7"&gt;&lt;/span&gt;g of re&lt;span class="_ _7"&gt;&lt;/span&gt;co&lt;span class="_ _7"&gt;&lt;/span&gt;ver&lt;span class="_ _7"&gt;&lt;/span&gt;y o&lt;span class="_ _7"&gt;&lt;/span&gt;f &lt;/span&gt;&lt;span style="display:inherit;clear:left;"&gt;deferred tax assets&lt;span class="_ _7"&gt;&lt;/span&gt;. These assumptions tak&lt;span class="_ _2"&gt;&lt;/span&gt;e into consideration&lt;span class="_ _2"&gt;&lt;/span&gt; &lt;/span&gt;&lt;span style="display:inherit;clear:left;"&gt;for&lt;span class="_ _7"&gt;&lt;/span&gt;ec&lt;span class="_ _7"&gt;&lt;/span&gt;as&lt;span class="_ _7"&gt;&lt;/span&gt;te&lt;span class="_ _7"&gt;&lt;/span&gt;d ta&lt;span class="_ _7"&gt;&lt;/span&gt;x&lt;span class="_ _7"&gt;&lt;/span&gt;ab&lt;span class="_ _7"&gt;&lt;/span&gt;le in&lt;span class="_ _7"&gt;&lt;/span&gt;co&lt;span class="_ _7"&gt;&lt;/span&gt;me. T&lt;span class="_ _7"&gt;&lt;/span&gt;he m&lt;span class="_ _7"&gt;&lt;/span&gt;ea&lt;span class="_ _7"&gt;&lt;/span&gt;su&lt;span class="_ _7"&gt;&lt;/span&gt;re&lt;span class="_ _7"&gt;&lt;/span&gt;men&lt;span class="_ _7"&gt;&lt;/span&gt;t of d&lt;span class="_ _7"&gt;&lt;/span&gt;ef&lt;span class="_ _7"&gt;&lt;/span&gt;err&lt;span class="_ _7"&gt;&lt;/span&gt;ed t&lt;span class="_ _7"&gt;&lt;/span&gt;a&lt;span class="_ _7"&gt;&lt;/span&gt;x as&lt;span class="_ _7"&gt;&lt;/span&gt;s&lt;span class="_ _7"&gt;&lt;/span&gt;et&lt;span class="_ _7"&gt;&lt;/span&gt;s &lt;/span&gt;&lt;span style="display:inherit;clear:left;"&gt;is s&lt;span class="_ _7"&gt;&lt;/span&gt;ubj&lt;span class="_ _7"&gt;&lt;/span&gt;ec&lt;span class="_ _7"&gt;&lt;/span&gt;t to un&lt;span class="_ _7"&gt;&lt;/span&gt;ce&lt;span class="_ _7"&gt;&lt;/span&gt;r&lt;span class="_ _7"&gt;&lt;/span&gt;ta&lt;span class="_ _7"&gt;&lt;/span&gt;int&lt;span class="_ _7"&gt;&lt;/span&gt;y a&lt;span class="_ _7"&gt;&lt;/span&gt;nd t&lt;span class="_ _7"&gt;&lt;/span&gt;he ac&lt;span class="_ _7"&gt;&lt;/span&gt;tu&lt;span class="_ _7"&gt;&lt;/span&gt;al r&lt;span class="_ _7"&gt;&lt;/span&gt;es&lt;span class="_ _7"&gt;&lt;/span&gt;ult m&lt;span class="_ _7"&gt;&lt;/span&gt;ay di&lt;span class="_ _7"&gt;&lt;/span&gt;ver&lt;span class="_ _7"&gt;&lt;/span&gt;ge f&lt;span class="_ _7"&gt;&lt;/span&gt;ro&lt;span class="_ _7"&gt;&lt;/span&gt;m &lt;/span&gt;&lt;span style="display:inherit;clear:left;"&gt;jud&lt;span class="_ _7"&gt;&lt;/span&gt;gem&lt;span class="_ _7"&gt;&lt;/span&gt;en&lt;span class="_ _7"&gt;&lt;/span&gt;ts d&lt;span class="_ _7"&gt;&lt;/span&gt;ue to f&lt;span class="_ _7"&gt;&lt;/span&gt;ut&lt;span class="_ _7"&gt;&lt;/span&gt;ure c&lt;span class="_ _7"&gt;&lt;/span&gt;ha&lt;span class="_ _7"&gt;&lt;/span&gt;nge&lt;span class="_ _7"&gt;&lt;/span&gt;s in b&lt;span class="_ _7"&gt;&lt;/span&gt;us&lt;span class="_ _7"&gt;&lt;/span&gt;in&lt;span class="_ _7"&gt;&lt;/span&gt;es&lt;span class="_ _7"&gt;&lt;/span&gt;s c&lt;span class="_ _7"&gt;&lt;/span&gt;lim&lt;span class="_ _7"&gt;&lt;/span&gt;ate&lt;span class="_ _7"&gt;&lt;/span&gt;, alte&lt;span class="_ _7"&gt;&lt;/span&gt;re&lt;span class="_ _7"&gt;&lt;/span&gt;d ta&lt;span class="_ _7"&gt;&lt;/span&gt;x &lt;/span&gt;&lt;span style="display:inherit;clear:left;"&gt;law&lt;span class="_ _7"&gt;&lt;/span&gt;s etc&lt;span class="_ _7"&gt;&lt;/span&gt;. An a&lt;span class="_ _7"&gt;&lt;/span&gt;s&lt;span class="_ _7"&gt;&lt;/span&gt;s&lt;span class="_ _7"&gt;&lt;/span&gt;es&lt;span class="_ _7"&gt;&lt;/span&gt;s&lt;span class="_ _7"&gt;&lt;/span&gt;me&lt;span class="_ _7"&gt;&lt;/span&gt;nt is m&lt;span class="_ _7"&gt;&lt;/span&gt;ad&lt;span class="_ _7"&gt;&lt;/span&gt;e at e&lt;span class="_ _7"&gt;&lt;/span&gt;ach c&lt;span class="_ _7"&gt;&lt;/span&gt;lo&lt;span class="_ _7"&gt;&lt;/span&gt;sin&lt;span class="_ _7"&gt;&lt;/span&gt;g dat&lt;span class="_ _7"&gt;&lt;/span&gt;e of th&lt;span class="_ _7"&gt;&lt;/span&gt;e like&lt;span class="_ _7"&gt;&lt;/span&gt;li-&lt;/span&gt;&lt;span style="display:inherit;clear:left;"&gt;ho&lt;span class="_ _7"&gt;&lt;/span&gt;od th&lt;span class="_ _7"&gt;&lt;/span&gt;at t&lt;span class="_ _7"&gt;&lt;/span&gt;he de&lt;span class="_ _7"&gt;&lt;/span&gt;fe&lt;span class="_ _7"&gt;&lt;/span&gt;rr&lt;span class="_ _7"&gt;&lt;/span&gt;ed t&lt;span class="_ _7"&gt;&lt;/span&gt;a&lt;span class="_ _7"&gt;&lt;/span&gt;x as&lt;span class="_ _7"&gt;&lt;/span&gt;s&lt;span class="_ _7"&gt;&lt;/span&gt;et w&lt;span class="_ _7"&gt;&lt;/span&gt;ill b&lt;span class="_ _7"&gt;&lt;/span&gt;e ut&lt;span class="_ _7"&gt;&lt;/span&gt;ili&lt;span class="_ _7"&gt;&lt;/span&gt;se&lt;span class="_ _7"&gt;&lt;/span&gt;d&lt;span class="_ _7"&gt;&lt;/span&gt;. If n&lt;span class="_ _7"&gt;&lt;/span&gt;ee&lt;span class="_ _7"&gt;&lt;/span&gt;de&lt;span class="_ _7"&gt;&lt;/span&gt;d the c&lt;span class="_ _7"&gt;&lt;/span&gt;ar&lt;span class="_ _7"&gt;&lt;/span&gt;r&lt;span class="_ _7"&gt;&lt;/span&gt;y-&lt;/span&gt;&lt;span style="display:inherit;clear:left;"&gt;ing a&lt;span class="_ _7"&gt;&lt;/span&gt;mo&lt;span class="_ _7"&gt;&lt;/span&gt;unt o&lt;span class="_ _7"&gt;&lt;/span&gt;f the d&lt;span class="_ _7"&gt;&lt;/span&gt;ef&lt;span class="_ _7"&gt;&lt;/span&gt;er&lt;span class="_ _7"&gt;&lt;/span&gt;re&lt;span class="_ _7"&gt;&lt;/span&gt;d ta&lt;span class="_ _7"&gt;&lt;/span&gt;x as&lt;span class="_ _7"&gt;&lt;/span&gt;s&lt;span class="_ _7"&gt;&lt;/span&gt;e&lt;span class="_ _7"&gt;&lt;/span&gt;t wil&lt;span class="_ _7"&gt;&lt;/span&gt;l be a&lt;span class="_ _7"&gt;&lt;/span&gt;lter&lt;span class="_ _7"&gt;&lt;/span&gt;ed&lt;span class="_ _7"&gt;&lt;/span&gt;. Th&lt;span class="_ _7"&gt;&lt;/span&gt;e jud&lt;span class="_ _7"&gt;&lt;/span&gt;ge&lt;span class="_ _7"&gt;&lt;/span&gt;men&lt;span class="_ _7"&gt;&lt;/span&gt;ts &lt;/span&gt;&lt;span style="display:inherit;clear:left;"&gt;tha&lt;span class="_ _7"&gt;&lt;/span&gt;t hav&lt;span class="_ _7"&gt;&lt;/span&gt;e be&lt;span class="_ _7"&gt;&lt;/span&gt;en m&lt;span class="_ _7"&gt;&lt;/span&gt;ade m&lt;span class="_ _7"&gt;&lt;/span&gt;ay a&lt;span class="_ _7"&gt;&lt;/span&gt;f&lt;span class="_ _7"&gt;&lt;/span&gt;fe&lt;span class="_ _7"&gt;&lt;/span&gt;ct n&lt;span class="_ _7"&gt;&lt;/span&gt;et i&lt;span class="_ _7"&gt;&lt;/span&gt;nco&lt;span class="_ _7"&gt;&lt;/span&gt;me b&lt;span class="_ _7"&gt;&lt;/span&gt;oth p&lt;span class="_ _7"&gt;&lt;/span&gt;o&lt;span class="_ _7"&gt;&lt;/span&gt;si&lt;span class="_ _7"&gt;&lt;/span&gt;tiv&lt;span class="_ _7"&gt;&lt;/span&gt;ely a&lt;span class="_ _7"&gt;&lt;/span&gt;nd &lt;/span&gt;&lt;span style="display:inherit;clear:left;"&gt;n&lt;span class="_ _7"&gt;&lt;/span&gt;e&lt;span class="_ _7"&gt;&lt;/span&gt;g&lt;span class="_ _7"&gt;&lt;/span&gt;a&lt;span class="_ _7"&gt;&lt;/span&gt;t&lt;span class="_ _7"&gt;&lt;/span&gt;i&lt;span class="_ _7"&gt;&lt;/span&gt;v&lt;span class="_ _7"&gt;&lt;/span&gt;e&lt;span class="_ _7"&gt;&lt;/span&gt;l&lt;span class="_ _7"&gt;&lt;/span&gt;y.&lt;/span&gt;&lt;span style="display:inherit;clear:left;position:relative;height:129.75390625px;"&gt;&lt;span class="pp-font-color-override-1" style="position: absolute; display: inline-block; left: 0px; top: 0.0039062px; width: 297.082px; white-space: pre; word-spacing: -0.2208px; letter-spacing: 0.2208px; margin-left: 0px; font-size: 9.6px; font-family: ff89; -webkit-text-stroke: 0.144px rgba(0, 0, 0, 0);"&gt;&lt;span style="display: inline-block;"&gt;Income tax&lt;/span&gt;&lt;span style="word-spacing: -0.2208px; letter-spacing: 0.2208px; display: inline-block; margin-left: -0.684px; width: 0px; font-size: 9.6px; font-family: ff89; -webkit-text-stroke: 0.144px rgba(0, 0, 0, 0);"&gt;&lt;/span&gt;&lt;span style="display: inline-block;"&gt; recognised in income&lt;/span&gt;&lt;span style="word-spacing: -0.2208px; letter-spacing: 0.2208px; display: inline-block; margin-left: -0.684px; width: 0px; font-size: 9.6px; font-family: ff89; -webkit-text-stroke: 0.144px rgba(0, 0, 0, 0);"&gt;&lt;/span&gt;&lt;span style="display: inline-block;"&gt; statement&lt;/span&gt;&lt;span style="word-spacing: -0.2208px; letter-spacing: 0.2208px; display: inline-block; margin-left: 0px; width: 54.504px; font-size: 9.6px; font-family: ff89; -webkit-text-stroke: 0.144px rgba(0, 0, 0, 0);"&gt;&lt;span style="display: inline-block;"&gt; &lt;/span&gt;&lt;/span&gt;&lt;span class="pp-font-color-override-1" style="word-spacing: -0.0384px; letter-spacing: 0.0384px; display: inline-block; margin-left: 0px; font-size: 9.6px; font-family: ff89; -webkit-text-stroke: 0.144px rgba(0, 0, 0, 0);"&gt;&lt;span style="display: inline-block;"&gt;2025&lt;/span&gt;&lt;span style="word-spacing: -0.0384px; letter-spacing: 0.0384px; display: inline-block; margin-left: 0px; width: 30.6738px; font-size: 9.6px; font-family: ff89; -webkit-text-stroke: 0.144px rgba(0, 0, 0, 0);"&gt;&lt;span style="display: inline-block;"&gt; &lt;/span&gt;&lt;/span&gt;&lt;span class="pp-font-color-override-1" style="word-spacing: 0.0576px; letter-spacing: -0.0576px; display: inline-block; margin-left: 0px; font-size: 9.6px; font-family: ff88; -webkit-text-stroke: 0.144px rgba(0, 0, 0, 0);"&gt;&lt;span style="display: inline-block;"&gt;20&lt;/span&gt;&lt;span style="word-spacing: 0.0576px; letter-spacing: -0.0576px; display: inline-block; margin-left: 0px; width: 0.410156px; font-size: 9.6px; font-family: ff88; -webkit-text-stroke: 0.144px rgba(0, 0, 0, 0);"&gt;&lt;/span&gt;&lt;span style="display: inline-block;"&gt;24&lt;/span&gt;&lt;/span&gt;&lt;/span&gt;&lt;/span&gt;&lt;span class="pp-font-color-override-1" style="position: absolute; display: inline-block; left: 0px; top: 22.6348px; width: 316.887px; white-space: pre; word-spacing: 0px; letter-spacing: 0.0315px; margin-left: 0px; font-size: 10.5px; font-family: ff8a; -webkit-text-stroke: 0.1575px rgba(0, 0, 0, 0);"&gt;&lt;span style="display: inline-block;"&gt;Cur&lt;/span&gt;&lt;span style="word-spacing: 0px; letter-spacing: 0.0315px; display: inline-block; margin-left: 0px; width: 0.410156px; font-size: 10.5px; font-family: ff8a; -webkit-text-stroke: 0.1575px rgba(0, 0, 0, 0);"&gt;&lt;/span&gt;&lt;span style="display: inline-block;"&gt;rent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ta&lt;/span&gt;&lt;span style="word-spacing: 0px; letter-spacing: 0.0315px; display: inline-block; margin-left: 0px; width: 0.410156px; font-size: 10.5px; font-family: ff8a; -webkit-text-stroke: 0.1575px rgba(0, 0, 0, 0);"&gt;&lt;/span&gt;&lt;span style="display: inline-block;"&gt;x fo&lt;/span&gt;&lt;span style="word-spacing: 0px; letter-spacing: 0.0315px; display: inline-block; margin-left: 0px; width: 0.410156px; font-size: 10.5px; font-family: ff8a; -webkit-text-stroke: 0.1575px rgba(0, 0, 0, 0);"&gt;&lt;/span&gt;&lt;span style="display: inline-block;"&gt;r the y&lt;/span&gt;&lt;span style="word-spacing: 0px; letter-spacing: 0.0315px; display: inline-block; margin-left: 0px; width: 0.410156px; font-size: 10.5px; font-family: ff8a; -webkit-text-stroke: 0.1575px rgba(0, 0, 0, 0);"&gt;&lt;/span&gt;&lt;span style="display: inline-block;"&gt;ea&lt;/span&gt;&lt;span style="word-spacing: 0px; letter-spacing: 0.0315px; display: inline-block; margin-left: 0px; width: 0.410156px; font-size: 10.5px; font-family: ff8a; -webkit-text-stroke: 0.1575px rgba(0, 0, 0, 0);"&gt;&lt;/span&gt;&lt;span style="display: inline-block;"&gt;r&lt;/span&gt;&lt;span style="word-spacing: 0px; letter-spacing: 0.0315px; display: inline-block; margin-left: 0px; width: 100.881px; font-size: 10.5px; font-family: ff8a; -webkit-text-stroke: 0.1575px rgba(0, 0, 0, 0);"&gt;&lt;span style="display: inline-block;"&gt; &lt;/span&gt;&lt;/span&gt;&lt;span class="pp-font-color-override-1" style="word-spacing: 0.231px; letter-spacing: -0.231px; display: inline-block; margin-left: 0px; font-size: 10.5px; font-family: ff8a; -webkit-text-stroke: 0.1575px rgba(0, 0, 0, 0);"&gt;&lt;span style="display: inline-block;"&gt;–2,&lt;/span&gt;&lt;span style="word-spacing: 0.231px; letter-spacing: -0.231px; display: inline-block; margin-left: 0px; width: 0.410156px; font-size: 10.5px; font-family: ff8a; -webkit-text-stroke: 0.1575px rgba(0, 0, 0, 0);"&gt;&lt;/span&gt;&lt;span style="display: inline-block;"&gt;6&lt;/span&gt;&lt;span style="word-spacing: 0.231px; letter-spacing: -0.231px; display: inline-block; margin-left: 0px; width: 0.410156px; font-size: 10.5px; font-family: ff8a; -webkit-text-stroke: 0.1575px rgba(0, 0, 0, 0);"&gt;&lt;/span&gt;&lt;span style="display: inline-block;"&gt;9&lt;/span&gt;&lt;span style="word-spacing: 0.231px; letter-spacing: -0.231px; display: inline-block; margin-left: 0px; width: 0.410156px; font-size: 10.5px; font-family: ff8a; -webkit-text-stroke: 0.1575px rgba(0, 0, 0, 0);"&gt;&lt;/span&gt;&lt;span style="display: inline-block;"&gt;0&lt;/span&gt;&lt;span style="word-spacing: 0.231px; letter-spacing: -0.231px; display: inline-block; margin-left: 0px; width: 22.4355px; font-size: 10.5px; font-family: ff8a;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ff8a; -webkit-text-stroke: 0.1575px rgba(0, 0, 0, 0);"&gt;&lt;span style="display: inline-block;"&gt;–2&lt;/span&gt;&lt;span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inline-block;"&gt;9&lt;/span&gt;&lt;span style="word-spacing: 0.273px; letter-spacing: -0.273px; display: inline-block; margin-left: 0px; width: 0.410156px; font-size: 10.5px; font-family: ff8a; -webkit-text-stroke: 0.1575px rgba(0, 0, 0, 0);"&gt;&lt;/span&gt;&lt;span style="display: inline-block;"&gt;9&lt;/span&gt;&lt;/span&gt;&lt;/span&gt;&lt;/span&gt;&lt;span class="pp-font-color-override-1" style="position: absolute; display: inline-block; left: 0px; top: 38.5879px; width: 318.451px; white-space: pre; word-spacing: 0px; letter-spacing: 0.0315px; margin-left: 0px; font-size: 10.5px; font-family: ff8a; -webkit-text-stroke: 0.1575px rgba(0, 0, 0, 0);"&gt;&lt;span style="display: inline-block;"&gt;Cur&lt;/span&gt;&lt;span style="word-spacing: 0px; letter-spacing: 0.0315px; display: inline-block; margin-left: 0px; width: 0.410156px; font-size: 10.5px; font-family: ff8a; -webkit-text-stroke: 0.1575px rgba(0, 0, 0, 0);"&gt;&lt;/span&gt;&lt;span style="display: inline-block;"&gt;rent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ta&lt;/span&gt;&lt;span style="word-spacing: 0px; letter-spacing: 0.0315px; display: inline-block; margin-left: 0px; width: 0.410156px; font-size: 10.5px; font-family: ff8a; -webkit-text-stroke: 0.1575px rgba(0, 0, 0, 0);"&gt;&lt;/span&gt;&lt;span style="display: inline-block;"&gt;x fo&lt;/span&gt;&lt;span style="word-spacing: 0px; letter-spacing: 0.0315px; display: inline-block; margin-left: 0px; width: 0.410156px; font-size: 10.5px; font-family: ff8a; -webkit-text-stroke: 0.1575px rgba(0, 0, 0, 0);"&gt;&lt;/span&gt;&lt;span style="display: inline-block;"&gt;r pre&lt;/span&gt;&lt;span style="word-spacing: 0px; letter-spacing: 0.0315px; display: inline-block; margin-left: 0px; width: 0.410156px; font-size: 10.5px; font-family: ff8a; -webkit-text-stroke: 0.1575px rgba(0, 0, 0, 0);"&gt;&lt;/span&gt;&lt;span style="display: inline-block;"&gt;vio&lt;/span&gt;&lt;span style="word-spacing: 0px; letter-spacing: 0.0315px; display: inline-block; margin-left: 0px; width: 0.410156px; font-size: 10.5px; font-family: ff8a; -webkit-text-stroke: 0.1575px rgba(0, 0, 0, 0);"&gt;&lt;/span&gt;&lt;span style="display: inline-block;"&gt;us y&lt;/span&gt;&lt;span style="word-spacing: 0px; letter-spacing: 0.0315px; display: inline-block; margin-left: 0px; width: 0.410156px; font-size: 10.5px; font-family: ff8a; -webkit-text-stroke: 0.1575px rgba(0, 0, 0, 0);"&gt;&lt;/span&gt;&lt;span style="display: inline-block;"&gt;ear&lt;/span&gt;&lt;span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77.9531px; font-size: 10.5px; font-family: ff8a; -webkit-text-stroke: 0.1575px rgba(0, 0, 0, 0);"&gt;&lt;span style="display: inline-block;"&gt; &lt;/span&gt;&lt;/span&gt;&lt;span class="pp-font-color-override-1" style="word-spacing: -0.105px; letter-spacing: 0.105px; display: inline-block; margin-left: 0px; font-size: 10.5px; font-family: ff8a; -webkit-text-stroke: 0.1575px rgba(0, 0, 0, 0);"&gt;&lt;span style="display: inline-block;"&gt;–450&lt;/span&gt;&lt;span style="word-spacing: -0.105px; letter-spacing: 0.105px; display: inline-block; margin-left: 0px; width: 32.959px; font-size: 10.5px; font-family: ff8a; -webkit-text-stroke: 0.1575px rgba(0, 0, 0, 0);"&gt;&lt;span style="display: inline-block;"&gt; &lt;/span&gt;&lt;/span&gt;&lt;span class="pp-font-color-override-1" style="word-spacing: 0.126px; letter-spacing: -0.126px; display: inline-block; margin-left: 0px; font-size: 10.5px; font-family: ff8a; -webkit-text-stroke: 0.1575px rgba(0, 0, 0, 0);"&gt;&lt;span style="display: inline-block;"&gt;–&lt;/span&gt;&lt;span style="word-spacing: 0.126px; letter-spacing: -0.126px; display: inline-block; margin-left: 0px; width: 0.410156px; font-size: 10.5px; font-family: ff8a; -webkit-text-stroke: 0.1575px rgba(0, 0, 0, 0);"&gt;&lt;/span&gt;&lt;span style="display: inline-block;"&gt;3&lt;/span&gt;&lt;span style="word-spacing: 0.126px; letter-spacing: -0.126px; display: inline-block; margin-left: 0px; width: 0.410156px; font-size: 10.5px; font-family: ff8a; -webkit-text-stroke: 0.1575px rgba(0, 0, 0, 0);"&gt;&lt;/span&gt;&lt;span style="display: inline-block;"&gt;17&lt;/span&gt;&lt;/span&gt;&lt;/span&gt;&lt;/span&gt;&lt;span class="pp-font-color-override-1" style="position: absolute; display: inline-block; left: 0px; top: 54.541px; width: 326.139px; white-space: pre; word-spacing: 0px; letter-spacing: 0.0315px; margin-left: 0px; font-size: 10.5px; font-family: ff8a; -webkit-text-stroke: 0.1575px rgba(0, 0, 0, 0);"&gt;&lt;span style="display: inline-block;"&gt;De&lt;/span&gt;&lt;span style="word-spacing: 0px; letter-spacing: 0.0315px; display: inline-block; margin-left: 0px; width: 0.410156px; font-size: 10.5px; font-family: ff8a; -webkit-text-stroke: 0.1575px rgba(0, 0, 0, 0);"&gt;&lt;/span&gt;&lt;span style="display: inline-block;"&gt;fer&lt;/span&gt;&lt;span style="word-spacing: 0px; letter-spacing: 0.0315px; display: inline-block; margin-left: 0px; width: 0.410156px; font-size: 10.5px; font-family: ff8a; -webkit-text-stroke: 0.1575px rgba(0, 0, 0, 0);"&gt;&lt;/span&gt;&lt;span style="display: inline-block;"&gt;red t&lt;/span&gt;&lt;span style="word-spacing: 0px; letter-spacing: 0.0315px; display: inline-block; margin-left: 0px; width: 0.410156px; font-size: 10.5px; font-family: ff8a; -webkit-text-stroke: 0.1575px rgba(0, 0, 0, 0);"&gt;&lt;/span&gt;&lt;span style="display: inline-block;"&gt;a&lt;/span&gt;&lt;span style="word-spacing: 0px; letter-spacing: 0.0315px; display: inline-block; margin-left: 0px; width: 0.410156px; font-size: 10.5px; font-family: ff8a; -webkit-text-stroke: 0.1575px rgba(0, 0, 0, 0);"&gt;&lt;/span&gt;&lt;span style="display: inline-block;"&gt;xes&lt;/span&gt;&lt;span style="word-spacing: 0px; letter-spacing: 0.0315px; display: inline-block; margin-left: 0px; width: 196.429px; font-size: 10.5px; font-family: ff8a; -webkit-text-stroke: 0.1575px rgba(0, 0, 0, 0);"&gt;&lt;span style="display: inline-block;"&gt; &lt;/span&gt;&lt;/span&gt;&lt;span class="pp-font-color-override-1" style="word-spacing: 0.231px; letter-spacing: -0.231px; display: inline-block; margin-left: 0px; font-size: 10.5px; font-family: ff8a; -webkit-text-stroke: 0.1575px rgba(0, 0, 0, 0);"&gt;&lt;span style="display: inline-block;"&gt;6&lt;/span&gt;&lt;span style="word-spacing: 0.231px; letter-spacing: -0.231px; display: inline-block; margin-left: 0px; width: 0.410156px; font-size: 10.5px; font-family: ff8a; -webkit-text-stroke: 0.1575px rgba(0, 0, 0, 0);"&gt;&lt;/span&gt;&lt;span style="display: inline-block;"&gt;47&lt;/span&gt;&lt;span style="word-spacing: 0.231px; letter-spacing: -0.231px; display: inline-block; margin-left: 0px; width: 20.3086px; font-size: 10.5px; font-family: ff8a; -webkit-text-stroke: 0.1575px rgba(0, 0, 0, 0);"&gt;&lt;span style="display: inline-block;"&gt;&lt;span style="width: 2.625px; display: inline-block;"&gt; &lt;/span&gt;&lt;/span&gt;&lt;/span&gt;&lt;span class="pp-font-color-override-1" style="word-spacing: -0.2415px; letter-spacing: 0.2415px; display: inline-block; margin-left: 0px; font-size: 10.5px; font-family: ff8a; -webkit-text-stroke: 0.1575px rgba(0, 0, 0, 0);"&gt;&lt;span style="display: inline-block;"&gt;–3,434&lt;/span&gt;&lt;/span&gt;&lt;/span&gt;&lt;/span&gt;&lt;span class="pp-font-color-override-1" style="position: absolute; display: inline-block; left: 0px; top: 70.5098px; width: 333.352px; white-space: pre; word-spacing: 0px; letter-spacing: 0.0315px; margin-left: 0px; font-size: 10.5px; font-family: ff8a; -webkit-text-stroke: 0.1575px rgba(0, 0, 0, 0);"&gt;&lt;span style="display: inline-block;"&gt;Pill&lt;/span&gt;&lt;span style="word-spacing: 0px; letter-spacing: 0.0315px; display: inline-block; margin-left: 0px; width: 0.410156px; font-size: 10.5px; font-family: ff8a; -webkit-text-stroke: 0.1575px rgba(0, 0, 0, 0);"&gt;&lt;/span&gt;&lt;span style="display: inline-block;"&gt;ar Two – minim&lt;/span&gt;&lt;span style="word-spacing: 0px; letter-spacing: 0.0315px; display: inline-block; margin-left: 0px; width: 0.410156px; font-size: 10.5px; font-family: ff8a; -webkit-text-stroke: 0.1575px rgba(0, 0, 0, 0);"&gt;&lt;/span&gt;&lt;span style="display: inline-block;"&gt;um ta&lt;/span&gt;&lt;span style="word-spacing: 0px; letter-spacing: 0.0315px; display: inline-block; margin-left: 0px; width: 0.410156px; font-size: 10.5px; font-family: ff8a; -webkit-text-stroke: 0.1575px rgba(0, 0, 0, 0);"&gt;&lt;/span&gt;&lt;span style="display: inline-block;"&gt;x&lt;/span&gt;&lt;span style="word-spacing: 0px; letter-spacing: 0.0315px; display: inline-block; margin-left: 0px; width: 156.949px; font-size: 10.5px; font-family: ff8a; -webkit-text-stroke: 0.1575px rgba(0, 0, 0, 0);"&gt;&lt;span style="display: inline-block;"&gt; &lt;/span&gt;&lt;/span&gt;&lt;span class="pp-font-color-override-1" style="word-spacing: 0.672px; letter-spacing: -0.672px; display: inline-block; margin-left: 0px; font-size: 10.5px; font-family: ff8a; -webkit-text-stroke: 0.1575px rgba(0, 0, 0, 0);"&gt;&lt;span style="display: inline-block;"&gt;–7&lt;/span&gt;&lt;span style="word-spacing: 0.672px; letter-spacing: -0.672px; display: inline-block; margin-left: 0px; width: 43.4355px; font-size: 10.5px; font-family: ff8a; -webkit-text-stroke: 0.1575px rgba(0, 0, 0, 0);"&gt;&lt;span style="display: inline-block;"&gt;&lt;span style="width: 2.625px; display: inline-block;"&gt; &lt;/span&gt;&lt;/span&gt;&lt;/span&gt;&lt;span class="pp-font-color-override-1" style="word-spacing: -0.4095px; letter-spacing: 0.4095px; display: inline-block; margin-left: 0px; font-size: 10.5px; font-family: ff8a; -webkit-text-stroke: 0.1575px rgba(0, 0, 0, 0);"&gt;&lt;span style="display: inline-block;"&gt;–9&lt;/span&gt;&lt;/span&gt;&lt;/span&gt;&lt;/span&gt;&lt;span class="pp-font-color-override-1" style="position: absolute; display: inline-block; left: 88px; top: 86.3086px; width: 5.10938px; white-space: pre; word-spacing: -0.0061215px; letter-spacing: 0.0061215px; margin-left: 0px; font-size: 6.1215px; font-family: ff8a; -webkit-text-stroke: 0.0918225px rgba(0, 0, 0, 0);"&gt;&lt;span style="display: inline-block;"&gt;1)&lt;/span&gt;&lt;/span&gt;&lt;span class="pp-font-color-override-1" style="position: absolute; display: inline-block; left: 0px; top: 86.4629px; width: 79.459px; white-space: pre; word-spacing: 0px; letter-spacing: 0.0315px; margin-left: 0px; font-size: 10.5px; font-family: ff8a; -webkit-text-stroke: 0.1575px rgba(0, 0, 0, 0);"&gt;&lt;span style="display: inline-block;"&gt;Wit&lt;/span&gt;&lt;span style="word-spacing: 0px; letter-spacing: 0.0315px; display: inline-block; margin-left: 0px; width: 0.410156px; font-size: 10.5px; font-family: ff8a; -webkit-text-stroke: 0.1575px rgba(0, 0, 0, 0);"&gt;&lt;/span&gt;&lt;span style="display: inline-block;"&gt;hh&lt;/span&gt;&lt;span style="word-spacing: 0px; letter-spacing: 0.0315px; display: inline-block; margin-left: 0px; width: 0.410156px; font-size: 10.5px; font-family: ff8a; -webkit-text-stroke: 0.1575px rgba(0, 0, 0, 0);"&gt;&lt;/span&gt;&lt;span style="display: inline-block;"&gt;old&lt;</t>
  </si>
  <si>
    <t>f1__s8__6__112</t>
  </si>
  <si>
    <t>ifrs-full:DisclosureOfDeferredTaxesExplanatory</t>
  </si>
  <si>
    <t>f1__s8__6__113</t>
  </si>
  <si>
    <t>ifrs-full:DisclosureOfTaxReceivablesAndPayablesExplanatory</t>
  </si>
  <si>
    <t>&lt;span style="display:inherit;clear:left;position:relative;height:129.75390625px;"&gt;&lt;span class="pp-font-color-override-1" style="position: absolute; display: inline-block; left: 0px; top: 0.0039062px; width: 297.082px; white-space: pre; word-spacing: -0.2208px; letter-spacing: 0.2208px; margin-left: 0px; font-size: 9.6px; font-family: ff89; -webkit-text-stroke: 0.144px rgba(0, 0, 0, 0);"&gt;&lt;span style="display: inline-block;"&gt;Income tax&lt;/span&gt;&lt;span style="word-spacing: -0.2208px; letter-spacing: 0.2208px; display: inline-block; margin-left: -0.684px; width: 0px; font-size: 9.6px; font-family: ff89; -webkit-text-stroke: 0.144px rgba(0, 0, 0, 0);"&gt;&lt;/span&gt;&lt;span style="display: inline-block;"&gt; recognised in income&lt;/span&gt;&lt;span style="word-spacing: -0.2208px; letter-spacing: 0.2208px; display: inline-block; margin-left: -0.684px; width: 0px; font-size: 9.6px; font-family: ff89; -webkit-text-stroke: 0.144px rgba(0, 0, 0, 0);"&gt;&lt;/span&gt;&lt;span style="display: inline-block;"&gt; statement&lt;/span&gt;&lt;span style="word-spacing: -0.2208px; letter-spacing: 0.2208px; display: inline-block; margin-left: 0px; width: 54.504px; font-size: 9.6px; font-family: ff89; -webkit-text-stroke: 0.144px rgba(0, 0, 0, 0);"&gt;&lt;span style="display: inline-block;"&gt; &lt;/span&gt;&lt;/span&gt;&lt;span class="pp-font-color-override-1" style="word-spacing: -0.0384px; letter-spacing: 0.0384px; display: inline-block; margin-left: 0px; font-size: 9.6px; font-family: ff89; -webkit-text-stroke: 0.144px rgba(0, 0, 0, 0);"&gt;&lt;span style="display: inline-block;"&gt;2025&lt;/span&gt;&lt;span style="word-spacing: -0.0384px; letter-spacing: 0.0384px; display: inline-block; margin-left: 0px; width: 30.6738px; font-size: 9.6px; font-family: ff89; -webkit-text-stroke: 0.144px rgba(0, 0, 0, 0);"&gt;&lt;span style="display: inline-block;"&gt; &lt;/span&gt;&lt;/span&gt;&lt;span class="pp-font-color-override-1" style="word-spacing: 0.0576px; letter-spacing: -0.0576px; display: inline-block; margin-left: 0px; font-size: 9.6px; font-family: ff88; -webkit-text-stroke: 0.144px rgba(0, 0, 0, 0);"&gt;&lt;span style="display: inline-block;"&gt;20&lt;/span&gt;&lt;span style="word-spacing: 0.0576px; letter-spacing: -0.0576px; display: inline-block; margin-left: 0px; width: 0.410156px; font-size: 9.6px; font-family: ff88; -webkit-text-stroke: 0.144px rgba(0, 0, 0, 0);"&gt;&lt;/span&gt;&lt;span style="display: inline-block;"&gt;24&lt;/span&gt;&lt;/span&gt;&lt;/span&gt;&lt;/span&gt;&lt;span class="pp-font-color-override-1" style="position: absolute; display: inline-block; left: 0px; top: 22.6348px; width: 316.887px; white-space: pre; word-spacing: 0px; letter-spacing: 0.0315px; margin-left: 0px; font-size: 10.5px; font-family: ff8a; -webkit-text-stroke: 0.1575px rgba(0, 0, 0, 0);"&gt;&lt;span style="display: inline-block;"&gt;Cur&lt;/span&gt;&lt;span style="word-spacing: 0px; letter-spacing: 0.0315px; display: inline-block; margin-left: 0px; width: 0.410156px; font-size: 10.5px; font-family: ff8a; -webkit-text-stroke: 0.1575px rgba(0, 0, 0, 0);"&gt;&lt;/span&gt;&lt;span style="display: inline-block;"&gt;rent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ta&lt;/span&gt;&lt;span style="word-spacing: 0px; letter-spacing: 0.0315px; display: inline-block; margin-left: 0px; width: 0.410156px; font-size: 10.5px; font-family: ff8a; -webkit-text-stroke: 0.1575px rgba(0, 0, 0, 0);"&gt;&lt;/span&gt;&lt;span style="display: inline-block;"&gt;x fo&lt;/span&gt;&lt;span style="word-spacing: 0px; letter-spacing: 0.0315px; display: inline-block; margin-left: 0px; width: 0.410156px; font-size: 10.5px; font-family: ff8a; -webkit-text-stroke: 0.1575px rgba(0, 0, 0, 0);"&gt;&lt;/span&gt;&lt;span style="display: inline-block;"&gt;r the y&lt;/span&gt;&lt;span style="word-spacing: 0px; letter-spacing: 0.0315px; display: inline-block; margin-left: 0px; width: 0.410156px; font-size: 10.5px; font-family: ff8a; -webkit-text-stroke: 0.1575px rgba(0, 0, 0, 0);"&gt;&lt;/span&gt;&lt;span style="display: inline-block;"&gt;ea&lt;/span&gt;&lt;span style="word-spacing: 0px; letter-spacing: 0.0315px; display: inline-block; margin-left: 0px; width: 0.410156px; font-size: 10.5px; font-family: ff8a; -webkit-text-stroke: 0.1575px rgba(0, 0, 0, 0);"&gt;&lt;/span&gt;&lt;span style="display: inline-block;"&gt;r&lt;/span&gt;&lt;span style="word-spacing: 0px; letter-spacing: 0.0315px; display: inline-block; margin-left: 0px; width: 100.881px; font-size: 10.5px; font-family: ff8a; -webkit-text-stroke: 0.1575px rgba(0, 0, 0, 0);"&gt;&lt;span style="display: inline-block;"&gt; &lt;/span&gt;&lt;/span&gt;&lt;span class="pp-font-color-override-1" style="word-spacing: 0.231px; letter-spacing: -0.231px; display: inline-block; margin-left: 0px; font-size: 10.5px; font-family: ff8a; -webkit-text-stroke: 0.1575px rgba(0, 0, 0, 0);"&gt;&lt;span style="display: inline-block;"&gt;–2,&lt;/span&gt;&lt;span style="word-spacing: 0.231px; letter-spacing: -0.231px; display: inline-block; margin-left: 0px; width: 0.410156px; font-size: 10.5px; font-family: ff8a; -webkit-text-stroke: 0.1575px rgba(0, 0, 0, 0);"&gt;&lt;/span&gt;&lt;span style="display: inline-block;"&gt;6&lt;/span&gt;&lt;span style="word-spacing: 0.231px; letter-spacing: -0.231px; display: inline-block; margin-left: 0px; width: 0.410156px; font-size: 10.5px; font-family: ff8a; -webkit-text-stroke: 0.1575px rgba(0, 0, 0, 0);"&gt;&lt;/span&gt;&lt;span style="display: inline-block;"&gt;9&lt;/span&gt;&lt;span style="word-spacing: 0.231px; letter-spacing: -0.231px; display: inline-block; margin-left: 0px; width: 0.410156px; font-size: 10.5px; font-family: ff8a; -webkit-text-stroke: 0.1575px rgba(0, 0, 0, 0);"&gt;&lt;/span&gt;&lt;span style="display: inline-block;"&gt;0&lt;/span&gt;&lt;span style="word-spacing: 0.231px; letter-spacing: -0.231px; display: inline-block; margin-left: 0px; width: 22.4355px; font-size: 10.5px; font-family: ff8a;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ff8a; -webkit-text-stroke: 0.1575px rgba(0, 0, 0, 0);"&gt;&lt;span style="display: inline-block;"&gt;–2&lt;/span&gt;&lt;span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inline-block;"&gt;9&lt;/span&gt;&lt;span style="word-spacing: 0.273px; letter-spacing: -0.273px; display: inline-block; margin-left: 0px; width: 0.410156px; font-size: 10.5px; font-family: ff8a; -webkit-text-stroke: 0.1575px rgba(0, 0, 0, 0);"&gt;&lt;/span&gt;&lt;span style="display: inline-block;"&gt;9&lt;/span&gt;&lt;/span&gt;&lt;/span&gt;&lt;/span&gt;&lt;span class="pp-font-color-override-1" style="position: absolute; display: inline-block; left: 0px; top: 38.5879px; width: 318.451px; white-space: pre; word-spacing: 0px; letter-spacing: 0.0315px; margin-left: 0px; font-size: 10.5px; font-family: ff8a; -webkit-text-stroke: 0.1575px rgba(0, 0, 0, 0);"&gt;&lt;span style="display: inline-block;"&gt;Cur&lt;/span&gt;&lt;span style="word-spacing: 0px; letter-spacing: 0.0315px; display: inline-block; margin-left: 0px; width: 0.410156px; font-size: 10.5px; font-family: ff8a; -webkit-text-stroke: 0.1575px rgba(0, 0, 0, 0);"&gt;&lt;/span&gt;&lt;span style="display: inline-block;"&gt;rent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ta&lt;/span&gt;&lt;span style="word-spacing: 0px; letter-spacing: 0.0315px; display: inline-block; margin-left: 0px; width: 0.410156px; font-size: 10.5px; font-family: ff8a; -webkit-text-stroke: 0.1575px rgba(0, 0, 0, 0);"&gt;&lt;/span&gt;&lt;span style="display: inline-block;"&gt;x fo&lt;/span&gt;&lt;span style="word-spacing: 0px; letter-spacing: 0.0315px; display: inline-block; margin-left: 0px; width: 0.410156px; font-size: 10.5px; font-family: ff8a; -webkit-text-stroke: 0.1575px rgba(0, 0, 0, 0);"&gt;&lt;/span&gt;&lt;span style="display: inline-block;"&gt;r pre&lt;/span&gt;&lt;span style="word-spacing: 0px; letter-spacing: 0.0315px; display: inline-block; margin-left: 0px; width: 0.410156px; font-size: 10.5px; font-family: ff8a; -webkit-text-stroke: 0.1575px rgba(0, 0, 0, 0);"&gt;&lt;/span&gt;&lt;span style="display: inline-block;"&gt;vio&lt;/span&gt;&lt;span style="word-spacing: 0px; letter-spacing: 0.0315px; display: inline-block; margin-left: 0px; width: 0.410156px; font-size: 10.5px; font-family: ff8a; -webkit-text-stroke: 0.1575px rgba(0, 0, 0, 0);"&gt;&lt;/span&gt;&lt;span style="display: inline-block;"&gt;us y&lt;/span&gt;&lt;span style="word-spacing: 0px; letter-spacing: 0.0315px; display: inline-block; margin-left: 0px; width: 0.410156px; font-size: 10.5px; font-family: ff8a; -webkit-text-stroke: 0.1575px rgba(0, 0, 0, 0);"&gt;&lt;/span&gt;&lt;span style="display: inline-block;"&gt;ear&lt;/span&gt;&lt;span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77.9531px; font-size: 10.5px; font-family: ff8a; -webkit-text-stroke: 0.1575px rgba(0, 0, 0, 0);"&gt;&lt;span style="display: inline-block;"&gt; &lt;/span&gt;&lt;/span&gt;&lt;span class="pp-font-color-override-1" style="word-spacing: -0.105px; letter-spacing: 0.105px; display: inline-block; margin-left: 0px; font-size: 10.5px; font-family: ff8a; -webkit-text-stroke: 0.1575px rgba(0, 0, 0, 0);"&gt;&lt;span style="display: inline-block;"&gt;–450&lt;/span&gt;&lt;span style="word-spacing: -0.105px; letter-spacing: 0.105px; display: inline-block; margin-left: 0px; width: 32.959px; font-size: 10.5px; font-family: ff8a; -webkit-text-stroke: 0.1575px rgba(0, 0, 0, 0);"&gt;&lt;span style="display: inline-block;"&gt; &lt;/span&gt;&lt;/span&gt;&lt;span class="pp-font-color-override-1" style="word-spacing: 0.126px; letter-spacing: -0.126px; display: inline-block; margin-left: 0px; font-size: 10.5px; font-family: ff8a; -webkit-text-stroke: 0.1575px rgba(0, 0, 0, 0);"&gt;&lt;span style="display: inline-block;"&gt;–&lt;/span&gt;&lt;span style="word-spacing: 0.126px; letter-spacing: -0.126px; display: inline-block; margin-left: 0px; width: 0.410156px; font-size: 10.5px; font-family: ff8a; -webkit-text-stroke: 0.1575px rgba(0, 0, 0, 0);"&gt;&lt;/span&gt;&lt;span style="display: inline-block;"&gt;3&lt;/span&gt;&lt;span style="word-spacing: 0.126px; letter-spacing: -0.126px; display: inline-block; margin-left: 0px; width: 0.410156px; font-size: 10.5px; font-family: ff8a; -webkit-text-stroke: 0.1575px rgba(0, 0, 0, 0);"&gt;&lt;/span&gt;&lt;span style="display: inline-block;"&gt;17&lt;/span&gt;&lt;/span&gt;&lt;/span&gt;&lt;/span&gt;&lt;span class="pp-font-color-override-1" style="position: absolute; display: inline-block; left: 0px; top: 54.541px; width: 326.139px; white-space: pre; word-spacing: 0px; letter-spacing: 0.0315px; margin-left: 0px; font-size: 10.5px; font-family: ff8a; -webkit-text-stroke: 0.1575px rgba(0, 0, 0, 0);"&gt;&lt;span style="display: inline-block;"&gt;De&lt;/span&gt;&lt;span style="word-spacing: 0px; letter-spacing: 0.0315px; display: inline-block; margin-left: 0px; width: 0.410156px; font-size: 10.5px; font-family: ff8a; -webkit-text-stroke: 0.1575px rgba(0, 0, 0, 0);"&gt;&lt;/span&gt;&lt;span style="display: inline-block;"&gt;fer&lt;/span&gt;&lt;span style="word-spacing: 0px; letter-spacing: 0.0315px; display: inline-block; margin-left: 0px; width: 0.410156px; font-size: 10.5px; font-family: ff8a; -webkit-text-stroke: 0.1575px rgba(0, 0, 0, 0);"&gt;&lt;/span&gt;&lt;span style="display: inline-block;"&gt;red t&lt;/span&gt;&lt;span style="word-spacing: 0px; letter-spacing: 0.0315px; display: inline-block; margin-left: 0px; width: 0.410156px; font-size: 10.5px; font-family: ff8a; -webkit-text-stroke: 0.1575px rgba(0, 0, 0, 0);"&gt;&lt;/span&gt;&lt;span style="display: inline-block;"&gt;a&lt;/span&gt;&lt;span style="word-spacing: 0px; letter-spacing: 0.0315px; display: inline-block; margin-left: 0px; width: 0.410156px; font-size: 10.5px; font-family: ff8a; -webkit-text-stroke: 0.1575px rgba(0, 0, 0, 0);"&gt;&lt;/span&gt;&lt;span style="display: inline-block;"&gt;xes&lt;/span&gt;&lt;span style="word-spacing: 0px; letter-spacing: 0.0315px; display: inline-block; margin-left: 0px; width: 196.429px; font-size: 10.5px; font-family: ff8a; -webkit-text-stroke: 0.1575px rgba(0, 0, 0, 0);"&gt;&lt;span style="display: inline-block;"&gt; &lt;/span&gt;&lt;/span&gt;&lt;span class="pp-font-color-override-1" style="word-spacing: 0.231px; letter-spacing: -0.231px; display: inline-block; margin-left: 0px; font-size: 10.5px; font-family: ff8a; -webkit-text-stroke: 0.1575px rgba(0, 0, 0, 0);"&gt;&lt;span style="display: inline-block;"&gt;6&lt;/span&gt;&lt;span style="word-spacing: 0.231px; letter-spacing: -0.231px; display: inline-block; margin-left: 0px; width: 0.410156px; font-size: 10.5px; font-family: ff8a; -webkit-text-stroke: 0.1575px rgba(0, 0, 0, 0);"&gt;&lt;/span&gt;&lt;span style="display: inline-block;"&gt;47&lt;/span&gt;&lt;span style="word-spacing: 0.231px; letter-spacing: -0.231px; display: inline-block; margin-left: 0px; width: 20.3086px; font-size: 10.5px; font-family: ff8a; -webkit-text-stroke: 0.1575px rgba(0, 0, 0, 0);"&gt;&lt;span style="display: inline-block;"&gt;&lt;span style="width: 2.625px; display: inline-block;"&gt; &lt;/span&gt;&lt;/span&gt;&lt;/span&gt;&lt;span class="pp-font-color-override-1" style="word-spacing: -0.2415px; letter-spacing: 0.2415px; display: inline-block; margin-left: 0px; font-size: 10.5px; font-family: ff8a; -webkit-text-stroke: 0.1575px rgba(0, 0, 0, 0);"&gt;&lt;span style="display: inline-block;"&gt;–3,434&lt;/span&gt;&lt;/span&gt;&lt;/span&gt;&lt;/span&gt;&lt;span class="pp-font-color-override-1" style="position: absolute; display: inline-block; left: 0px; top: 70.5098px; width: 333.352px; white-space: pre; word-spacing: 0px; letter-spacing: 0.0315px; margin-left: 0px; font-size: 10.5px; font-family: ff8a; -webkit-text-stroke: 0.1575px rgba(0, 0, 0, 0);"&gt;&lt;span style="display: inline-block;"&gt;Pill&lt;/span&gt;&lt;span style="word-spacing: 0px; letter-spacing: 0.0315px; display: inline-block; margin-left: 0px; width: 0.410156px; font-size: 10.5px; font-family: ff8a; -webkit-text-stroke: 0.1575px rgba(0, 0, 0, 0);"&gt;&lt;/span&gt;&lt;span style="display: inline-block;"&gt;ar Two – minim&lt;/span&gt;&lt;span style="word-spacing: 0px; letter-spacing: 0.0315px; display: inline-block; margin-left: 0px; width: 0.410156px; font-size: 10.5px; font-family: ff8a; -webkit-text-stroke: 0.1575px rgba(0, 0, 0, 0);"&gt;&lt;/span&gt;&lt;span style="display: inline-block;"&gt;um ta&lt;/span&gt;&lt;span style="word-spacing: 0px; letter-spacing: 0.0315px; display: inline-block; margin-left: 0px; width: 0.410156px; font-size: 10.5px; font-family: ff8a; -webkit-text-stroke: 0.1575px rgba(0, 0, 0, 0);"&gt;&lt;/span&gt;&lt;span style="display: inline-block;"&gt;x&lt;/span&gt;&lt;span style="word-spacing: 0px; letter-spacing: 0.0315px; display: inline-block; margin-left: 0px; width: 156.949px; font-size: 10.5px; font-family: ff8a; -webkit-text-stroke: 0.1575px rgba(0, 0, 0, 0);"&gt;&lt;span style="display: inline-block;"&gt; &lt;/span&gt;&lt;/span&gt;&lt;span class="pp-font-color-override-1" style="word-spacing: 0.672px; letter-spacing: -0.672px; display: inline-block; margin-left: 0px; font-size: 10.5px; font-family: ff8a; -webkit-text-stroke: 0.1575px rgba(0, 0, 0, 0);"&gt;&lt;span style="display: inline-block;"&gt;–7&lt;/span&gt;&lt;span style="word-spacing: 0.672px; letter-spacing: -0.672px; display: inline-block; margin-left: 0px; width: 43.4355px; font-size: 10.5px; font-family: ff8a; -webkit-text-stroke: 0.1575px rgba(0, 0, 0, 0);"&gt;&lt;span style="display: inline-block;"&gt;&lt;span style="width: 2.625px; display: inline-block;"&gt; &lt;/span&gt;&lt;/span&gt;&lt;/span&gt;&lt;span class="pp-font-color-override-1" style="word-spacing: -0.4095px; letter-spacing: 0.4095px; display: inline-block; margin-left: 0px; font-size: 10.5px; font-family: ff8a; -webkit-text-stroke: 0.1575px rgba(0, 0, 0, 0);"&gt;&lt;span style="display: inline-block;"&gt;–9&lt;/span&gt;&lt;/span&gt;&lt;/span&gt;&lt;/span&gt;&lt;span class="pp-font-color-override-1" style="position: absolute; display: inline-block; left: 88px; top: 86.3086px; width: 5.10938px; white-space: pre; word-spacing: -0.0061215px; letter-spacing: 0.0061215px; margin-left: 0px; font-size: 6.1215px; font-family: ff8a; -webkit-text-stroke: 0.0918225px rgba(0, 0, 0, 0);"&gt;&lt;span style="display: inline-block;"&gt;1)&lt;/span&gt;&lt;/span&gt;&lt;span class="pp-font-color-override-1" style="position: absolute; display: inline-block; left: 0px; top: 86.4629px; width: 79.459px; white-space: pre; word-spacing: 0px; letter-spacing: 0.0315px; margin-left: 0px; font-size: 10.5px; font-family: ff8a; -webkit-text-stroke: 0.1575px rgba(0, 0, 0, 0);"&gt;&lt;span style="display: inline-block;"&gt;Wit&lt;/span&gt;&lt;span style="word-spacing: 0px; letter-spacing: 0.0315px; display: inline-block; margin-left: 0px; width: 0.410156px; font-size: 10.5px; font-family: ff8a; -webkit-text-stroke: 0.1575px rgba(0, 0, 0, 0);"&gt;&lt;/span&gt;&lt;span style="display: inline-block;"&gt;hh&lt;/span&gt;&lt;span style="word-spacing: 0px; letter-spacing: 0.0315px; display: inline-block; margin-left: 0px; width: 0.410156px; font-size: 10.5px; font-family: ff8a; -webkit-text-stroke: 0.1575px rgba(0, 0, 0, 0);"&gt;&lt;/span&gt;&lt;span style="display: inline-block;"&gt;old&lt;/span&gt;&lt;span style="word-spacing: 0px; letter-spacing: 0.0315px; display: inline-block; margin-left: 0px; width: 0.410156px; font-size: 10.5px; font-family: ff8a; -webkit-text-stroke: 0.1575px rgba(0, 0, 0, 0);"&gt;&lt;/span&gt;&lt;span style="display: inline-block;"&gt;ing t&lt;/span&gt;&lt;span style="word-spacing: 0px; letter-spacing: 0.0315px; display: inline-block; margin-left: 0px; width: 0.410156px; font-size: 10.5px; font-family: ff8a; -webkit-text-stroke: 0.1575px rgba(0, 0, 0, 0);"&gt;&lt;/span&gt;&lt;span style="display: inline-block;"&gt;axe&lt;/span&gt;&lt;span style="word-spacing: 0px; letter-spacing: 0.0315px; display: inline-block; margin-left: 0px; width: 0.410156px; font-size: 10.5px; font-family: ff8a; -webkit-text-stroke: 0.1575px rgba(0, 0, 0, 0);"&gt;&lt;/span&gt;&lt;span style="display: inline-block;"&gt;s&lt;/span&gt;&lt;/span&gt;&lt;span class="pp-font-color-override-1" style="position: absolute; display: inline-block; left: 274.203px; top: 86.4629px; width: 67.0723px; white-space: pre; word-spacing: 0.126px; letter-spacing: -0.126px; margin-left: 0px; font-size: 10.5px; font-family: ff8a; -webkit-text-stroke: 0.1575px rgba(0, 0, 0, 0);"&gt;&lt;span style="display: inline-block;"&gt;171&lt;/span&gt;&lt;span style="word-spacing: 0.126px; letter-spacing: -0.126px; display: inline-block; margin-left: 0px; width: 31.207px; font-size: 10.5px; font-family: ff8a; -webkit-text-stroke: 0.1575px rgba(0, 0, 0, 0);"&gt;&lt;span style="display: inline-block;"&gt;&lt;span style="width: 2.625px; display: inline-block;"&gt; &lt;/span&gt;&lt;/span&gt;&lt;/span&gt;&lt;span class="pp-font-color-override-1" style="word-spacing: 0.231px; letter-spacing: -0.231px; display: inline-block; margin-left: 0px; font-size: 10.5px; font-family: ff8a; -webkit-text-stroke: 0.1575px rgba(0, 0, 0, 0);"&gt;&lt;span style="display: inline-block;"&gt;–25&lt;/span&gt;&lt;span style="word-spacing: 0.231px; letter-spacing: -0.231px; display: inline-block; margin-left: 0px; width: 0.410156px; font-size: 10.5px; font-family: ff8a; -webkit-text-stroke: 0.1575px rgba(0, 0, 0, 0);"&gt;&lt;/span&gt;&lt;span style="display: inline-block;"&gt;5&lt;/span&gt;&lt;/span&gt;&lt;/span&gt;&lt;span class="pp-font-color-override-1" style="position: absolute; display: inline-block; left: 0px; top: 102.432px; width: 332.496px; white-space: pre; word-spacing: 0px; letter-spacing: 0.0315px; margin-left: 0px; font-size: 10.5px; font-family: ff8a; -webkit-text-stroke: 0.1575px rgba(0, 0, 0, 0);"&gt;&lt;span style="display: inline-block;"&gt;Ot&lt;/span&gt;&lt;span style="word-spacing: 0px; letter-spacing: 0.0315px; display: inline-block; margin-left: 0px; width: 0.410156px; font-size: 10.5px; font-family: ff8a; -webkit-text-stroke: 0.1575px rgba(0, 0, 0, 0);"&gt;&lt;/span&gt;&lt;span style="display: inline-block;"&gt;he&lt;/span&gt;&lt;span style="word-spacing: 0px; letter-spacing: 0.0315px; display: inline-block; margin-left: 0px; width: 0.410156px; font-size: 10.5px; font-family: ff8a; -webkit-text-stroke: 0.1575px rgba(0, 0, 0, 0);"&gt;&lt;/span&gt;&lt;span style="display: inline-block;"&gt;r ta&lt;/span&gt;&lt;span style="word-spacing: 0px; letter-spacing: 0.0315px; display: inline-block; margin-left: 0px; width: 0.410156px; font-size: 10.5px; font-family: ff8a; -webkit-text-stroke: 0.1575px rgba(0, 0, 0, 0);"&gt;&lt;/span&gt;&lt;span style="display: inline-block;"&gt;xe&lt;/span&gt;&lt;span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219.065px; font-size: 10.5px; font-family: ff8a; -webkit-text-stroke: 0.1575px rgba(0, 0, 0, 0);"&gt;&lt;span style="display: inline-block;"&gt; &lt;/span&gt;&lt;/span&gt;&lt;span class="pp-font-color-override-1" style="word-spacing: 0px; letter-spacing: 0px; display: inline-block; margin-left: 0px; font-size: 10.5px; font-family: ff8a; -webkit-text-stroke: 0.1575px rgba(0, 0, 0, 0);"&gt;&lt;span style="display: inline-block;"&gt;27&lt;/span&gt;&lt;span style="word-spacing: 0px; letter-spacing: 0px; display: inline-block; margin-left: 0px; width: 42.0232px;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inline-block;"&gt;29&lt;/span&gt;&lt;/span&gt;&lt;/span&gt;&lt;/span&gt;&lt;span class="pp-font-color-override-1" style="position: absolute; display: inline-block; left: 0px; top: 118.133px; width: 326.32px; white-space: pre; word-spacing: -0.1995px; letter-spacing: 0.1995px; margin-left: 0px; font-size: 10.5px; font-family: ff89; -webkit-text-stroke: 0.1575px rgba(0, 0, 0, 0);"&gt;&lt;span style="display: inline-block;"&gt;T&lt;/span&gt;&lt;span style="word-spacing: -0.1995px; letter-spacing: 0.1995px; display: inline-block; margin-left: -1.13625px; width: 0px; font-size: 10.5px; font-family: ff89; -webkit-text-stroke: 0.1575px rgba(0, 0, 0, 0);"&gt;&lt;/span&gt;&lt;span style="display: inline-block;"&gt;ot&lt;/span&gt;&lt;span style="word-spacing: -0.1995px; letter-spacing: 0.1995px; display: inline-block; margin-left: 0px; width: 0.410156px; font-size: 10.5px; font-family: ff89; -webkit-text-stroke: 0.1575px rgba(0, 0, 0, 0);"&gt;&lt;/span&gt;&lt;span style="display: inline-block;"&gt;al&lt;/span&gt;&lt;span style="word-spacing: -0.1995px; letter-spacing: 0.1995px; display: inline-block; margin-left: 0px; width: 224.982px; font-size: 10.5px; font-family: ff89; -webkit-text-stroke: 0.1575px rgba(0, 0, 0, 0);"&gt;&lt;span style="display: inline-block;"&gt; &lt;/span&gt;&lt;/span&gt;&lt;span class="pp-font-color-override-1" style="word-spacing: 0.0735px; letter-spacing: -0.0735px; display: inline-block; margin-left: 0px; font-size: 10.5px; font-family: ff89; -webkit-text-stroke: 0.1575px rgba(0, 0, 0, 0);"&gt;&lt;span style="display: inline-block;"&gt;–2&lt;/span&gt;&lt;span style="word-spacing: 0.0735px; letter-spacing: -0.0735px; display: inline-block; margin-left: 0px; width: 0.410156px; font-size: 10.5px; font-family: ff89; -webkit-text-stroke: 0.1575px rgba(0, 0, 0, 0);"&gt;&lt;/span&gt;&lt;span style="display: inline-block;"&gt;,&lt;/span&gt;&lt;span style="word-spacing: 0.0735px; letter-spacing: -0.0735px; display: inline-block; margin-left: 0px; width: 0.410156px; font-size: 10.5px; font-family: ff89; -webkit-text-stroke: 0.1575px rgba(0, 0, 0, 0);"&gt;&lt;/span&gt;&lt;span style="display: inline-block;"&gt;302&lt;/span&gt;&lt;span style="word-spacing: 0.0735px; letter-spacing: -0.0735px; display: inline-block; margin-left: 0px; width: 19.8223px; font-size: 10.5px; font-family: ff89; -webkit-text-stroke: 0.1575px rgba(0, 0, 0, 0);"&gt;&lt;span style="display: inline-block;"&gt;&lt;span style="width: 2.625px; display: inline-block;"&gt; &lt;/span&gt;&lt;/span&gt;&lt;/span&gt;&lt;span class="pp-font-color-override-1" style="word-spacing: 0.1365px; letter-spacing: -0.1365px; display: inline-block; margin-left: 0px; font-size: 10.5px; font-family: ff89; -webkit-text-stroke: 0.1575px rgba(0, 0, 0, 0);"&gt;&lt;span style="display: inline-block;"&gt;–&lt;/span&gt;&lt;span style="word-spacing: 0.1365px; letter-spacing: -0.1365px; display: inline-block; margin-left: 0px; width: 0.925781px; font-size: 10.5px; font-family: ff89; -webkit-text-stroke: 0.1575px rgba(0, 0, 0, 0);"&gt;&lt;/span&gt;&lt;span style="display: inline-block;"&gt;6&lt;/span&gt;&lt;span style="word-spacing: 0.1365px; letter-spacing: -0.1365px; display: inline-block; margin-left: 0px; width: 0.410156px; font-size: 10.5px; font-family: ff89; -webkit-text-stroke: 0.1575px rgba(0, 0, 0, 0);"&gt;&lt;/span&gt;&lt;span style="display: inline-block;"&gt;,78&lt;/span&gt;&lt;span style="word-spacing: 0.1365px; letter-spacing: -0.1365px; display: inline-block; margin-left: 0px; width: 0.410156px; font-size: 10.5px; font-family: ff89; -webkit-text-stroke: 0.1575px rgba(0, 0, 0, 0);"&gt;&lt;/span&gt;&lt;span style="display: inline-block;"&gt;5&lt;/span&gt;&lt;/span&gt;&lt;/span&gt;&lt;/span&gt;&lt;/span&gt;&lt;span style="display:inherit;clear:left;"&gt;1) Wit&lt;span class="_ _7"&gt;&lt;/span&gt;hho&lt;span class="_ _7"&gt;&lt;/span&gt;ldi&lt;span class="_ _7"&gt;&lt;/span&gt;ng ta&lt;span class="_ _7"&gt;&lt;/span&gt;x o&lt;span class="_ _7"&gt;&lt;/span&gt;n i.&lt;span class="_ _7"&gt;&lt;/span&gt;a. r&lt;span class="_ _7"&gt;&lt;/span&gt;oya&lt;span class="_ _7"&gt;&lt;/span&gt;lt&lt;span class="_ _7"&gt;&lt;/span&gt;y and l&lt;span class="_ _7"&gt;&lt;/span&gt;ice&lt;span class="_ _7"&gt;&lt;/span&gt;nc&lt;span class="_ _7"&gt;&lt;/span&gt;e s&lt;span class="_ _7"&gt;&lt;/span&gt;ale&lt;span class="_ _7"&gt;&lt;/span&gt;s&lt;span class="_ _7"&gt;&lt;/span&gt;, mai&lt;span class="_ _7"&gt;&lt;/span&gt;nly to Ch&lt;span class="_ _7"&gt;&lt;/span&gt;ina&lt;span class="_ _7"&gt;&lt;/span&gt;.&lt;/span&gt;&lt;span style="display:inherit;clear:left;position:relative;height:323.228515625px;"&gt;&lt;span class="pp-font-color-override-1" style="position: absolute; display: inline-block; left: 1.14062px; top: 0.0136718px; width: 202.904px; white-space: pre; word-spacing: 0px; letter-spacing: 0px; margin-left: 0px; font-size: 9.6px; font-family: ff89; -webkit-text-stroke: 0.144px rgba(0, 0, 0, 0);"&gt;&lt;span style="display: inline-block;"&gt;Rec&lt;/span&gt;&lt;span style="word-spacing: 0px; letter-spacing: 0px; display: inline-block; margin-left: 0px; width: 0.410156px; font-size: 9.6px; font-family: ff89; -webkit-text-stroke: 0.144px rgba(0, 0, 0, 0);"&gt;&lt;/span&gt;&lt;span style="display: inline-block;"&gt;on&lt;/span&gt;&lt;span style="word-spacing: 0px; letter-spacing: 0px; display: inline-block; margin-left: 0px; width: 0.410156px; font-size: 9.6px; font-family: ff89; -webkit-text-stroke: 0.144px rgba(0, 0, 0, 0);"&gt;&lt;/span&gt;&lt;span style="display: inline-block;"&gt;ci&lt;/span&gt;&lt;span style="word-spacing: 0px; letter-spacing: 0px; display: inline-block; margin-left: 0px; width: 0.410156px; font-size: 9.6px; font-family: ff89; -webkit-text-stroke: 0.144px rgba(0, 0, 0, 0);"&gt;&lt;/span&gt;&lt;span style="display: inline-block;"&gt;li&lt;/span&gt;&lt;span style="word-spacing: 0px; letter-spacing: 0px; display: inline-block; margin-left: 0px; width: 0.410156px; font-size: 9.6px; font-family: ff89; -webkit-text-stroke: 0.144px rgba(0, 0, 0, 0);"&gt;&lt;/span&gt;&lt;span style="display: inline-block;"&gt;ati&lt;/span&gt;&lt;span style="word-spacing: 0px; letter-spacing: 0px; display: inline-block; margin-left: 0px; width: 0.410156px; font-size: 9.6px; font-family: ff89; -webkit-text-stroke: 0.144px rgba(0, 0, 0, 0);"&gt;&lt;/span&gt;&lt;span style="display: inline-block;"&gt;on b&lt;/span&gt;&lt;span style="word-spacing: 0px; letter-spacing: 0px; display: inline-block; margin-left: 0px; width: 0.410156px; font-size: 9.6px; font-family: ff89; -webkit-text-stroke: 0.144px rgba(0, 0, 0, 0);"&gt;&lt;/span&gt;&lt;span style="display: inline-block;"&gt;et&lt;/span&gt;&lt;span style="word-spacing: 0px; letter-spacing: 0px; display: inline-block; margin-left: 0px; width: 0.410156px; font-size: 9.6px; font-family: ff89; -webkit-text-stroke: 0.144px rgba(0, 0, 0, 0);"&gt;&lt;/span&gt;&lt;span style="display: inline-block;"&gt;w&lt;/span&gt;&lt;span style="word-spacing: 0px; letter-spacing: 0px; display: inline-block; margin-left: 0px; width: 0.410156px; font-size: 9.6px; font-family: ff89; -webkit-text-stroke: 0.144px rgba(0, 0, 0, 0);"&gt;&lt;/span&gt;&lt;span style="display: inline-block;"&gt;ee&lt;/span&gt;&lt;span style="word-spacing: 0px; letter-spacing: 0px; display: inline-block; margin-left: 0px; width: 0.410156px; font-size: 9.6px; font-family: ff89; -webkit-text-stroke: 0.144px rgba(0, 0, 0, 0);"&gt;&lt;/span&gt;&lt;span style="display: inline-block;"&gt;n cur&lt;/span&gt;&lt;span style="word-spacing: 0px; letter-spacing: 0px; display: inline-block; margin-left: 0px; width: 0.410156px; font-size: 9.6px; font-family: ff89; -webkit-text-stroke: 0.144px rgba(0, 0, 0, 0);"&gt;&lt;/span&gt;&lt;span style="display: inline-block;"&gt;re&lt;/span&gt;&lt;span style="word-spacing: 0px; letter-spacing: 0px; display: inline-block; margin-left: 0px; width: 0.410156px; font-size: 9.6px; font-family: ff89; -webkit-text-stroke: 0.144px rgba(0, 0, 0, 0);"&gt;&lt;/span&gt;&lt;span style="display: inline-block;"&gt;nt t&lt;/span&gt;&lt;span style="word-spacing: 0px; letter-spacing: 0px; display: inline-block; margin-left: 0px; width: 0.410156px; font-size: 9.6px; font-family: ff89; -webkit-text-stroke: 0.144px rgba(0, 0, 0, 0);"&gt;&lt;/span&gt;&lt;span style="display: inline-block;"&gt;a&lt;/span&gt;&lt;span style="word-spacing: 0px; letter-spacing: 0px; display: inline-block; margin-left: 0px; width: 0.410156px; font-size: 9.6px; font-family: ff89; -webkit-text-stroke: 0.144px rgba(0, 0, 0, 0);"&gt;&lt;/span&gt;&lt;span style="display: inline-block;"&gt;x ra&lt;/span&gt;&lt;span style="word-spacing: 0px; letter-spacing: 0px; display: inline-block; margin-left: 0px; width: 0.410156px; font-size: 9.6px; font-family: ff89; -webkit-text-stroke: 0.144px rgba(0, 0, 0, 0);"&gt;&lt;/span&gt;&lt;span style="display: inline-block;"&gt;te in S&lt;/span&gt;&lt;span style="word-spacing: 0px; letter-spacing: 0px; display: inline-block; margin-left: 0px; width: 0.410156px; font-size: 9.6px; font-family: ff89; -webkit-text-stroke: 0.144px rgba(0, 0, 0, 0);"&gt;&lt;/span&gt;&lt;span style="display: inline-block;"&gt;we&lt;/span&gt;&lt;span style="word-spacing: 0px; letter-spacing: 0px; display: inline-block; margin-left: 0px; width: 0.410156px; font-size: 9.6px; font-family: ff89; -webkit-text-stroke: 0.144px rgba(0, 0, 0, 0);"&gt;&lt;/span&gt;&lt;span style="display: inline-block;"&gt;de&lt;/span&gt;&lt;span style="word-spacing: 0px; letter-spacing: 0px; display: inline-block; margin-left: 0px; width: 0.410156px; font-size: 9.6px; font-family: ff89; -webkit-text-stroke: 0.144px rgba(0, 0, 0, 0);"&gt;&lt;/span&gt;&lt;span style="display: inline-block;"&gt;n &lt;/span&gt;&lt;/span&gt;&lt;span class="pp-font-color-override-1" style="position: absolute; display: inline-block; left: 1.14062px; top: 9.76953px; width: 313.799px; white-space: pre; word-spacing: 0px; letter-spacing: 0px; margin-left: 0px; font-size: 9.6px; font-family: ff89; -webkit-text-stroke: 0.144px rgba(0, 0, 0, 0);"&gt;&lt;span style="display: inline-block;"&gt;an&lt;/span&gt;&lt;span style="word-spacing: 0px; letter-spacing: 0px; display: inline-block; margin-left: 0px; width: 0.410156px; font-size: 9.6px; font-family: ff89; -webkit-text-stroke: 0.144px rgba(0, 0, 0, 0);"&gt;&lt;/span&gt;&lt;span style="display: inline-block;"&gt;d ef&lt;/span&gt;&lt;span style="word-spacing: 0px; letter-spacing: 0px; display: inline-block; margin-left: 0px; width: 0.410156px; font-size: 9.6px; font-family: ff89; -webkit-text-stroke: 0.144px rgba(0, 0, 0, 0);"&gt;&lt;/span&gt;&lt;span style="display: inline-block;"&gt;f&lt;/span&gt;&lt;span style="word-spacing: 0px; letter-spacing: 0px; display: inline-block; margin-left: 0px; width: 0.410156px; font-size: 9.6px; font-family: ff89; -webkit-text-stroke: 0.144px rgba(0, 0, 0, 0);"&gt;&lt;/span&gt;&lt;span style="display: inline-block;"&gt;ec&lt;/span&gt;&lt;span style="word-spacing: 0px; letter-spacing: 0px; display: inline-block; margin-left: 0px; width: 0.410156px; font-size: 9.6px; font-family: ff89; -webkit-text-stroke: 0.144px rgba(0, 0, 0, 0);"&gt;&lt;/span&gt;&lt;span style="display: inline-block;"&gt;ti&lt;/span&gt;&lt;span sty</t>
  </si>
  <si>
    <t>f1__s8__6__114</t>
  </si>
  <si>
    <t>ifrs-full:DescriptionOfAccountingPolicyForDeferredIncomeTaxExplanatory</t>
  </si>
  <si>
    <t>&lt;span style="display:inherit;clear:left;"&gt;ACCOUNTING&lt;span class="_ _2"&gt;&lt;/span&gt; POLICIES&lt;/span&gt;&lt;span style="display:inherit;clear:left;"&gt;Income taxes&lt;/span&gt;&lt;span style="display:inherit;clear:left;"&gt;Inc&lt;span class="_ _7"&gt;&lt;/span&gt;om&lt;span class="_ _7"&gt;&lt;/span&gt;e ta&lt;span class="_ _7"&gt;&lt;/span&gt;xe&lt;span class="_ _7"&gt;&lt;/span&gt;s in&lt;span class="_ _7"&gt;&lt;/span&gt;clu&lt;span class="_ _7"&gt;&lt;/span&gt;de cu&lt;span class="_ _7"&gt;&lt;/span&gt;rr&lt;span class="_ _7"&gt;&lt;/span&gt;ent a&lt;span class="_ _7"&gt;&lt;/span&gt;nd d&lt;span class="_ _7"&gt;&lt;/span&gt;ef&lt;span class="_ _7"&gt;&lt;/span&gt;er&lt;span class="_ _7"&gt;&lt;/span&gt;red t&lt;span class="_ _7"&gt;&lt;/span&gt;a&lt;span class="_ _7"&gt;&lt;/span&gt;xe&lt;span class="_ _7"&gt;&lt;/span&gt;s as we&lt;span class="_ _7"&gt;&lt;/span&gt;ll a&lt;span class="_ _7"&gt;&lt;/span&gt;s wit&lt;span class="_ _7"&gt;&lt;/span&gt;h-&lt;/span&gt;&lt;span style="display:inherit;clear:left;"&gt;ho&lt;span class="_ _7"&gt;&lt;/span&gt;ldi&lt;span class="_ _7"&gt;&lt;/span&gt;ng ta&lt;span class="_ _7"&gt;&lt;/span&gt;x&lt;span class="_ _7"&gt;&lt;/span&gt;, m&lt;span class="_ _7"&gt;&lt;/span&gt;ain&lt;span class="_ _7"&gt;&lt;/span&gt;ly on l&lt;span class="_ _7"&gt;&lt;/span&gt;ice&lt;span class="_ _7"&gt;&lt;/span&gt;ns&lt;span class="_ _7"&gt;&lt;/span&gt;e&lt;span class="_ _7"&gt;&lt;/span&gt;s&lt;span class="_ _7"&gt;&lt;/span&gt;, and a&lt;span class="_ _7"&gt;&lt;/span&gt;re r&lt;span class="_ _7"&gt;&lt;/span&gt;ep&lt;span class="_ _7"&gt;&lt;/span&gt;or&lt;span class="_ _7"&gt;&lt;/span&gt;te&lt;span class="_ _7"&gt;&lt;/span&gt;d in t&lt;span class="_ _7"&gt;&lt;/span&gt;he in&lt;span class="_ _7"&gt;&lt;/span&gt;co&lt;span class="_ _7"&gt;&lt;/span&gt;me &lt;/span&gt;&lt;span style="display:inherit;clear:left;"&gt;st&lt;span class="_ _7"&gt;&lt;/span&gt;ate&lt;span class="_ _7"&gt;&lt;/span&gt;me&lt;span class="_ _7"&gt;&lt;/span&gt;nt un&lt;span class="_ _7"&gt;&lt;/span&gt;le&lt;span class="_ _7"&gt;&lt;/span&gt;s&lt;span class="_ _7"&gt;&lt;/span&gt;s the u&lt;span class="_ _7"&gt;&lt;/span&gt;nd&lt;span class="_ _7"&gt;&lt;/span&gt;er&lt;span class="_ _7"&gt;&lt;/span&gt;lyi&lt;span class="_ _7"&gt;&lt;/span&gt;ng tr&lt;span class="_ _7"&gt;&lt;/span&gt;an&lt;span class="_ _7"&gt;&lt;/span&gt;s&lt;span class="_ _7"&gt;&lt;/span&gt;ac&lt;span class="_ _7"&gt;&lt;/span&gt;tio&lt;span class="_ _7"&gt;&lt;/span&gt;n is r&lt;span class="_ _7"&gt;&lt;/span&gt;ec&lt;span class="_ _7"&gt;&lt;/span&gt;og&lt;span class="_ _7"&gt;&lt;/span&gt;ni&lt;span class="_ _7"&gt;&lt;/span&gt;se&lt;span class="_ _7"&gt;&lt;/span&gt;d di&lt;span class="_ _7"&gt;&lt;/span&gt;rec&lt;span class="_ _7"&gt;&lt;/span&gt;tly &lt;/span&gt;&lt;span style="display:inherit;clear:left;"&gt;in equity or&lt;span class="_ _2"&gt;&lt;/span&gt; other comprehensive income.&lt;span class="_ _2"&gt;&lt;/span&gt; For those items&lt;span class="_ _2"&gt;&lt;/span&gt; the &lt;/span&gt;&lt;span style="display:inherit;clear:left;"&gt;re&lt;span class="_ _7"&gt;&lt;/span&gt;lat&lt;span class="_ _7"&gt;&lt;/span&gt;ed i&lt;span class="_ _7"&gt;&lt;/span&gt;nco&lt;span class="_ _7"&gt;&lt;/span&gt;me t&lt;span class="_ _7"&gt;&lt;/span&gt;a&lt;span class="_ _7"&gt;&lt;/span&gt;x is a&lt;span class="_ _7"&gt;&lt;/span&gt;ls&lt;span class="_ _7"&gt;&lt;/span&gt;o r&lt;span class="_ _7"&gt;&lt;/span&gt;ep&lt;span class="_ _7"&gt;&lt;/span&gt;or&lt;span class="_ _7"&gt;&lt;/span&gt;te&lt;span class="_ _7"&gt;&lt;/span&gt;d di&lt;span class="_ _7"&gt;&lt;/span&gt;rec&lt;span class="_ _7"&gt;&lt;/span&gt;tly i&lt;span class="_ _7"&gt;&lt;/span&gt;n eq&lt;span class="_ _7"&gt;&lt;/span&gt;ui&lt;span class="_ _7"&gt;&lt;/span&gt;t&lt;span class="_ _7"&gt;&lt;/span&gt;y or oth&lt;span class="_ _7"&gt;&lt;/span&gt;er  &lt;/span&gt;&lt;span style="display:inherit;clear:left;"&gt;comprehensive income.&lt;span class="_ _2"&gt;&lt;/span&gt; &lt;/span&gt;&lt;span style="display:inherit;clear:left;"&gt;De&lt;span class="_ _7"&gt;&lt;/span&gt;fer&lt;span class="_ _7"&gt;&lt;/span&gt;re&lt;span class="_ _7"&gt;&lt;/span&gt;d t&lt;span class="_ _7"&gt;&lt;/span&gt;axe&lt;span class="_ _7"&gt;&lt;/span&gt;s ar&lt;span class="_ _7"&gt;&lt;/span&gt;e re&lt;span class="_ _7"&gt;&lt;/span&gt;cog&lt;span class="_ _7"&gt;&lt;/span&gt;ni&lt;span class="_ _7"&gt;&lt;/span&gt;s&lt;span class="_ _7"&gt;&lt;/span&gt;ed o&lt;span class="_ _7"&gt;&lt;/span&gt;n ta&lt;span class="_ _7"&gt;&lt;/span&gt;x lo&lt;span class="_ _7"&gt;&lt;/span&gt;s&lt;span class="_ _7"&gt;&lt;/span&gt;s c&lt;span class="_ _7"&gt;&lt;/span&gt;arr&lt;span class="_ _9"&gt;&lt;/span&gt;y-&lt;span class="_ _2"&gt;&lt;/span&gt;fo&lt;span class="_ _7"&gt;&lt;/span&gt;r&lt;span class="_ _7"&gt;&lt;/span&gt;wa&lt;span class="_ _7"&gt;&lt;/span&gt;rd&lt;span class="_ _7"&gt;&lt;/span&gt;s&lt;span class="_ _7"&gt;&lt;/span&gt;, unu&lt;span class="_ _7"&gt;&lt;/span&gt;s&lt;span class="_ _7"&gt;&lt;/span&gt;ed &lt;/span&gt;&lt;span style="display:inherit;clear:left;"&gt;ta&lt;span class="_ _7"&gt;&lt;/span&gt;x cr&lt;span class="_ _7"&gt;&lt;/span&gt;ed&lt;span class="_ _7"&gt;&lt;/span&gt;it&lt;span class="_ _7"&gt;&lt;/span&gt;s an&lt;span class="_ _7"&gt;&lt;/span&gt;d di&lt;span class="_ _7"&gt;&lt;/span&gt;f&lt;span class="_ _7"&gt;&lt;/span&gt;fe&lt;span class="_ _7"&gt;&lt;/span&gt;re&lt;span class="_ _7"&gt;&lt;/span&gt;nce&lt;span class="_ _7"&gt;&lt;/span&gt;s th&lt;span class="_ _7"&gt;&lt;/span&gt;at a&lt;span class="_ _7"&gt;&lt;/span&gt;ri&lt;span class="_ _7"&gt;&lt;/span&gt;se b&lt;span class="_ _7"&gt;&lt;/span&gt;et&lt;span class="_ _7"&gt;&lt;/span&gt;we&lt;span class="_ _7"&gt;&lt;/span&gt;en t&lt;span class="_ _7"&gt;&lt;/span&gt;he t&lt;span class="_ _7"&gt;&lt;/span&gt;ax&lt;span class="_ _7"&gt;&lt;/span&gt;ab&lt;span class="_ _7"&gt;&lt;/span&gt;le va&lt;span class="_ _7"&gt;&lt;/span&gt;lue a&lt;span class="_ _7"&gt;&lt;/span&gt;nd &lt;/span&gt;&lt;span style="display:inherit;clear:left;"&gt;ca&lt;span class="_ _7"&gt;&lt;/span&gt;rr&lt;span class="_ _7"&gt;&lt;/span&gt;y&lt;span class="_ _7"&gt;&lt;/span&gt;in&lt;span class="_ _7"&gt;&lt;/span&gt;g valu&lt;span class="_ _7"&gt;&lt;/span&gt;e of a&lt;span class="_ _7"&gt;&lt;/span&gt;s&lt;span class="_ _7"&gt;&lt;/span&gt;s&lt;span class="_ _7"&gt;&lt;/span&gt;et&lt;span class="_ _7"&gt;&lt;/span&gt;s and l&lt;span class="_ _7"&gt;&lt;/span&gt;iab&lt;span class="_ _7"&gt;&lt;/span&gt;il&lt;span class="_ _7"&gt;&lt;/span&gt;iti&lt;span class="_ _7"&gt;&lt;/span&gt;es&lt;span class="_ _7"&gt;&lt;/span&gt;, w&lt;span class="_ _7"&gt;&lt;/span&gt;ith t&lt;span class="_ _7"&gt;&lt;/span&gt;he exc&lt;span class="_ _7"&gt;&lt;/span&gt;ept&lt;span class="_ _7"&gt;&lt;/span&gt;io&lt;span class="_ _7"&gt;&lt;/span&gt;n of go&lt;span class="_ _7"&gt;&lt;/span&gt;o&lt;span class="_ _7"&gt;&lt;/span&gt;d-&lt;/span&gt;&lt;span style="display:inherit;clear:left;"&gt;will.&lt;/span&gt;&lt;span style="display:inherit;clear:left;"&gt;Volvo Ca&lt;span class="_ _7"&gt;&lt;/span&gt;r Gro&lt;span class="_ _7"&gt;&lt;/span&gt;up a&lt;span class="_ _7"&gt;&lt;/span&gt;pp&lt;span class="_ _7"&gt;&lt;/span&gt;lie&lt;span class="_ _7"&gt;&lt;/span&gt;s th&lt;span class="_ _7"&gt;&lt;/span&gt;e ma&lt;span class="_ _7"&gt;&lt;/span&gt;nd&lt;span class="_ _7"&gt;&lt;/span&gt;ator&lt;span class="_ _9"&gt;&lt;/span&gt;y temp&lt;span class="_ _7"&gt;&lt;/span&gt;or&lt;span class="_ _7"&gt;&lt;/span&gt;ar&lt;span class="_ _9"&gt;&lt;/span&gt;y exemp&lt;span class="_ _7"&gt;&lt;/span&gt;tio&lt;span class="_ _7"&gt;&lt;/span&gt;n in &lt;/span&gt;&lt;span style="display:inherit;clear:left;"&gt;IAS 12 to not r&lt;span class="_ _7"&gt;&lt;/span&gt;ec&lt;span class="_ _7"&gt;&lt;/span&gt;og&lt;span class="_ _7"&gt;&lt;/span&gt;ni&lt;span class="_ _7"&gt;&lt;/span&gt;se o&lt;span class="_ _7"&gt;&lt;/span&gt;r di&lt;span class="_ _7"&gt;&lt;/span&gt;sc&lt;span class="_ _7"&gt;&lt;/span&gt;lo&lt;span class="_ _7"&gt;&lt;/span&gt;se i&lt;span class="_ _7"&gt;&lt;/span&gt;nfo&lt;span class="_ _7"&gt;&lt;/span&gt;rm&lt;span class="_ _7"&gt;&lt;/span&gt;at&lt;span class="_ _7"&gt;&lt;/span&gt;ion a&lt;span class="_ _7"&gt;&lt;/span&gt;bo&lt;span class="_ _7"&gt;&lt;/span&gt;ut d&lt;span class="_ _7"&gt;&lt;/span&gt;ef&lt;span class="_ _7"&gt;&lt;/span&gt;err&lt;span class="_ _7"&gt;&lt;/span&gt;ed t&lt;span class="_ _7"&gt;&lt;/span&gt;a&lt;span class="_ _7"&gt;&lt;/span&gt;x &lt;/span&gt;&lt;span style="display:inherit;clear:left;"&gt;as&lt;span class="_ _7"&gt;&lt;/span&gt;s&lt;span class="_ _7"&gt;&lt;/span&gt;et&lt;span class="_ _7"&gt;&lt;/span&gt;s an&lt;span class="_ _7"&gt;&lt;/span&gt;d lia&lt;span class="_ _7"&gt;&lt;/span&gt;bi&lt;span class="_ _7"&gt;&lt;/span&gt;lit&lt;span class="_ _7"&gt;&lt;/span&gt;ie&lt;span class="_ _7"&gt;&lt;/span&gt;s re&lt;span class="_ _7"&gt;&lt;/span&gt;la&lt;span class="_ _7"&gt;&lt;/span&gt;ted to t&lt;span class="_ _7"&gt;&lt;/span&gt;he O&lt;span class="_ _7"&gt;&lt;/span&gt;ECD Pil&lt;span class="_ _7"&gt;&lt;/span&gt;la&lt;span class="_ _7"&gt;&lt;/span&gt;r T&lt;span class="_ _2"&gt;&lt;/span&gt;wo ru&lt;span class="_ _7"&gt;&lt;/span&gt;le&lt;span class="_ _7"&gt;&lt;/span&gt;s. I&lt;span class="_ _7"&gt;&lt;/span&gt;nf&lt;span class="_ _7"&gt;&lt;/span&gt;or&lt;span class="_ _7"&gt;&lt;/span&gt;ma-&lt;/span&gt;&lt;span style="display:inherit;clear:left;"&gt;tio&lt;span class="_ _7"&gt;&lt;/span&gt;n reg&lt;span class="_ _7"&gt;&lt;/span&gt;ar&lt;span class="_ _7"&gt;&lt;/span&gt;di&lt;span class="_ _7"&gt;&lt;/span&gt;ng th&lt;span class="_ _7"&gt;&lt;/span&gt;e Gro&lt;span class="_ _7"&gt;&lt;/span&gt;up’s exp&lt;span class="_ _7"&gt;&lt;/span&gt;o&lt;span class="_ _7"&gt;&lt;/span&gt;su&lt;span class="_ _7"&gt;&lt;/span&gt;re to th&lt;span class="_ _7"&gt;&lt;/span&gt;e en&lt;span class="_ _7"&gt;&lt;/span&gt;ac&lt;span class="_ _7"&gt;&lt;/span&gt;ted S&lt;span class="_ _7"&gt;&lt;/span&gt;wed&lt;span class="_ _7"&gt;&lt;/span&gt;is&lt;span class="_ _7"&gt;&lt;/span&gt;h Pi&lt;span class="_ _7"&gt;&lt;/span&gt;ll&lt;span class="_ _7"&gt;&lt;/span&gt;ar &lt;/span&gt;&lt;span style="display:inherit;clear:left;"&gt;T&lt;span class="_ _2"&gt;&lt;/span&gt;wo leg&lt;span class="_ _7"&gt;&lt;/span&gt;is&lt;span class="_ _7"&gt;&lt;/span&gt;l&lt;span class="_ _7"&gt;&lt;/span&gt;ati&lt;span class="_ _7"&gt;&lt;/span&gt;on i&lt;span class="_ _7"&gt;&lt;/span&gt;s pre&lt;span class="_ _7"&gt;&lt;/span&gt;s&lt;span class="_ _7"&gt;&lt;/span&gt;ent&lt;span class="_ _7"&gt;&lt;/span&gt;ed i&lt;span class="_ _7"&gt;&lt;/span&gt;n thi&lt;span class="_ _7"&gt;&lt;/span&gt;s not&lt;span class="_ _7"&gt;&lt;/span&gt;e.&lt;/span&gt;</t>
  </si>
  <si>
    <t>f1__s8__6__115</t>
  </si>
  <si>
    <t>ifrs-full:DescriptionOfAccountingPolicyForIncomeTaxExplanatory</t>
  </si>
  <si>
    <t>f1__s8__6__117</t>
  </si>
  <si>
    <t>ifrs-full:DisclosureOfEarningsPerShareExplanatory</t>
  </si>
  <si>
    <t xml:space="preserve">&lt;span style="display:inherit;clear:left;"&gt;NOT&lt;span class="_ _7"&gt;&lt;/span&gt;E 14&lt;/span&gt;&lt;span style="display:inherit;clear:left;"&gt;EARNINGS PER&lt;span class="_ _2"&gt;&lt;/span&gt; SHARE&lt;/span&gt;&lt;span style="display:inherit;clear:left;"&gt;ACCOUNTING&lt;span class="_ _2"&gt;&lt;/span&gt; POLICIES&lt;/span&gt;&lt;span style="display:inherit;clear:left;"&gt;Ba&lt;span class="_ _7"&gt;&lt;/span&gt;si&lt;span class="_ _7"&gt;&lt;/span&gt;c ea&lt;span class="_ _7"&gt;&lt;/span&gt;rni&lt;span class="_ _7"&gt;&lt;/span&gt;ng&lt;span class="_ _7"&gt;&lt;/span&gt;s pe&lt;span class="_ _7"&gt;&lt;/span&gt;r sh&lt;span class="_ _7"&gt;&lt;/span&gt;ar&lt;span class="_ _7"&gt;&lt;/span&gt;e is c&lt;span class="_ _7"&gt;&lt;/span&gt;alc&lt;span class="_ _7"&gt;&lt;/span&gt;ul&lt;span class="_ _7"&gt;&lt;/span&gt;ate&lt;span class="_ _7"&gt;&lt;/span&gt;d as n&lt;span class="_ _7"&gt;&lt;/span&gt;et in&lt;span class="_ _7"&gt;&lt;/span&gt;co&lt;span class="_ _7"&gt;&lt;/span&gt;me a&lt;span class="_ _7"&gt;&lt;/span&gt;tt&lt;span class="_ _7"&gt;&lt;/span&gt;ri&lt;span class="_ _7"&gt;&lt;/span&gt;bu&lt;span class="_ _7"&gt;&lt;/span&gt;ta&lt;span class="_ _7"&gt;&lt;/span&gt;ble &lt;/span&gt;&lt;span style="display:inherit;clear:left;"&gt;to own&lt;span class="_ _7"&gt;&lt;/span&gt;er&lt;span class="_ _7"&gt;&lt;/span&gt;s o&lt;span class="_ _7"&gt;&lt;/span&gt;f the p&lt;span class="_ _7"&gt;&lt;/span&gt;ar&lt;span class="_ _7"&gt;&lt;/span&gt;ent c&lt;span class="_ _7"&gt;&lt;/span&gt;om&lt;span class="_ _7"&gt;&lt;/span&gt;pa&lt;span class="_ _7"&gt;&lt;/span&gt;ny di&lt;span class="_ _7"&gt;&lt;/span&gt;vi&lt;span class="_ _7"&gt;&lt;/span&gt;de&lt;span class="_ _7"&gt;&lt;/span&gt;d by th&lt;span class="_ _7"&gt;&lt;/span&gt;e wei&lt;span class="_ _7"&gt;&lt;/span&gt;ghte&lt;span class="_ _7"&gt;&lt;/span&gt;d ave&lt;span class="_ _7"&gt;&lt;/span&gt;ra&lt;span class="_ _7"&gt;&lt;/span&gt;ge &lt;/span&gt;&lt;span style="display:inherit;clear:left;"&gt;num&lt;span class="_ _7"&gt;&lt;/span&gt;be&lt;span class="_ _7"&gt;&lt;/span&gt;r of o&lt;span class="_ _7"&gt;&lt;/span&gt;rd&lt;span class="_ _7"&gt;&lt;/span&gt;ina&lt;span class="_ _7"&gt;&lt;/span&gt;r&lt;span class="_ _7"&gt;&lt;/span&gt;y s&lt;span class="_ _7"&gt;&lt;/span&gt;har&lt;span class="_ _7"&gt;&lt;/span&gt;es o&lt;span class="_ _7"&gt;&lt;/span&gt;ut&lt;span class="_ _7"&gt;&lt;/span&gt;s&lt;span class="_ _7"&gt;&lt;/span&gt;ta&lt;span class="_ _7"&gt;&lt;/span&gt;nd&lt;span class="_ _7"&gt;&lt;/span&gt;ing d&lt;span class="_ _7"&gt;&lt;/span&gt;uri&lt;span class="_ _7"&gt;&lt;/span&gt;ng th&lt;span class="_ _7"&gt;&lt;/span&gt;e pe&lt;span class="_ _7"&gt;&lt;/span&gt;ri&lt;span class="_ _7"&gt;&lt;/span&gt;od&lt;span class="_ _7"&gt;&lt;/span&gt;. &lt;/span&gt;&lt;span style="display:inherit;clear:left;"&gt;Ef&lt;span class="_ _7"&gt;&lt;/span&gt;fe&lt;span class="_ _7"&gt;&lt;/span&gt;ct&lt;span class="_ _7"&gt;&lt;/span&gt;s on E&lt;span class="_ _7"&gt;&lt;/span&gt;ar&lt;span class="_ _7"&gt;&lt;/span&gt;ni&lt;span class="_ _7"&gt;&lt;/span&gt;ng&lt;span class="_ _7"&gt;&lt;/span&gt;s pe&lt;span class="_ _7"&gt;&lt;/span&gt;r sh&lt;span class="_ _7"&gt;&lt;/span&gt;are (EP&lt;span class="_ _7"&gt;&lt;/span&gt;S) con&lt;span class="_ _7"&gt;&lt;/span&gt;ne&lt;span class="_ _7"&gt;&lt;/span&gt;cte&lt;span class="_ _7"&gt;&lt;/span&gt;d wi&lt;span class="_ _7"&gt;&lt;/span&gt;th e&lt;span class="_ _7"&gt;&lt;/span&gt;qui&lt;span class="_ _7"&gt;&lt;/span&gt;t&lt;span class="_ _7"&gt;&lt;/span&gt;y-      &lt;/span&gt;&lt;span style="display:inherit;clear:left;"&gt;se&lt;span class="_ _7"&gt;&lt;/span&gt;t&lt;span class="_ _7"&gt;&lt;/span&gt;tle&lt;span class="_ _7"&gt;&lt;/span&gt;d emp&lt;span class="_ _7"&gt;&lt;/span&gt;loye&lt;span class="_ _7"&gt;&lt;/span&gt;e in&lt;span class="_ _7"&gt;&lt;/span&gt;ce&lt;span class="_ _7"&gt;&lt;/span&gt;nti&lt;span class="_ _7"&gt;&lt;/span&gt;ve p&lt;span class="_ _7"&gt;&lt;/span&gt;la&lt;span class="_ _7"&gt;&lt;/span&gt;ns a&lt;span class="_ _7"&gt;&lt;/span&gt;re re&lt;span class="_ _7"&gt;&lt;/span&gt;f&lt;span class="_ _7"&gt;&lt;/span&gt;lec&lt;span class="_ _7"&gt;&lt;/span&gt;ted i&lt;span class="_ _7"&gt;&lt;/span&gt;n th&lt;span class="_ _7"&gt;&lt;/span&gt;e dil&lt;span class="_ _7"&gt;&lt;/span&gt;ute&lt;span class="_ _7"&gt;&lt;/span&gt;d  &lt;/span&gt;&lt;span style="display:inherit;clear:left;"&gt;ear&lt;span class="_ _7"&gt;&lt;/span&gt;ni&lt;span class="_ _7"&gt;&lt;/span&gt;ng&lt;span class="_ _7"&gt;&lt;/span&gt;s pe&lt;span class="_ _7"&gt;&lt;/span&gt;r sh&lt;span class="_ _7"&gt;&lt;/span&gt;ar&lt;span class="_ _7"&gt;&lt;/span&gt;e ca&lt;span class="_ _7"&gt;&lt;/span&gt;lcu&lt;span class="_ _7"&gt;&lt;/span&gt;la&lt;span class="_ _7"&gt;&lt;/span&gt;tio&lt;span class="_ _7"&gt;&lt;/span&gt;n wh&lt;span class="_ _7"&gt;&lt;/span&gt;en th&lt;span class="_ _7"&gt;&lt;/span&gt;ey ar&lt;span class="_ _7"&gt;&lt;/span&gt;e di&lt;span class="_ _7"&gt;&lt;/span&gt;luti&lt;span class="_ _7"&gt;&lt;/span&gt;ve. F&lt;span class="_ _7"&gt;&lt;/span&gt;or th&lt;span class="_ _7"&gt;&lt;/span&gt;e  &lt;/span&gt;&lt;span style="display:inherit;clear:left;"&gt;pe&lt;span class="_ _7"&gt;&lt;/span&gt;r&lt;span class="_ _7"&gt;&lt;/span&gt;fo&lt;span class="_ _7"&gt;&lt;/span&gt;rm&lt;span class="_ _7"&gt;&lt;/span&gt;an&lt;span class="_ _7"&gt;&lt;/span&gt;ce sh&lt;span class="_ _7"&gt;&lt;/span&gt;ar&lt;span class="_ _7"&gt;&lt;/span&gt;e pr&lt;span class="_ _7"&gt;&lt;/span&gt;og&lt;span class="_ _7"&gt;&lt;/span&gt;ra&lt;span class="_ _7"&gt;&lt;/span&gt;mme t&lt;span class="_ _7"&gt;&lt;/span&gt;hi&lt;span class="_ _7"&gt;&lt;/span&gt;s is b&lt;span class="_ _7"&gt;&lt;/span&gt;as&lt;span class="_ _7"&gt;&lt;/span&gt;ed o&lt;span class="_ _7"&gt;&lt;/span&gt;n th&lt;span class="_ _7"&gt;&lt;/span&gt;e fu&lt;span class="_ _7"&gt;&lt;/span&gt;lfi&lt;span class="_ _7"&gt;&lt;/span&gt;lme&lt;span class="_ _7"&gt;&lt;/span&gt;nt o&lt;span class="_ _7"&gt;&lt;/span&gt;f &lt;/span&gt;&lt;span style="display:inherit;clear:left;"&gt;the performance conditions. For&lt;span class="_ _2"&gt;&lt;/span&gt; the employee&lt;span class="_ _2"&gt;&lt;/span&gt; share matching&lt;span class="_ _2"&gt;&lt;/span&gt; &lt;span class="ls3 ws3"&gt; &lt;/span&gt;&lt;/span&gt;&lt;span style="display:inherit;clear:left;"&gt;pro&lt;span class="_ _7"&gt;&lt;/span&gt;gr&lt;span class="_ _7"&gt;&lt;/span&gt;am&lt;span class="_ _7"&gt;&lt;/span&gt;me d&lt;span class="_ _7"&gt;&lt;/span&gt;ilu&lt;span class="_ _7"&gt;&lt;/span&gt;tiv&lt;span class="_ _7"&gt;&lt;/span&gt;e ef&lt;span class="_ _7"&gt;&lt;/span&gt;f&lt;span class="_ _7"&gt;&lt;/span&gt;ec&lt;span class="_ _7"&gt;&lt;/span&gt;t&lt;span class="_ _7"&gt;&lt;/span&gt;s are c&lt;span class="_ _7"&gt;&lt;/span&gt;al&lt;span class="_ _7"&gt;&lt;/span&gt;cul&lt;span class="_ _7"&gt;&lt;/span&gt;ate&lt;span class="_ _7"&gt;&lt;/span&gt;d us&lt;span class="_ _7"&gt;&lt;/span&gt;in&lt;span class="_ _7"&gt;&lt;/span&gt;g the t&lt;span class="_ _7"&gt;&lt;/span&gt;re&lt;span class="_ _7"&gt;&lt;/span&gt;asu&lt;span class="_ _7"&gt;&lt;/span&gt;r&lt;span class="_ _7"&gt;&lt;/span&gt;y &lt;/span&gt;&lt;span style="display:inherit;clear:left;"&gt;stock met&lt;span class="_ _2"&gt;&lt;/span&gt;hod.&lt;/span&gt;&lt;span style="display:inherit;clear:left;position:relative;height:154.62890625px;"&gt;&lt;span class="pp-font-color-override-1" style="position: absolute; display: inline-block; left: 0px; top: 0.0039062px; width: 313.711px; white-space: pre; word-spacing: 0px; letter-spacing: 0px; margin-left: 0px; font-size: 9.6px; font-family: ff89; -webkit-text-stroke: 0.144px rgba(0, 0, 0, 0);"&gt;&lt;span style="display: inline-block;"&gt;Ba&lt;/span&gt;&lt;span style="word-spacing: 0px; letter-spacing: 0px; display: inline-block; margin-left: 0px; width: 0.410156px; font-size: 9.6px; font-family: ff89; -webkit-text-stroke: 0.144px rgba(0, 0, 0, 0);"&gt;&lt;/span&gt;&lt;span style="display: inline-block;"&gt;si&lt;/span&gt;&lt;span style="word-spacing: 0px; letter-spacing: 0px; display: inline-block; margin-left: 0px; width: 0.410156px; font-size: 9.6px; font-family: ff89; -webkit-text-stroke: 0.144px rgba(0, 0, 0, 0);"&gt;&lt;/span&gt;&lt;span style="display: inline-block;"&gt;c ea&lt;/span&gt;&lt;span style="word-spacing: 0px; letter-spacing: 0px; display: inline-block; margin-left: 0px; width: 0.410156px; font-size: 9.6px; font-family: ff89; -webkit-text-stroke: 0.144px rgba(0, 0, 0, 0);"&gt;&lt;/span&gt;&lt;span style="display: inline-block;"&gt;rn&lt;/span&gt;&lt;span style="word-spacing: 0px; letter-spacing: 0px; display: inline-block; margin-left: 0px; width: 0.410156px; font-size: 9.6px; font-family: ff89; -webkit-text-stroke: 0.144px rgba(0, 0, 0, 0);"&gt;&lt;/span&gt;&lt;span style="display: inline-block;"&gt;in&lt;/span&gt;&lt;span style="word-spacing: 0px; letter-spacing: 0px; display: inline-block; margin-left: 0px; width: 0.410156px; font-size: 9.6px; font-family: ff89; -webkit-text-stroke: 0.144px rgba(0, 0, 0, 0);"&gt;&lt;/span&gt;&lt;span style="display: inline-block;"&gt;gs p&lt;/span&gt;&lt;span style="word-spacing: 0px; letter-spacing: 0px; display: inline-block; margin-left: 0px; width: 0.410156px; font-size: 9.6px; font-family: ff89; -webkit-text-stroke: 0.144px rgba(0, 0, 0, 0);"&gt;&lt;/span&gt;&lt;span style="display: inline-block;"&gt;er s&lt;/span&gt;&lt;span style="word-spacing: 0px; letter-spacing: 0px; display: inline-block; margin-left: 0px; width: 0.410156px; font-size: 9.6px; font-family: ff89; -webkit-text-stroke: 0.144px rgba(0, 0, 0, 0);"&gt;&lt;/span&gt;&lt;span style="display: inline-block;"&gt;h&lt;/span&gt;&lt;span style="word-spacing: 0px; letter-spacing: 0px; display: inline-block; margin-left: 0px; width: 0.410156px; font-size: 9.6px; font-family: ff89; -webkit-text-stroke: 0.144px rgba(0, 0, 0, 0);"&gt;&lt;/span&gt;&lt;span style="display: inline-block;"&gt;ar&lt;/span&gt;&lt;span style="word-spacing: 0px; letter-spacing: 0px; display: inline-block; margin-left: 0px; width: 0.410156px; font-size: 9.6px; font-family: ff89; -webkit-text-stroke: 0.144px rgba(0, 0, 0, 0);"&gt;&lt;/span&gt;&lt;span style="display: inline-block;"&gt;e &lt;/span&gt;&lt;span style="word-spacing: 0px; letter-spacing: 0px; display: inline-block; margin-left: 0px; width: 108.738px; font-size: 9.6px; font-family: ff89; -webkit-text-stroke: 0.144px rgba(0, 0, 0, 0);"&gt;&lt;span style="display: inline-block;"&gt; &lt;/span&gt;&lt;/span&gt;&lt;span class="pp-font-color-override-1" style="word-spacing: -0.0384px; letter-spacing: 0.0384px; display: inline-block; margin-left: 0px; font-size: 9.6px; font-family: ff89; -webkit-text-stroke: 0.144px rgba(0, 0, 0, 0);"&gt;&lt;span style="display: inline-block;"&gt;2025&lt;/span&gt;&lt;span style="word-spacing: -0.0384px; letter-spacing: 0.0384px; display: inline-block; margin-left: 0px; width: 66.996px; font-size: 9.6px; font-family: ff89; -webkit-text-stroke: 0.144px rgba(0, 0, 0, 0);"&gt;&lt;span style="display: inline-block;"&gt; &lt;/span&gt;&lt;/span&gt;&lt;span class="pp-font-color-override-1" style="word-spacing: 0.0576px; letter-spacing: -0.0576px; display: inline-block; margin-left: 0px; font-size: 9.6px; font-family: ff88; -webkit-text-stroke: 0.144px rgba(0, 0, 0, 0);"&gt;&lt;span style="display: inline-block;"&gt;2024&lt;/span&gt;&lt;/span&gt;&lt;/span&gt;&lt;/span&gt;&lt;span class="pp-font-color-override-1" style="position: absolute; display: inline-block; left: 0px; top: 22.6191px; width: 116.297px; white-space: pre; word-spacing: 0px; letter-spacing: 0.0315px; margin-left: 0px; font-size: 10.5px; font-family: ff8a; -webkit-text-stroke: 0.1575px rgba(0, 0, 0, 0);"&gt;&lt;span style="display: inline-block;"&gt;Net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at&lt;/span&gt;&lt;span style="word-spacing: 0px; letter-spacing: 0.0315px; display: inline-block; margin-left: 0px; width: 0.410156px; font-size: 10.5px; font-family: ff8a; -webkit-text-stroke: 0.1575px rgba(0, 0, 0, 0);"&gt;&lt;/span&gt;&lt;span style="display: inline-block;"&gt;tri&lt;/span&gt;&lt;span style="word-spacing: 0px; letter-spacing: 0.0315px; display: inline-block; margin-left: 0px; width: 0.410156px; font-size: 10.5px; font-family: ff8a; -webkit-text-stroke: 0.1575px rgba(0, 0, 0, 0);"&gt;&lt;/span&gt;&lt;span style="display: inline-block;"&gt;bu&lt;/span&gt;&lt;span style="word-spacing: 0px; letter-spacing: 0.0315px; display: inline-block; margin-left: 0px; width: 0.410156px; font-size: 10.5px; font-family: ff8a; -webkit-text-stroke: 0.1575px rgba(0, 0, 0, 0);"&gt;&lt;/span&gt;&lt;span style="display: inline-block;"&gt;ta&lt;/span&gt;&lt;span style="word-spacing: 0px; letter-spacing: 0.0315px; display: inline-block; margin-left: 0px; width: 0.410156px; font-size: 10.5px; font-family: ff8a; -webkit-text-stroke: 0.1575px rgba(0, 0, 0, 0);"&gt;&lt;/span&gt;&lt;span style="display: inline-block;"&gt;ble to &lt;/span&gt;&lt;/span&gt;&lt;span class="pp-font-color-override-1" style="position: absolute; display: inline-block; left: 0px; top: 34.6191px; width: 2.66016px; white-space: pre; word-spacing: 0px; letter-spacing: 0.0315px; margin-left: 0px; font-size: 10.5px; font-family: ff8a; -webkit-text-stroke: 0.1575px rgba(0, 0, 0, 0);"&gt;&lt;span style="display: inline-block;"&gt; &lt;/span&gt;&lt;/span&gt;&lt;span class="pp-font-color-override-1" style="position: absolute; display: inline-block; left: 5.5957px; top: 34.6191px; width: 316.184px; white-space: pre; word-spacing: 0px; letter-spacing: 0.0315px; margin-left: 0px; font-size: 10.5px; font-family: ff8a; -webkit-text-stroke: 0.1575px rgba(0, 0, 0, 0);"&gt;&lt;span style="display: inline-block;"&gt;wn&lt;/span&gt;&lt;span style="word-spacing: 0px; letter-spacing: 0.0315px; display: inline-block; margin-left: 0px; width: 0.410156px; font-size: 10.5px; font-family: ff8a; -webkit-text-stroke: 0.1575px rgba(0, 0, 0, 0);"&gt;&lt;/span&gt;&lt;span style="display: inline-block;"&gt;er&lt;/span&gt;&lt;span style="word-spacing: 0px; letter-spacing: 0.0315px; display: inline-block; margin-left: 0px; width: 0.410156px; font-size: 10.5px; font-family: ff8a; -webkit-text-stroke: 0.1575px rgba(0, 0, 0, 0);"&gt;&lt;/span&gt;&lt;span style="display: inline-block;"&gt;s of th&lt;/span&gt;&lt;span style="word-spacing: 0px; letter-spacing: 0.0315px; display: inline-block; margin-left: 0px; width: 0.410156px; font-size: 10.5px; font-family: ff8a; -webkit-text-stroke: 0.1575px rgba(0, 0, 0, 0);"&gt;&lt;/span&gt;&lt;span style="display: inline-block;"&gt;e pa&lt;/span&gt;&lt;span style="word-spacing: 0px; letter-spacing: 0.0315px; display: inline-block; margin-left: 0px; width: 0.410156px; font-size: 10.5px; font-family: ff8a; -webkit-text-stroke: 0.1575px rgba(0, 0, 0, 0);"&gt;&lt;/span&gt;&lt;span style="display: inline-block;"&gt;rent 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inline-block;"&gt;pa&lt;/span&gt;&lt;span style="word-spacing: 0px; letter-spacing: 0.0315px; display: inline-block; margin-left: 0px; width: 0.410156px; font-size: 10.5px; font-family: ff8a; -webkit-text-stroke: 0.1575px rgba(0, 0, 0, 0);"&gt;&lt;/span&gt;&lt;span style="display: inline-block;"&gt;ny &lt;/span&gt;&lt;span style="word-spacing: 0px; letter-spacing: 0.0315px; display: inline-block; margin-left: 0px; width: 84.3221px; font-size: 10.5px; font-family: ff8a; -webkit-text-stroke: 0.1575px rgba(0, 0, 0, 0);"&gt;&lt;span style="display: inline-block;"&gt; &lt;/span&gt;&lt;/span&gt;&lt;span class="pp-font-color-override-1" style="word-spacing: 0.42px; letter-spacing: -0.42px; display: inline-block; margin-left: 0px; font-size: 10.5px; font-family: ff8a; -webkit-text-stroke: 0.1575px rgba(0, 0, 0, 0);"&gt;&lt;span style="display: inline-block;"&gt;1&lt;/span&gt;&lt;span style="word-spacing: 0.42px; letter-spacing: -0.42px; display: inline-block; margin-left: 0px; width: 0.410156px; font-size: 10.5px; font-family: ff8a; -webkit-text-stroke: 0.1575px rgba(0, 0, 0, 0);"&gt;&lt;/span&gt;&lt;span style="display: inline-block;"&gt;74&lt;/span&gt;&lt;span style="word-spacing: 0.42px; letter-spacing: -0.42px; display: inline-block; margin-left: 0px; width: 59.5489px; font-size: 10.5px; font-family: ff8a; -webkit-text-stroke: 0.1575px rgba(0, 0, 0, 0);"&gt;&lt;span style="display: inline-block;"&gt;&lt;span style="width: 2.625px; display: inline-block;"&gt; &lt;/span&gt;&lt;/span&gt;&lt;/span&gt;&lt;span class="pp-font-color-override-1" style="word-spacing: 0.0945px; letter-spacing: -0.0945px; display: inline-block; margin-left: 0px; font-size: 10.5px; font-family: ff8a; -webkit-text-stroke: 0.1575px rgba(0, 0, 0, 0);"&gt;&lt;span style="display: inline-block;"&gt;15,&lt;/span&gt;&lt;span style="word-spacing: 0.0945px; letter-spacing: -0.0945px; display: inline-block; margin-left: 0px; width: 0.410156px; font-size: 10.5px; font-family: ff8a; -webkit-text-stroke: 0.1575px rgba(0, 0, 0, 0);"&gt;&lt;/span&gt;&lt;span style="display: inline-block;"&gt;4&lt;/span&gt;&lt;span style="word-spacing: 0.0945px; letter-spacing: -0.0945px; display: inline-block; margin-left: 0px; width: 0.410156px; font-size: 10.5px; font-family: ff8a; -webkit-text-stroke: 0.1575px rgba(0, 0, 0, 0);"&gt;&lt;/span&gt;&lt;span style="display: inline-block;"&gt;01&lt;/span&gt;&lt;/span&gt;&lt;/span&gt;&lt;/span&gt;&lt;span class="pp-font-color-override-1" style="position: absolute; display: inline-block; left: 0px; top: 50.3203px; width: 117.07px; white-space: pre; word-spacing: -0.189px; letter-spacing: 0.2205px; margin-left: 0px; font-size: 10.5px; font-family: ff89; -webkit-text-stroke: 0.1575px rgba(0, 0, 0, 0);"&gt;&lt;span style="display: inline-block;"&gt;Net income attributable&lt;/span&gt;&lt;span style="word-spacing: -0.189px; letter-spacing: 0.2205px; display: inline-block; margin-left: -0.684px; width: 0px; font-size: 10.5px; font-family: ff89; -webkit-text-stroke: 0.1575px rgba(0, 0, 0, 0);"&gt;&lt;/span&gt;&lt;span style="display: inline-block;"&gt; to &lt;/span&gt;&lt;/span&gt;&lt;span class="pp-font-color-override-1" style="position: absolute; display: inline-block; left: 0px; top: 62.3203px; width: 127.225px; white-space: pre; word-spacing: 0px; letter-spacing: 0.0315px; margin-left: 0px; font-size: 10.5px; font-family: ff89; -webkit-text-stroke: 0.1575px rgba(0, 0, 0, 0);"&gt;&lt;span style="display: inline-block;"&gt;own&lt;/span&gt;&lt;span style="word-spacing: 0px; letter-spacing: 0.0315px; display: inline-block; margin-left: 0px; width: 0.410156px; font-size: 10.5px; font-family: ff89; -webkit-text-stroke: 0.1575px rgba(0, 0, 0, 0);"&gt;&lt;/span&gt;&lt;span style="display: inline-block;"&gt;er&lt;/span&gt;&lt;span style="word-spacing: 0px; letter-spacing: 0.0315px; display: inline-block; margin-left: 0px; width: 0.410156px; font-size: 10.5px; font-family: ff89; -webkit-text-stroke: 0.1575px rgba(0, 0, 0, 0);"&gt;&lt;/span&gt;&lt;span style="display: inline-block;"&gt;s o&lt;/span&gt;&lt;span style="word-spacing: 0px; letter-spacing: 0.0315px; display: inline-block; margin-left: 0px; width: 0.410156px; font-size: 10.5px; font-family: ff89; -webkit-text-stroke: 0.1575px rgba(0, 0, 0, 0);"&gt;&lt;/span&gt;&lt;span style="display: inline-block;"&gt;f or&lt;/span&gt;&lt;span style="word-spacing: 0px; letter-spacing: 0.0315px; display: inline-block; margin-left: 0px; width: 0.410156px; font-size: 10.5px; font-family: ff89; -webkit-text-stroke: 0.1575px rgba(0, 0, 0, 0);"&gt;&lt;/span&gt;&lt;span style="display: inline-block;"&gt;din&lt;/span&gt;&lt;span style="word-spacing: 0px; letter-spacing: 0.0315px; display: inline-block; margin-left: 0px; width: 0.410156px; font-size: 10.5px; font-family: ff89; -webkit-text-stroke: 0.1575px rgba(0, 0, 0, 0);"&gt;&lt;/span&gt;&lt;span style="display: inline-block;"&gt;ar&lt;/span&gt;&lt;span style="word-spacing: 0px; letter-spacing: 0.0315px; display: inline-block; margin-left: 0px; width: 0.410156px; font-size: 10.5px; font-family: ff89; -webkit-text-stroke: 0.1575px rgba(0, 0, 0, 0);"&gt;&lt;/span&gt;&lt;span style="display: inline-block;"&gt;y s&lt;/span&gt;&lt;span style="word-spacing: 0px; letter-spacing: 0.0315px; display: inline-block; margin-left: 0px; width: 0.410156px; font-size: 10.5px; font-family: ff89; -webkit-text-stroke: 0.1575px rgba(0, 0, 0, 0);"&gt;&lt;/span&gt;&lt;span style="display: inline-block;"&gt;h&lt;/span&gt;&lt;span style="word-spacing: 0px; letter-spacing: 0.0315px; display: inline-block; margin-left: 0px; width: 0.410156px; font-size: 10.5px; font-family: ff89; -webkit-text-stroke: 0.1575px rgba(0, 0, 0, 0);"&gt;&lt;/span&gt;&lt;span style="display: inline-block;"&gt;are&lt;/span&gt;&lt;span style="word-spacing: 0px; letter-spacing: 0.0315px; display: inline-block; margin-left: 0px; width: 0.410156px; font-size: 10.5px; font-family: ff89; -webkit-text-stroke: 0.1575px rgba(0, 0, 0, 0);"&gt;&lt;/span&gt;&lt;span style="display: inline-block;"&gt;s i&lt;/span&gt;&lt;span style="word-spacing: 0px; letter-spacing: 0.0315px; display: inline-block; margin-left: 0px; width: 0.410156px; font-size: 10.5px; font-family: ff89; -webkit-text-stroke: 0.1575px rgba(0, 0, 0, 0);"&gt;&lt;/span&gt;&lt;span style="display: inline-block;"&gt;n &lt;/span&gt;&lt;/span&gt;&lt;span class="pp-font-color-override-1" style="position: absolute; display: inline-block; left: 0px; top: 74.3203px; width: 318.562px; white-space: pre; word-spacing: -0.168px; letter-spacing: 0.1995px; margin-left: 0px; font-size: 10.5px; font-family: ff89; -webkit-text-stroke: 0.1575px rgba(0, 0, 0, 0);"&gt;&lt;span style="display: inline-block;"&gt;the  &lt;/span&gt;&lt;span style="word-spacing: -0.168px; letter-spacing: 0.1995px; display: inline-block; margin-left: -2.76px; width: 0px; font-size: 10.5px; font-family: ff89; -webkit-text-stroke: 0.1575px rgba(0, 0, 0, 0);"&gt;&lt;/span&gt;&lt;span style="display: inline-block;"&gt;parent company &lt;/span&gt;&lt;span style="word-spacing: -0.168px; letter-spacing: 0.1995px; display: inline-block; margin-left: 0px; width: 128.338px; font-size: 10.5px; font-family: ff89; -webkit-text-stroke: 0.1575px rgba(0, 0, 0, 0);"&gt;&lt;span style="display: inline-block;"&gt; &lt;/span&gt;&lt;/span&gt;&lt;span class="pp-font-color-override-1" style="word-spacing: 0.294px; letter-spacing: -0.294px; display: inline-block; margin-left: 0px; font-size: 10.5px; font-family: ff89; -webkit-text-stroke: 0.1575px rgba(0, 0, 0, 0);"&gt;&lt;span style="display: inline-block;"&gt;174&lt;/span&gt;&lt;span style="word-spacing: 0.294px; letter-spacing: -0.294px; display: inline-block; margin-left: 0px; width: 57.3221px; font-size: 10.5px; font-family: ff89; -webkit-text-stroke: 0.1575px rgba(0, 0, 0, 0);"&gt;&lt;span style="display: inline-block;"&gt;&lt;span style="width: 2.625px; display: inline-block;"&gt; &lt;/span&gt;&lt;/span&gt;&lt;/span&gt;&lt;span class="pp-font-color-override-1" style="word-spacing: -0.021px; letter-spacing: 0.021px; display: inline-block; margin-left: 0px; font-size: 10.5px; font-family: ff89; -webkit-text-stroke: 0.1575px rgba(0, 0, 0, 0);"&gt;&lt;span style="display: inline-block;"&gt;15,&lt;/span&gt;&lt;span style="word-spacing: -0.021px; letter-spacing: 0.021px; display: inline-block; margin-left: 0px; width: 0.410156px; font-size: 10.5px; font-family: ff89; -webkit-text-stroke: 0.1575px rgba(0, 0, 0, 0);"&gt;&lt;/span&gt;&lt;span style="display: inline-block;"&gt;401&lt;/span&gt;&lt;/span&gt;&lt;/span&gt;&lt;/span&gt;&lt;span class="pp-font-color-override-1" style="position: absolute; display: inline-block; left: 0px; top: 96.916px; width: 127.248px; white-space: pre; word-spacing: -0.1365px; letter-spacing: 0.168px; margin-left: 0px; font-size: 10.5px; font-family: ff8a; -webkit-text-stroke: 0.1575px rgba(0, 0, 0, 0);"&gt;&lt;span style="display: inline-block;"&gt;Weighted&lt;/span&gt;&lt;span style="word-spacing: -0.1365px; letter-spacing: 0.168px; display: inline-block; margin-left: -0.684px; width: 0px; font-size: 10.5px; font-family: ff8a; -webkit-text-stroke: 0.1575px rgba(0, 0, 0, 0);"&gt;&lt;/span&gt;&lt;span style="display: inline-block;"&gt; average number of &lt;/span&gt;&lt;/span&gt;&lt;span class="pp-font-color-override-1" style="position: absolute; display: inline-block; left: 0px; top: 108.916px; width: 126.463px; white-space: pre; word-spacing: -0.147px; letter-spacing: 0.1785px; margin-left: 0px; font-size: 10.5px; font-family: ff8a; -webkit-text-stroke: 0.1575px rgba(0, 0, 0, 0);"&gt;&lt;span style="display: inline-block;"&gt;ordinary shares outs&lt;/span&gt;&lt;span style="word-spacing: -0.147px; letter-spacing: 0.1785px; display: inline-block; margin-left: 0px; width: 0.410156px; font-size: 10.5px; font-family: ff8a; -webkit-text-stroke: 0.1575px rgba(0, 0, 0, 0);"&gt;&lt;/span&gt;&lt;span style="display: inline-block;"&gt;tanding, &lt;/span&gt;&lt;/span&gt;&lt;span class="pp-font-color-override-1" style="position: absolute; display: inline-block; left: 31.6719px; top: 120.762px; width: 11.5547px; white-space: pre; word-spacing: 0.0428505px; letter-spacing: -0.0428505px; margin-left: 0px; font-size: 6.1215px; font-family: ff8a; -webkit-text-stroke: 0.0918225px rgba(0, 0, 0, 0);"&gt;&lt;span style="display: inline-block;"&gt;1)2) &lt;/span&gt;&lt;/span&gt;&lt;span class="pp-font-color-override-1" style="position: absolute; display: inline-block; left: 0px; top: 120.916px; width: 26.7949px; white-space: pre; word-spacing: -0.189px; letter-spacing: 0.189px; margin-left: 0px; font-size: 10.5px; font-family: ff8a; -webkit-text-stroke: 0.1575px rgba(0, 0, 0, 0);"&gt;&lt;span style="display: inline-block;"&gt;basics&lt;/span&gt;&lt;/span&gt;&lt;span class="pp-font-color-override-1" style="position: absolute; display: inline-block; left: 177.297px; top: 120.916px; width: 80.2559px; white-space: pre; word-spacing: -0.21px; letter-spacing: 0.21px; margin-left: 0px; font-size: 10.5px; font-family: ff8a; -webkit-text-stroke: 0.1575px rgba(0, 0, 0, 0);"&gt;&lt;span style="display: inline-block;"&gt;2,968,505,485&lt;/span&gt;&lt;span style="word-spacing: -0.21px; letter-spacing: 0.21px; display: inline-block; margin-left: 0px; width: 17.1504px; font-size: 10.5px; font-family: ff8a; -webkit-text-stroke: 0.1575px rgba(0, 0, 0, 0);"&gt;&lt;span style="display: inline-block;"&gt; &lt;/span&gt;&lt;/span&gt;&lt;/span&gt;&lt;span class="pp-font-color-override-1" style="position: absolute; display: inline-block; left: 257.553px; top: 120.916px; width: 61.8457px; white-space: pre; word-spacing: -0.1995px; letter-spacing: 0.1995px; margin-left: 0px; font-size: 10.5px; font-family: ff8a; -webkit-text-stroke: 0.1575px rgba(0, 0, 0, 0);"&gt;&lt;span style="display: inline-block;"&gt;2,977&lt;/span&gt;&lt;span style="word-spacing: -0.1995px; letter-spacing: 0.1995px; display: inline-block; margin-left: -1.13625px; width: 0px; font-size: 10.5px; font-family: ff8a; -webkit-text-stroke: 0.1575px rgba(0, 0, 0, 0);"&gt;&lt;/span&gt;&lt;span style="display: inline-block;"&gt;,042,500&lt;/span&gt;&lt;/span&gt;&lt;span class="pp-font-color-override-1" style="position: absolute; display: inline-block; left: 0px; top: 143.008px; width: 313.869px; white-space: pre; word-spacing: 0px; letter-spacing: 0.0315px; margin-left: 0px; font-size: 10.5px; font-family: ff89; -webkit-text-stroke: 0.1575px rgba(0, 0, 0, 0);"&gt;&lt;span style="display: inline-block;"&gt;Ba&lt;/span&gt;&lt;span style="word-spacing: 0px; letter-spacing: 0.0315px; display: inline-block; margin-left: 0px; width: 0.410156px; font-size: 10.5px; font-family: ff89; -webkit-text-stroke: 0.1575px rgba(0, 0, 0, 0);"&gt;&lt;/span&gt;&lt;span style="display: inline-block;"&gt;si&lt;/span&gt;&lt;span style="word-spacing: 0px; letter-spacing: 0.0315px; display: inline-block; margin-left: 0px; width: 0.410156px; font-size: 10.5px; font-family: ff89; -webkit-text-stroke: 0.1575px rgba(0, 0, 0, 0);"&gt;&lt;/span&gt;&lt;span style="display: inline-block;"&gt;c ea&lt;/span&gt;&lt;span style="word-spacing: 0px; letter-spacing: 0.0315px; display: inline-block; margin-left: 0px; width: 0.410156px; font-size: 10.5px; font-family: ff89; -webkit-text-stroke: 0.1575px rgba(0, 0, 0, 0);"&gt;&lt;/span&gt;&lt;span style="display: inline-block;"&gt;rn&lt;/span&gt;&lt;span style="word-spacing: 0px; letter-spacing: 0.0315px; display: inline-block; margin-left: 0px; width: 0.410156px; font-size: 10.5px; font-family: ff89; -webkit-text-stroke: 0.1575px rgba(0, 0, 0, 0);"&gt;&lt;/span&gt;&lt;span style="display: inline-block;"&gt;ing&lt;/span&gt;&lt;span style="word-spacing: 0px; letter-spacing: 0.0315px; display: inline-block; margin-left: 0px; width: 0.410156px; font-size: 10.5px; font-family: ff89; -webkit-text-stroke: 0.1575px rgba(0, 0, 0, 0);"&gt;&lt;/span&gt;&lt;span style="display: inline-block;"&gt;s p&lt;/span&gt;&lt;span style="word-spacing: 0px; letter-spacing: 0.0315px; display: inline-block; margin-left: 0px; width: 0.410156px; font-size: 10.5px; font-family: ff89; -webkit-text-stroke: 0.1575px rgba(0, 0, 0, 0);"&gt;&lt;/span&gt;&lt;span style="display: inline-block;"&gt;er s&lt;/span&gt;&lt;span style="word-spacing: 0px; letter-spacing: 0.0315px; display: inline-block; margin-left: 0px; width: 0.410156px; font-size: 10.5px; font-family: ff89; -webkit-text-stroke: 0.1575px rgba(0, 0, 0, 0);"&gt;&lt;/span&gt;&lt;span style="display: inline-block;"&gt;ha&lt;/span&gt;&lt;span style="word-spacing: 0px; letter-spacing: 0.0315px; display: inline-block; margin-left: 0px; width: 0.410156px; font-size: 10.5px; font-family: ff89; -webkit-text-stroke: 0.1575px rgba(0, 0, 0, 0);"&gt;&lt;/span&gt;&lt;span style="display: inline-block;"&gt;re (SE&lt;/span&gt;&lt;span style="word-spacing: 0px; letter-spacing: 0.0315px; display: inline-block; margin-left: 0px; width: 0.410156px; font-size: 10.5px; font-family: ff89; -webkit-text-stroke: 0.1575px rgba(0, 0, 0, 0);"&gt;&lt;/span&gt;&lt;span style="display: inline-block;"&gt;K&lt;/span&gt;&lt;span style="word-spacing: 0px; letter-spacing: 0.0315px; display: inline-block; margin-left: 0px; width: 0.410156px; font-size: 10.5px; font-family: ff89; -webkit-text-stroke: 0.1575px rgba(0, 0, 0, 0);"&gt;&lt;/span&gt;&lt;span style="display: inline-block;"&gt;)&lt;/span&gt;&lt;span style="word-spacing: 0px; letter-spacing: 0.0315px; display: inline-block; margin-left: 0px; width: 69.0352px; font-size: 10.5px; font-family: ff89; -webkit-text-stroke: 0.1575px rgba(0, 0, 0, 0);"&gt;&lt;span style="display: inline-block;"&gt; &lt;/span&gt;&lt;/span&gt;&lt;span class="pp-font-color-override-1" style="word-spacing: -0.105px; letter-spacing: 0.105px; display: inline-block; margin-left: 0px; font-size: 10.5px; font-family: ff89; -webkit-text-stroke: 0.1575px rgba(0, 0, 0, 0);"&gt;&lt;span style="display: inline-block;"&gt;0.0&lt;/span&gt;&lt;span style="word-spacing: -0.105px; letter-spacing: 0.105px; display: inline-block; margin-left: 0px; width: 0.410156px; font-size: 10.5px; font-family: ff89; -webkit-text-stroke: 0.1575px rgba(0, 0, 0, 0);"&gt;&lt;/span&gt;&lt;span style="display: inline-block;"&gt;6&lt;/span&gt;&lt;span style="word-spacing: -0.105px; letter-spacing: 0.105px; display: inline-block; margin-left: 0px; width: 70.7404px; font-size: 10.5px; font-family: ff89; -webkit-text-stroke: 0.1575px rgba(0, 0, 0, 0);"&gt;&lt;span style="display: inline-block;"&gt; &lt;/span&gt;&lt;/span&gt;&lt;span class="pp-font-color-override-1" style="word-spacing: 0.3255px; letter-spacing: -0.3255px; display: inline-block; margin-left: 0px; font-size: 10.5px; font-family: ff89; -webkit-text-stroke: 0.1575px rgba(0, 0, 0, 0);"&gt;&lt;span style="display: inline-block;"&gt;5&lt;/span&gt;&lt;span style="word-spacing: 0.3255px; letter-spacing: -0.3255px; display: inline-block; margin-left: 0px; width: 0.925781px; font-size: 10.5px; font-family: ff89; -webkit-text-stroke: 0.1575px rgba(0, 0, 0, 0);"&gt;&lt;/span&gt;&lt;span style="display: inline-block;"&gt;.17&lt;/span&gt;&lt;/span&gt;&lt;/span&gt;&lt;/span&gt;&lt;/span&gt;&lt;span style="display:inherit;clear:left;position:relative;height:210.55078125px;"&gt;&lt;span class="pp-font-color-override-1" style="position: absolute; display: inline-block; left: 0px; top: 0.0039062px; width: 311.578px; white-space: pre; word-spacing: -0.2304px; letter-spacing: 0.2304px; margin-left: 0px; font-size: 9.6px; font-family: ff89; -webkit-text-stroke: 0.144px rgba(0, 0, 0, 0);"&gt;&lt;span style="display: inline-block;"&gt;Diluted&lt;/span&gt;&lt;span style="word-spacing: -0.2304px; letter-spacing: 0.2304px; display: inline-block; margin-left: -0.684px; width: 0px; font-size: 9.6px; font-family: ff89; -webkit-text-stroke: 0.144px rgba(0, 0, 0, 0);"&gt;&lt;/span&gt;&lt;span style="display: inline-block;"&gt; earnings per&lt;/span&gt;&lt;span style="word-spacing: -0.2304px; letter-spacing: 0.2304px; display: inline-block; margin-left: -0.684px; width: 0px; font-size: 9.6px; font-family: ff89; -webkit-text-stroke: 0.144px rgba(0, 0, 0, 0);"&gt;&lt;/span&gt;&lt;span style="display: inline-block;"&gt; share&lt;/span&gt;&lt;span style="word-spacing: -0.2304px; letter-spacing: 0.2304px; display: inline-block; margin-left: 0px; width: 101.285px; font-size: 9.6px; font-family: ff89; -webkit-text-stroke: 0.144px rgba(0, 0, 0, 0);"&gt;&lt;span style="display: inline-block;"&gt; &lt;/span&gt;&lt;/span&gt;&lt;span class="pp-font-color-override-1" style="word-spacing: -0.0384px; letter-spacing: 0.0384px; display: inline-block; margin-left: 0px; font-size: 9.6px; font-family: ff89; -webkit-text-stroke: 0.144px rgba(0, 0, 0, 0);"&gt;&lt;span style="display: inline-block;"&gt;2025&lt;/span&gt;&lt;span style="word-spacing: -0.0384px; letter-spacing: 0.0384px; display: inline-block; margin-left: 0px; width: 66.5977px; font-size: 9.6px; font-family: ff89; -webkit-text-stroke: 0.144px rgba(0, 0, 0, 0);"&gt;&lt;span style="display: inline-block;"&gt; &lt;/span&gt;&lt;/span&gt;&lt;span class="pp-font-color-override-1" style="word-spacing: 0.0576px; letter-spacing: -0.0576px; display: inline-block; margin-left: 0px; font-size: 9.6px; font-family: ff88; -webkit-text-stroke: 0.144px rgba(0, 0, 0, 0);"&gt;&lt;span style="display: inline-block;"&gt;2&lt;/span&gt;&lt;span style="word-spacing: 0.0576px; letter-spacing: -0.0576px; display: inline-block; margin-left: 0px; width: 0.410156px; font-size: 9.6px; font-family: ff88; -webkit-text-stroke: 0.144px rgba(0, 0, 0, 0);"&gt;&lt;/span&gt;&lt;span style="display: inline-block;"&gt;024&lt;/span&gt;&lt;/span&gt;&lt;/span&gt;&lt;/span&gt;&lt;span class="pp-font-color-override-1" style="position: absolute; display: inline-block; left: 0px; top: 22.6348px; width: 145.301px; white-space: pre; word-spacing: 0px; letter-spacing: 0.0315px; margin-left: 0px; font-size: 10.5px; font-family: ff8a; -webkit-text-stroke: 0.1575px rgba(0, 0, 0, 0);"&gt;&lt;span style="display: inline-block;"&gt;Net i&lt;/span&gt;&lt;span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inline-block;"&gt;om&lt;/span&gt;&lt;span style="word-spacing: 0px; letter-spacing: 0.0315px; display: inline-block; margin-left: 0px; width: 0.410156px; font-size: 10.5px; font-family: ff8a; -webkit-text-stroke: 0.1575px rgba(0, 0, 0, 0);"&gt;&lt;/span&gt;&lt;span style="display: inline-block;"&gt;e in ba&lt;/span&gt;&lt;span style="word-spacing: 0px; letter-spacing: 0.0315px; display: inline-block; margin-left: 0px; width: 0.410156px; font-size: 10.5px; font-family: ff8a; -webkit-text-stroke: </t>
  </si>
  <si>
    <t>f1__s8__6__118</t>
  </si>
  <si>
    <t>ifrs-full:DescriptionOfAccountingPolicyForEarningsPerShareExplanatory</t>
  </si>
  <si>
    <t>&lt;span style="display:inherit;clear:left;"&gt;ACCOUNTING&lt;span class="_ _2"&gt;&lt;/span&gt; POLICIES&lt;/span&gt;&lt;span style="display:inherit;clear:left;"&gt;Ba&lt;span class="_ _7"&gt;&lt;/span&gt;si&lt;span class="_ _7"&gt;&lt;/span&gt;c ea&lt;span class="_ _7"&gt;&lt;/span&gt;rni&lt;span class="_ _7"&gt;&lt;/span&gt;ng&lt;span class="_ _7"&gt;&lt;/span&gt;s pe&lt;span class="_ _7"&gt;&lt;/span&gt;r sh&lt;span class="_ _7"&gt;&lt;/span&gt;ar&lt;span class="_ _7"&gt;&lt;/span&gt;e is c&lt;span class="_ _7"&gt;&lt;/span&gt;alc&lt;span class="_ _7"&gt;&lt;/span&gt;ul&lt;span class="_ _7"&gt;&lt;/span&gt;ate&lt;span class="_ _7"&gt;&lt;/span&gt;d as n&lt;span class="_ _7"&gt;&lt;/span&gt;et in&lt;span class="_ _7"&gt;&lt;/span&gt;co&lt;span class="_ _7"&gt;&lt;/span&gt;me a&lt;span class="_ _7"&gt;&lt;/span&gt;tt&lt;span class="_ _7"&gt;&lt;/span&gt;ri&lt;span class="_ _7"&gt;&lt;/span&gt;bu&lt;span class="_ _7"&gt;&lt;/span&gt;ta&lt;span class="_ _7"&gt;&lt;/span&gt;ble &lt;/span&gt;&lt;span style="display:inherit;clear:left;"&gt;to own&lt;span class="_ _7"&gt;&lt;/span&gt;er&lt;span class="_ _7"&gt;&lt;/span&gt;s o&lt;span class="_ _7"&gt;&lt;/span&gt;f the p&lt;span class="_ _7"&gt;&lt;/span&gt;ar&lt;span class="_ _7"&gt;&lt;/span&gt;ent c&lt;span class="_ _7"&gt;&lt;/span&gt;om&lt;span class="_ _7"&gt;&lt;/span&gt;pa&lt;span class="_ _7"&gt;&lt;/span&gt;ny di&lt;span class="_ _7"&gt;&lt;/span&gt;vi&lt;span class="_ _7"&gt;&lt;/span&gt;de&lt;span class="_ _7"&gt;&lt;/span&gt;d by th&lt;span class="_ _7"&gt;&lt;/span&gt;e wei&lt;span class="_ _7"&gt;&lt;/span&gt;ghte&lt;span class="_ _7"&gt;&lt;/span&gt;d ave&lt;span class="_ _7"&gt;&lt;/span&gt;ra&lt;span class="_ _7"&gt;&lt;/span&gt;ge &lt;/span&gt;&lt;span style="display:inherit;clear:left;"&gt;num&lt;span class="_ _7"&gt;&lt;/span&gt;be&lt;span class="_ _7"&gt;&lt;/span&gt;r of o&lt;span class="_ _7"&gt;&lt;/span&gt;rd&lt;span class="_ _7"&gt;&lt;/span&gt;ina&lt;span class="_ _7"&gt;&lt;/span&gt;r&lt;span class="_ _7"&gt;&lt;/span&gt;y s&lt;span class="_ _7"&gt;&lt;/span&gt;har&lt;span class="_ _7"&gt;&lt;/span&gt;es o&lt;span class="_ _7"&gt;&lt;/span&gt;ut&lt;span class="_ _7"&gt;&lt;/span&gt;s&lt;span class="_ _7"&gt;&lt;/span&gt;ta&lt;span class="_ _7"&gt;&lt;/span&gt;nd&lt;span class="_ _7"&gt;&lt;/span&gt;ing d&lt;span class="_ _7"&gt;&lt;/span&gt;uri&lt;span class="_ _7"&gt;&lt;/span&gt;ng th&lt;span class="_ _7"&gt;&lt;/span&gt;e pe&lt;span class="_ _7"&gt;&lt;/span&gt;ri&lt;span class="_ _7"&gt;&lt;/span&gt;od&lt;span class="_ _7"&gt;&lt;/span&gt;. &lt;/span&gt;&lt;span style="display:inherit;clear:left;"&gt;Ef&lt;span class="_ _7"&gt;&lt;/span&gt;fe&lt;span class="_ _7"&gt;&lt;/span&gt;ct&lt;span class="_ _7"&gt;&lt;/span&gt;s on E&lt;span class="_ _7"&gt;&lt;/span&gt;ar&lt;span class="_ _7"&gt;&lt;/span&gt;ni&lt;span class="_ _7"&gt;&lt;/span&gt;ng&lt;span class="_ _7"&gt;&lt;/span&gt;s pe&lt;span class="_ _7"&gt;&lt;/span&gt;r sh&lt;span class="_ _7"&gt;&lt;/span&gt;are (EP&lt;span class="_ _7"&gt;&lt;/span&gt;S) con&lt;span class="_ _7"&gt;&lt;/span&gt;ne&lt;span class="_ _7"&gt;&lt;/span&gt;cte&lt;span class="_ _7"&gt;&lt;/span&gt;d wi&lt;span class="_ _7"&gt;&lt;/span&gt;th e&lt;span class="_ _7"&gt;&lt;/span&gt;qui&lt;span class="_ _7"&gt;&lt;/span&gt;t&lt;span class="_ _7"&gt;&lt;/span&gt;y-      &lt;/span&gt;&lt;span style="display:inherit;clear:left;"&gt;se&lt;span class="_ _7"&gt;&lt;/span&gt;t&lt;span class="_ _7"&gt;&lt;/span&gt;tle&lt;span class="_ _7"&gt;&lt;/span&gt;d emp&lt;span class="_ _7"&gt;&lt;/span&gt;loye&lt;span class="_ _7"&gt;&lt;/span&gt;e in&lt;span class="_ _7"&gt;&lt;/span&gt;ce&lt;span class="_ _7"&gt;&lt;/span&gt;nti&lt;span class="_ _7"&gt;&lt;/span&gt;ve p&lt;span class="_ _7"&gt;&lt;/span&gt;la&lt;span class="_ _7"&gt;&lt;/span&gt;ns a&lt;span class="_ _7"&gt;&lt;/span&gt;re re&lt;span class="_ _7"&gt;&lt;/span&gt;f&lt;span class="_ _7"&gt;&lt;/span&gt;lec&lt;span class="_ _7"&gt;&lt;/span&gt;ted i&lt;span class="_ _7"&gt;&lt;/span&gt;n th&lt;span class="_ _7"&gt;&lt;/span&gt;e dil&lt;span class="_ _7"&gt;&lt;/span&gt;ute&lt;span class="_ _7"&gt;&lt;/span&gt;d  &lt;/span&gt;&lt;span style="display:inherit;clear:left;"&gt;ear&lt;span class="_ _7"&gt;&lt;/span&gt;ni&lt;span class="_ _7"&gt;&lt;/span&gt;ng&lt;span class="_ _7"&gt;&lt;/span&gt;s pe&lt;span class="_ _7"&gt;&lt;/span&gt;r sh&lt;span class="_ _7"&gt;&lt;/span&gt;ar&lt;span class="_ _7"&gt;&lt;/span&gt;e ca&lt;span class="_ _7"&gt;&lt;/span&gt;lcu&lt;span class="_ _7"&gt;&lt;/span&gt;la&lt;span class="_ _7"&gt;&lt;/span&gt;tio&lt;span class="_ _7"&gt;&lt;/span&gt;n wh&lt;span class="_ _7"&gt;&lt;/span&gt;en th&lt;span class="_ _7"&gt;&lt;/span&gt;ey ar&lt;span class="_ _7"&gt;&lt;/span&gt;e di&lt;span class="_ _7"&gt;&lt;/span&gt;luti&lt;span class="_ _7"&gt;&lt;/span&gt;ve. F&lt;span class="_ _7"&gt;&lt;/span&gt;or th&lt;span class="_ _7"&gt;&lt;/span&gt;e  &lt;/span&gt;&lt;span style="display:inherit;clear:left;"&gt;pe&lt;span class="_ _7"&gt;&lt;/span&gt;r&lt;span class="_ _7"&gt;&lt;/span&gt;fo&lt;span class="_ _7"&gt;&lt;/span&gt;rm&lt;span class="_ _7"&gt;&lt;/span&gt;an&lt;span class="_ _7"&gt;&lt;/span&gt;ce sh&lt;span class="_ _7"&gt;&lt;/span&gt;ar&lt;span class="_ _7"&gt;&lt;/span&gt;e pr&lt;span class="_ _7"&gt;&lt;/span&gt;og&lt;span class="_ _7"&gt;&lt;/span&gt;ra&lt;span class="_ _7"&gt;&lt;/span&gt;mme t&lt;span class="_ _7"&gt;&lt;/span&gt;hi&lt;span class="_ _7"&gt;&lt;/span&gt;s is b&lt;span class="_ _7"&gt;&lt;/span&gt;as&lt;span class="_ _7"&gt;&lt;/span&gt;ed o&lt;span class="_ _7"&gt;&lt;/span&gt;n th&lt;span class="_ _7"&gt;&lt;/span&gt;e fu&lt;span class="_ _7"&gt;&lt;/span&gt;lfi&lt;span class="_ _7"&gt;&lt;/span&gt;lme&lt;span class="_ _7"&gt;&lt;/span&gt;nt o&lt;span class="_ _7"&gt;&lt;/span&gt;f &lt;/span&gt;&lt;span style="display:inherit;clear:left;"&gt;the performance conditions. For&lt;span class="_ _2"&gt;&lt;/span&gt; the employee&lt;span class="_ _2"&gt;&lt;/span&gt; share matching&lt;span class="_ _2"&gt;&lt;/span&gt; &lt;span class="ls3 ws3"&gt; &lt;/span&gt;&lt;/span&gt;&lt;span style="display:inherit;clear:left;"&gt;pro&lt;span class="_ _7"&gt;&lt;/span&gt;gr&lt;span class="_ _7"&gt;&lt;/span&gt;am&lt;span class="_ _7"&gt;&lt;/span&gt;me d&lt;span class="_ _7"&gt;&lt;/span&gt;ilu&lt;span class="_ _7"&gt;&lt;/span&gt;tiv&lt;span class="_ _7"&gt;&lt;/span&gt;e ef&lt;span class="_ _7"&gt;&lt;/span&gt;f&lt;span class="_ _7"&gt;&lt;/span&gt;ec&lt;span class="_ _7"&gt;&lt;/span&gt;t&lt;span class="_ _7"&gt;&lt;/span&gt;s are c&lt;span class="_ _7"&gt;&lt;/span&gt;al&lt;span class="_ _7"&gt;&lt;/span&gt;cul&lt;span class="_ _7"&gt;&lt;/span&gt;ate&lt;span class="_ _7"&gt;&lt;/span&gt;d us&lt;span class="_ _7"&gt;&lt;/span&gt;in&lt;span class="_ _7"&gt;&lt;/span&gt;g the t&lt;span class="_ _7"&gt;&lt;/span&gt;re&lt;span class="_ _7"&gt;&lt;/span&gt;asu&lt;span class="_ _7"&gt;&lt;/span&gt;r&lt;span class="_ _7"&gt;&lt;/span&gt;y &lt;/span&gt;&lt;span style="display:inherit;clear:left;"&gt;stock met&lt;span class="_ _2"&gt;&lt;/span&gt;hod.&lt;/span&gt;</t>
  </si>
  <si>
    <t>f1__s8__6__12</t>
  </si>
  <si>
    <t>ifrs-full:NameOfUltimateParentOfGroup</t>
  </si>
  <si>
    <t>Shanghai Geely Zhaoyuan International Investment Co., Ltd</t>
  </si>
  <si>
    <t>f1__s8__6__120</t>
  </si>
  <si>
    <t>ifrs-full:DisclosureOfIntangibleAssetsAndGoodwillExplanatory</t>
  </si>
  <si>
    <t>&lt;span style="display:inherit;clear:left;"&gt;NOT&lt;span class="_ _7"&gt;&lt;/span&gt;E 15&lt;/span&gt;&lt;span style="display:inherit;clear:left;"&gt;INT&lt;span class="_ _6"&gt;&lt;/span&gt;ANGIBLE ASSET&lt;span class="_ _2"&gt;&lt;/span&gt;S&lt;/span&gt;&lt;span style="display:inherit;clear:left;"&gt;ACCOUNTING&lt;span class="_ _2"&gt;&lt;/span&gt; POLICIES&lt;/span&gt;&lt;span style="display:inherit;clear:left;"&gt;Th&lt;span class="_ _7"&gt;&lt;/span&gt;e int&lt;span class="_ _7"&gt;&lt;/span&gt;ang&lt;span class="_ _7"&gt;&lt;/span&gt;ib&lt;span class="_ _7"&gt;&lt;/span&gt;le as&lt;span class="_ _7"&gt;&lt;/span&gt;s&lt;span class="_ _7"&gt;&lt;/span&gt;e&lt;span class="_ _7"&gt;&lt;/span&gt;ts h&lt;span class="_ _7"&gt;&lt;/span&gt;eld b&lt;span class="_ _7"&gt;&lt;/span&gt;y Volvo Ca&lt;span class="_ _7"&gt;&lt;/span&gt;r Gro&lt;span class="_ _7"&gt;&lt;/span&gt;up c&lt;span class="_ _7"&gt;&lt;/span&gt;on&lt;span class="_ _7"&gt;&lt;/span&gt;si&lt;span class="_ _7"&gt;&lt;/span&gt;st&lt;span class="_ _7"&gt;&lt;/span&gt;s p&lt;span class="_ _7"&gt;&lt;/span&gt;rim&lt;span class="_ _7"&gt;&lt;/span&gt;ar&lt;span class="_ _7"&gt;&lt;/span&gt;ily o&lt;span class="_ _7"&gt;&lt;/span&gt;f &lt;/span&gt;&lt;span style="display:inherit;clear:left;"&gt;vehicle&lt;span class="_ _2"&gt;&lt;/span&gt; product development,&lt;span class="_ _2"&gt;&lt;/span&gt; license&lt;span class="_ _7"&gt;&lt;/span&gt;s and pat&lt;span class="_ _2"&gt;&lt;/span&gt;ents&lt;span class="_ _7"&gt;&lt;/span&gt;, trademark, &lt;/span&gt;&lt;span style="display:inherit;clear:left;"&gt;go&lt;span class="_ _7"&gt;&lt;/span&gt;od&lt;span class="_ _7"&gt;&lt;/span&gt;wil&lt;span class="_ _7"&gt;&lt;/span&gt;l, d&lt;span class="_ _7"&gt;&lt;/span&gt;ea&lt;span class="_ _7"&gt;&lt;/span&gt;ler n&lt;span class="_ _7"&gt;&lt;/span&gt;et&lt;span class="_ _7"&gt;&lt;/span&gt;wo&lt;span class="_ _7"&gt;&lt;/span&gt;rk a&lt;span class="_ _7"&gt;&lt;/span&gt;nd i&lt;span class="_ _7"&gt;&lt;/span&gt;nve&lt;span class="_ _7"&gt;&lt;/span&gt;st&lt;span class="_ _7"&gt;&lt;/span&gt;men&lt;span class="_ _7"&gt;&lt;/span&gt;ts i&lt;span class="_ _7"&gt;&lt;/span&gt;n IT&lt;span class="_ _6"&gt;&lt;/span&gt;-s&lt;span class="_ _7"&gt;&lt;/span&gt;ys&lt;span class="_ _7"&gt;&lt;/span&gt;te&lt;span class="_ _7"&gt;&lt;/span&gt;ms a&lt;span class="_ _7"&gt;&lt;/span&gt;nd s&lt;span class="_ _7"&gt;&lt;/span&gt;of&lt;span class="_ _9"&gt;&lt;/span&gt;t&lt;span class="_ _2"&gt;&lt;/span&gt;-&lt;/span&gt;&lt;span style="display:inherit;clear:left;"&gt;war&lt;span class="_ _7"&gt;&lt;/span&gt;e. Volvo C&lt;span class="_ _7"&gt;&lt;/span&gt;ar Gr&lt;span class="_ _7"&gt;&lt;/span&gt;ou&lt;span class="_ _7"&gt;&lt;/span&gt;p app&lt;span class="_ _7"&gt;&lt;/span&gt;li&lt;span class="_ _7"&gt;&lt;/span&gt;es t&lt;span class="_ _7"&gt;&lt;/span&gt;he c&lt;span class="_ _7"&gt;&lt;/span&gt;os&lt;span class="_ _7"&gt;&lt;/span&gt;t mo&lt;span class="_ _7"&gt;&lt;/span&gt;de&lt;span class="_ _7"&gt;&lt;/span&gt;l fo&lt;span class="_ _7"&gt;&lt;/span&gt;r me&lt;span class="_ _7"&gt;&lt;/span&gt;as&lt;span class="_ _7"&gt;&lt;/span&gt;ur&lt;span class="_ _7"&gt;&lt;/span&gt;eme&lt;span class="_ _7"&gt;&lt;/span&gt;nt o&lt;span class="_ _7"&gt;&lt;/span&gt;f &lt;/span&gt;&lt;span style="display:inherit;clear:left;"&gt;int&lt;span class="_ _7"&gt;&lt;/span&gt;ang&lt;span class="_ _7"&gt;&lt;/span&gt;ib&lt;span class="_ _7"&gt;&lt;/span&gt;le a&lt;span class="_ _7"&gt;&lt;/span&gt;s&lt;span class="_ _7"&gt;&lt;/span&gt;se&lt;span class="_ _7"&gt;&lt;/span&gt;ts&lt;span class="_ _7"&gt;&lt;/span&gt;. &lt;/span&gt;&lt;span style="display:inherit;clear:left;"&gt;Product devel&lt;span class="_ _2"&gt;&lt;/span&gt;opment&lt;/span&gt;&lt;span style="display:inherit;clear:left;"&gt;Volvo Ca&lt;span class="_ _7"&gt;&lt;/span&gt;r Gro&lt;span class="_ _7"&gt;&lt;/span&gt;up a&lt;span class="_ _7"&gt;&lt;/span&gt;pp&lt;span class="_ _7"&gt;&lt;/span&gt;lie&lt;span class="_ _7"&gt;&lt;/span&gt;s a wa&lt;span class="_ _7"&gt;&lt;/span&gt;ter&lt;span class="_ _7"&gt;&lt;/span&gt;f&lt;span class="_ _7"&gt;&lt;/span&gt;al&lt;span class="_ _7"&gt;&lt;/span&gt;l mo&lt;span class="_ _7"&gt;&lt;/span&gt;de&lt;span class="_ _7"&gt;&lt;/span&gt;l wi&lt;span class="_ _7"&gt;&lt;/span&gt;th di&lt;span class="_ _7"&gt;&lt;/span&gt;s&lt;span class="_ _7"&gt;&lt;/span&gt;tin&lt;span class="_ _7"&gt;&lt;/span&gt;ct g&lt;span class="_ _7"&gt;&lt;/span&gt;ate&lt;span class="_ _7"&gt;&lt;/span&gt;s th&lt;span class="_ _7"&gt;&lt;/span&gt;at &lt;/span&gt;&lt;span style="display:inherit;clear:left;"&gt;gove&lt;span class="_ _7"&gt;&lt;/span&gt;rn&lt;span class="_ _7"&gt;&lt;/span&gt;s al&lt;span class="_ _7"&gt;&lt;/span&gt;l ph&lt;span class="_ _7"&gt;&lt;/span&gt;as&lt;span class="_ _7"&gt;&lt;/span&gt;es o&lt;span class="_ _7"&gt;&lt;/span&gt;f pr&lt;span class="_ _7"&gt;&lt;/span&gt;od&lt;span class="_ _7"&gt;&lt;/span&gt;uc&lt;span class="_ _7"&gt;&lt;/span&gt;t dev&lt;span class="_ _7"&gt;&lt;/span&gt;elo&lt;span class="_ _7"&gt;&lt;/span&gt;pm&lt;span class="_ _7"&gt;&lt;/span&gt;ent p&lt;span class="_ _7"&gt;&lt;/span&gt;ro&lt;span class="_ _7"&gt;&lt;/span&gt;je&lt;span class="_ _7"&gt;&lt;/span&gt;ct&lt;span class="_ _7"&gt;&lt;/span&gt;s&lt;span class="_ _7"&gt;&lt;/span&gt;. Co&lt;span class="_ _7"&gt;&lt;/span&gt;st&lt;span class="_ _7"&gt;&lt;/span&gt;s r&lt;span class="_ _7"&gt;&lt;/span&gt;el&lt;span class="_ _7"&gt;&lt;/span&gt;ate&lt;span class="_ _7"&gt;&lt;/span&gt;d &lt;/span&gt;&lt;span style="display:inherit;clear:left;"&gt;to pr&lt;span class="_ _7"&gt;&lt;/span&gt;od&lt;span class="_ _7"&gt;&lt;/span&gt;uct d&lt;span class="_ _7"&gt;&lt;/span&gt;eve&lt;span class="_ _7"&gt;&lt;/span&gt;lo&lt;span class="_ _7"&gt;&lt;/span&gt;pme&lt;span class="_ _7"&gt;&lt;/span&gt;nt a&lt;span class="_ _7"&gt;&lt;/span&gt;re on&lt;span class="_ _7"&gt;&lt;/span&gt;ly re&lt;span class="_ _7"&gt;&lt;/span&gt;co&lt;span class="_ _7"&gt;&lt;/span&gt;gn&lt;span class="_ _7"&gt;&lt;/span&gt;is&lt;span class="_ _7"&gt;&lt;/span&gt;ed a&lt;span class="_ _7"&gt;&lt;/span&gt;s as&lt;span class="_ _7"&gt;&lt;/span&gt;s&lt;span class="_ _7"&gt;&lt;/span&gt;et&lt;span class="_ _7"&gt;&lt;/span&gt;s wh&lt;span class="_ _7"&gt;&lt;/span&gt;en t&lt;span class="_ _7"&gt;&lt;/span&gt;he &lt;/span&gt;&lt;span style="display:inherit;clear:left;"&gt;re&lt;span class="_ _7"&gt;&lt;/span&gt;cog&lt;span class="_ _7"&gt;&lt;/span&gt;ni&lt;span class="_ _7"&gt;&lt;/span&gt;tio&lt;span class="_ _7"&gt;&lt;/span&gt;n cr&lt;span class="_ _7"&gt;&lt;/span&gt;ite&lt;span class="_ _7"&gt;&lt;/span&gt;ri&lt;span class="_ _7"&gt;&lt;/span&gt;a are m&lt;span class="_ _7"&gt;&lt;/span&gt;et&lt;span class="_ _7"&gt;&lt;/span&gt;. No&lt;span class="_ _7"&gt;&lt;/span&gt;rm&lt;span class="_ _7"&gt;&lt;/span&gt;ally t&lt;span class="_ _7"&gt;&lt;/span&gt;hi&lt;span class="_ _7"&gt;&lt;/span&gt;s cor&lt;span class="_ _7"&gt;&lt;/span&gt;re&lt;span class="_ _7"&gt;&lt;/span&gt;l&lt;span class="_ _7"&gt;&lt;/span&gt;ate&lt;span class="_ _7"&gt;&lt;/span&gt;s wi&lt;span class="_ _7"&gt;&lt;/span&gt;th th&lt;span class="_ _7"&gt;&lt;/span&gt;e ind&lt;span class="_ _7"&gt;&lt;/span&gt;us-&lt;/span&gt;&lt;span style="display:inherit;clear:left;"&gt;tri&lt;span class="_ _7"&gt;&lt;/span&gt;al&lt;span class="_ _7"&gt;&lt;/span&gt;is&lt;span class="_ _7"&gt;&lt;/span&gt;ati&lt;span class="_ _7"&gt;&lt;/span&gt;on p&lt;span class="_ _7"&gt;&lt;/span&gt;ha&lt;span class="_ _7"&gt;&lt;/span&gt;se o&lt;span class="_ _7"&gt;&lt;/span&gt;f th&lt;span class="_ _7"&gt;&lt;/span&gt;e pr&lt;span class="_ _7"&gt;&lt;/span&gt;oje&lt;span class="_ _7"&gt;&lt;/span&gt;ct w&lt;span class="_ _7"&gt;&lt;/span&gt;he&lt;span class="_ _7"&gt;&lt;/span&gt;n th&lt;span class="_ _7"&gt;&lt;/span&gt;e pro&lt;span class="_ _7"&gt;&lt;/span&gt;du&lt;span class="_ _7"&gt;&lt;/span&gt;ct i&lt;span class="_ _7"&gt;&lt;/span&gt;s pr&lt;span class="_ _7"&gt;&lt;/span&gt;ep&lt;span class="_ _7"&gt;&lt;/span&gt;are&lt;span class="_ _7"&gt;&lt;/span&gt;d fo&lt;span class="_ _7"&gt;&lt;/span&gt;r &lt;/span&gt;&lt;span style="display:inherit;clear:left;"&gt;se&lt;span class="_ _7"&gt;&lt;/span&gt;ri&lt;span class="_ _7"&gt;&lt;/span&gt;al p&lt;span class="_ _7"&gt;&lt;/span&gt;ro&lt;span class="_ _7"&gt;&lt;/span&gt;duc&lt;span class="_ _7"&gt;&lt;/span&gt;ti&lt;span class="_ _7"&gt;&lt;/span&gt;on an&lt;span class="_ _7"&gt;&lt;/span&gt;d th&lt;span class="_ _7"&gt;&lt;/span&gt;e pro&lt;span class="_ _7"&gt;&lt;/span&gt;du&lt;span class="_ _7"&gt;&lt;/span&gt;ct i&lt;span class="_ _7"&gt;&lt;/span&gt;s l&lt;span class="_ _7"&gt;&lt;/span&gt;aun&lt;span class="_ _7"&gt;&lt;/span&gt;che&lt;span class="_ _7"&gt;&lt;/span&gt;d&lt;span class="_ _7"&gt;&lt;/span&gt;. Co&lt;span class="_ _7"&gt;&lt;/span&gt;s&lt;span class="_ _7"&gt;&lt;/span&gt;ts p&lt;span class="_ _7"&gt;&lt;/span&gt;ri&lt;span class="_ _7"&gt;&lt;/span&gt;or to th&lt;span class="_ _7"&gt;&lt;/span&gt;e &lt;/span&gt;&lt;span style="display:inherit;clear:left;"&gt;industrialisation phase of t&lt;span class="_ _2"&gt;&lt;/span&gt;he project, the concept&lt;span class="_ _2"&gt;&lt;/span&gt; phase, are recog&lt;span class="_ _2"&gt;&lt;/span&gt;&lt;span class="ls3 ws3"&gt;-&lt;/span&gt;&lt;/span&gt;&lt;span style="display:inherit;clear:left;"&gt;nis&lt;span class="_ _7"&gt;&lt;/span&gt;e&lt;span class="_ _7"&gt;&lt;/span&gt;d in th&lt;span class="_ _7"&gt;&lt;/span&gt;e in&lt;span class="_ _7"&gt;&lt;/span&gt;co&lt;span class="_ _7"&gt;&lt;/span&gt;me s&lt;span class="_ _7"&gt;&lt;/span&gt;ta&lt;span class="_ _7"&gt;&lt;/span&gt;tem&lt;span class="_ _7"&gt;&lt;/span&gt;ent a&lt;span class="_ _7"&gt;&lt;/span&gt;s in&lt;span class="_ _7"&gt;&lt;/span&gt;cur&lt;span class="_ _7"&gt;&lt;/span&gt;re&lt;span class="_ _7"&gt;&lt;/span&gt;d&lt;span class="_ _7"&gt;&lt;/span&gt;. &lt;/span&gt;&lt;span style="display:inherit;clear:left;"&gt;Dev&lt;span class="_ _7"&gt;&lt;/span&gt;elo&lt;span class="_ _7"&gt;&lt;/span&gt;pm&lt;span class="_ _7"&gt;&lt;/span&gt;ent c&lt;span class="_ _7"&gt;&lt;/span&gt;os&lt;span class="_ _7"&gt;&lt;/span&gt;t&lt;span class="_ _7"&gt;&lt;/span&gt;s th&lt;span class="_ _7"&gt;&lt;/span&gt;at ar&lt;span class="_ _7"&gt;&lt;/span&gt;e co&lt;span class="_ _7"&gt;&lt;/span&gt;ntr&lt;span class="_ _7"&gt;&lt;/span&gt;ac&lt;span class="_ _7"&gt;&lt;/span&gt;tu&lt;span class="_ _7"&gt;&lt;/span&gt;ally s&lt;span class="_ _7"&gt;&lt;/span&gt;ha&lt;span class="_ _7"&gt;&lt;/span&gt;re&lt;span class="_ _7"&gt;&lt;/span&gt;d wi&lt;span class="_ _7"&gt;&lt;/span&gt;th oth&lt;span class="_ _7"&gt;&lt;/span&gt;er p&lt;span class="_ _7"&gt;&lt;/span&gt;ar-&lt;/span&gt;&lt;span style="display:inherit;clear:left;"&gt;tie&lt;span class="_ _7"&gt;&lt;/span&gt;s ar&lt;span class="_ _7"&gt;&lt;/span&gt;e re&lt;span class="_ _7"&gt;&lt;/span&gt;cog&lt;span class="_ _7"&gt;&lt;/span&gt;ni&lt;span class="_ _7"&gt;&lt;/span&gt;s&lt;span class="_ _7"&gt;&lt;/span&gt;ed a&lt;span class="_ _7"&gt;&lt;/span&gt;s int&lt;span class="_ _7"&gt;&lt;/span&gt;an&lt;span class="_ _7"&gt;&lt;/span&gt;gib&lt;span class="_ _7"&gt;&lt;/span&gt;le a&lt;span class="_ _7"&gt;&lt;/span&gt;s&lt;span class="_ _7"&gt;&lt;/span&gt;se&lt;span class="_ _7"&gt;&lt;/span&gt;ts t&lt;span class="_ _7"&gt;&lt;/span&gt;o the ex&lt;span class="_ _7"&gt;&lt;/span&gt;te&lt;span class="_ _7"&gt;&lt;/span&gt;nt o&lt;span class="_ _7"&gt;&lt;/span&gt;f the r&lt;span class="_ _7"&gt;&lt;/span&gt;el&lt;span class="_ _7"&gt;&lt;/span&gt;evan&lt;span class="_ _7"&gt;&lt;/span&gt;t &lt;/span&gt;&lt;span style="display:inherit;clear:left;"&gt;pro&lt;span class="_ _7"&gt;&lt;/span&gt;po&lt;span class="_ _7"&gt;&lt;/span&gt;r&lt;span class="_ _7"&gt;&lt;/span&gt;ti&lt;span class="_ _7"&gt;&lt;/span&gt;on o&lt;span class="_ _7"&gt;&lt;/span&gt;f Volvo Ca&lt;span class="_ _7"&gt;&lt;/span&gt;r Gro&lt;span class="_ _7"&gt;&lt;/span&gt;up i&lt;span class="_ _7"&gt;&lt;/span&gt;nter&lt;span class="_ _7"&gt;&lt;/span&gt;e&lt;span class="_ _7"&gt;&lt;/span&gt;st&lt;span class="_ _7"&gt;&lt;/span&gt;s&lt;span class="_ _7"&gt;&lt;/span&gt;. In&lt;span class="_ _7"&gt;&lt;/span&gt;cur&lt;span class="_ _7"&gt;&lt;/span&gt;re&lt;span class="_ _7"&gt;&lt;/span&gt;d co&lt;span class="_ _7"&gt;&lt;/span&gt;st&lt;span class="_ _7"&gt;&lt;/span&gt;s fo&lt;span class="_ _7"&gt;&lt;/span&gt;r de&lt;span class="_ _7"&gt;&lt;/span&gt;vel-&lt;/span&gt;&lt;span style="display:inherit;clear:left;"&gt;op&lt;span class="_ _7"&gt;&lt;/span&gt;ed te&lt;span class="_ _7"&gt;&lt;/span&gt;ch&lt;span class="_ _7"&gt;&lt;/span&gt;no&lt;span class="_ _7"&gt;&lt;/span&gt;log&lt;span class="_ _7"&gt;&lt;/span&gt;y n&lt;span class="_ _7"&gt;&lt;/span&gt;ot c&lt;span class="_ _7"&gt;&lt;/span&gt;ont&lt;span class="_ _7"&gt;&lt;/span&gt;ro&lt;span class="_ _7"&gt;&lt;/span&gt;lle&lt;span class="_ _7"&gt;&lt;/span&gt;d by Volvo Ca&lt;span class="_ _7"&gt;&lt;/span&gt;r Gr&lt;span class="_ _7"&gt;&lt;/span&gt;oup a&lt;span class="_ _7"&gt;&lt;/span&gt;re r&lt;span class="_ _7"&gt;&lt;/span&gt;ec&lt;span class="_ _7"&gt;&lt;/span&gt;og&lt;span class="_ _7"&gt;&lt;/span&gt;nis&lt;span class="_ _7"&gt;&lt;/span&gt;e&lt;span class="_ _7"&gt;&lt;/span&gt;d &lt;/span&gt;&lt;span style="display:inherit;clear:left;"&gt;in th&lt;span class="_ _7"&gt;&lt;/span&gt;e in&lt;span class="_ _7"&gt;&lt;/span&gt;com&lt;span class="_ _7"&gt;&lt;/span&gt;e s&lt;span class="_ _7"&gt;&lt;/span&gt;ta&lt;span class="_ _7"&gt;&lt;/span&gt;tem&lt;span class="_ _7"&gt;&lt;/span&gt;ent a&lt;span class="_ _7"&gt;&lt;/span&gt;s co&lt;span class="_ _7"&gt;&lt;/span&gt;s&lt;span class="_ _7"&gt;&lt;/span&gt;t of s&lt;span class="_ _7"&gt;&lt;/span&gt;ale&lt;span class="_ _7"&gt;&lt;/span&gt;s at t&lt;span class="_ _7"&gt;&lt;/span&gt;he ti&lt;span class="_ _7"&gt;&lt;/span&gt;me o&lt;span class="_ _7"&gt;&lt;/span&gt;f s&lt;span class="_ _7"&gt;&lt;/span&gt;ale&lt;span class="_ _7"&gt;&lt;/span&gt;. &lt;/span&gt;&lt;span style="display:inherit;clear:left;"&gt;Amortisation methods f&lt;span class="_ _2"&gt;&lt;/span&gt;or intangible assets&lt;/span&gt;&lt;span style="display:inherit;clear:left;"&gt;Int&lt;span class="_ _7"&gt;&lt;/span&gt;ang&lt;span class="_ _7"&gt;&lt;/span&gt;ib&lt;span class="_ _7"&gt;&lt;/span&gt;le a&lt;span class="_ _7"&gt;&lt;/span&gt;s&lt;span class="_ _7"&gt;&lt;/span&gt;se&lt;span class="_ _7"&gt;&lt;/span&gt;ts w&lt;span class="_ _7"&gt;&lt;/span&gt;ith f&lt;span class="_ _7"&gt;&lt;/span&gt;in&lt;span class="_ _7"&gt;&lt;/span&gt;ite u&lt;span class="_ _7"&gt;&lt;/span&gt;s&lt;span class="_ _7"&gt;&lt;/span&gt;ef&lt;span class="_ _7"&gt;&lt;/span&gt;ul li&lt;span class="_ _7"&gt;&lt;/span&gt;ve&lt;span class="_ _7"&gt;&lt;/span&gt;s ar&lt;span class="_ _7"&gt;&lt;/span&gt;e amo&lt;span class="_ _7"&gt;&lt;/span&gt;r&lt;span class="_ _7"&gt;&lt;/span&gt;ti&lt;span class="_ _7"&gt;&lt;/span&gt;se&lt;span class="_ _7"&gt;&lt;/span&gt;d on a s&lt;span class="_ _7"&gt;&lt;/span&gt;tr&lt;span class="_ _7"&gt;&lt;/span&gt;ai&lt;span class="_ _7"&gt;&lt;/span&gt;ght-&lt;/span&gt;&lt;span style="display:inherit;clear:left;"&gt;lin&lt;span class="_ _7"&gt;&lt;/span&gt;e ba&lt;span class="_ _7"&gt;&lt;/span&gt;si&lt;span class="_ _7"&gt;&lt;/span&gt;s ove&lt;span class="_ _7"&gt;&lt;/span&gt;r the&lt;span class="_ _7"&gt;&lt;/span&gt;ir r&lt;span class="_ _7"&gt;&lt;/span&gt;es&lt;span class="_ _7"&gt;&lt;/span&gt;pe&lt;span class="_ _7"&gt;&lt;/span&gt;ct&lt;span class="_ _7"&gt;&lt;/span&gt;ive ex&lt;span class="_ _7"&gt;&lt;/span&gt;p&lt;span class="_ _7"&gt;&lt;/span&gt;ec&lt;span class="_ _7"&gt;&lt;/span&gt;ted u&lt;span class="_ _7"&gt;&lt;/span&gt;s&lt;span class="_ _7"&gt;&lt;/span&gt;ef&lt;span class="_ _7"&gt;&lt;/span&gt;ul li&lt;span class="_ _7"&gt;&lt;/span&gt;ve&lt;span class="_ _7"&gt;&lt;/span&gt;s&lt;span class="_ _7"&gt;&lt;/span&gt;. Wh&lt;span class="_ _7"&gt;&lt;/span&gt;en as&lt;span class="_ _7"&gt;&lt;/span&gt;s&lt;span class="_ _7"&gt;&lt;/span&gt;et&lt;span class="_ _7"&gt;&lt;/span&gt;s &lt;/span&gt;&lt;span style="display:inherit;clear:left;"&gt;are u&lt;span class="_ _7"&gt;&lt;/span&gt;s&lt;span class="_ _7"&gt;&lt;/span&gt;ed o&lt;span class="_ _7"&gt;&lt;/span&gt;nly in t&lt;span class="_ _7"&gt;&lt;/span&gt;he p&lt;span class="_ _7"&gt;&lt;/span&gt;ro&lt;span class="_ _7"&gt;&lt;/span&gt;duc&lt;span class="_ _7"&gt;&lt;/span&gt;ti&lt;span class="_ _7"&gt;&lt;/span&gt;on o&lt;span class="_ _7"&gt;&lt;/span&gt;f a sp&lt;span class="_ _7"&gt;&lt;/span&gt;eci&lt;span class="_ _7"&gt;&lt;/span&gt;f&lt;span class="_ _7"&gt;&lt;/span&gt;ic ve&lt;span class="_ _7"&gt;&lt;/span&gt;hi&lt;span class="_ _7"&gt;&lt;/span&gt;cle o&lt;span class="_ _7"&gt;&lt;/span&gt;r pl&lt;span class="_ _7"&gt;&lt;/span&gt;at&lt;span class="_ _7"&gt;&lt;/span&gt;fo&lt;span class="_ _7"&gt;&lt;/span&gt;rm&lt;span class="_ _7"&gt;&lt;/span&gt;, th&lt;span class="_ _7"&gt;&lt;/span&gt;e &lt;/span&gt;&lt;span style="display:inherit;clear:left;"&gt;us&lt;span class="_ _7"&gt;&lt;/span&gt;ef&lt;span class="_ _7"&gt;&lt;/span&gt;ul l&lt;span class="_ _7"&gt;&lt;/span&gt;if&lt;span class="_ _7"&gt;&lt;/span&gt;e of th&lt;span class="_ _7"&gt;&lt;/span&gt;e as&lt;span class="_ _7"&gt;&lt;/span&gt;s&lt;span class="_ _7"&gt;&lt;/span&gt;et&lt;span class="_ _7"&gt;&lt;/span&gt;s i&lt;span class="_ _7"&gt;&lt;/span&gt;s alig&lt;span class="_ _7"&gt;&lt;/span&gt;ne&lt;span class="_ _7"&gt;&lt;/span&gt;d wi&lt;span class="_ _7"&gt;&lt;/span&gt;th th&lt;span class="_ _7"&gt;&lt;/span&gt;e pr&lt;span class="_ _7"&gt;&lt;/span&gt;od&lt;span class="_ _7"&gt;&lt;/span&gt;uc&lt;span class="_ _7"&gt;&lt;/span&gt;tio&lt;span class="_ _7"&gt;&lt;/span&gt;n pe&lt;span class="_ _7"&gt;&lt;/span&gt;ri&lt;span class="_ _7"&gt;&lt;/span&gt;od f&lt;span class="_ _7"&gt;&lt;/span&gt;or th&lt;span class="_ _7"&gt;&lt;/span&gt;at &lt;/span&gt;&lt;span style="display:inherit;clear:left;"&gt;vehicle&lt;span class="_ _2"&gt;&lt;/span&gt; or platform&lt;span class="_ _7"&gt;&lt;/span&gt;. The&lt;span class="_ _2"&gt;&lt;/span&gt; amor&lt;span class="_ _7"&gt;&lt;/span&gt;tisation period for&lt;span class="_ _2"&gt;&lt;/span&gt; contractual rights &lt;/span&gt;&lt;span style="display:inherit;clear:left;"&gt;su&lt;span class="_ _7"&gt;&lt;/span&gt;ch as l&lt;span class="_ _7"&gt;&lt;/span&gt;ice&lt;span class="_ _7"&gt;&lt;/span&gt;nc&lt;span class="_ _7"&gt;&lt;/span&gt;e&lt;span class="_ _7"&gt;&lt;/span&gt;s do&lt;span class="_ _7"&gt;&lt;/span&gt;es n&lt;span class="_ _7"&gt;&lt;/span&gt;ot exce&lt;span class="_ _7"&gt;&lt;/span&gt;e&lt;span class="_ _7"&gt;&lt;/span&gt;d the c&lt;span class="_ _7"&gt;&lt;/span&gt;ont&lt;span class="_ _7"&gt;&lt;/span&gt;ra&lt;span class="_ _7"&gt;&lt;/span&gt;ct p&lt;span class="_ _7"&gt;&lt;/span&gt;er&lt;span class="_ _7"&gt;&lt;/span&gt;io&lt;span class="_ _7"&gt;&lt;/span&gt;d. A&lt;span class="_ _7"&gt;&lt;/span&gt;ll in&lt;span class="_ _7"&gt;&lt;/span&gt;ta&lt;span class="_ _7"&gt;&lt;/span&gt;ngi&lt;span class="_ _7"&gt;&lt;/span&gt;bl&lt;span class="_ _7"&gt;&lt;/span&gt;e &lt;/span&gt;&lt;span style="display:inherit;clear:left;"&gt;as&lt;span class="_ _7"&gt;&lt;/span&gt;s&lt;span class="_ _7"&gt;&lt;/span&gt;et&lt;span class="_ _7"&gt;&lt;/span&gt;s ar&lt;span class="_ _7"&gt;&lt;/span&gt;e con&lt;span class="_ _7"&gt;&lt;/span&gt;si&lt;span class="_ _7"&gt;&lt;/span&gt;de&lt;span class="_ _7"&gt;&lt;/span&gt;re&lt;span class="_ _7"&gt;&lt;/span&gt;d to ha&lt;span class="_ _7"&gt;&lt;/span&gt;ve a fi&lt;span class="_ _7"&gt;&lt;/span&gt;ni&lt;span class="_ _7"&gt;&lt;/span&gt;te us&lt;span class="_ _7"&gt;&lt;/span&gt;ef&lt;span class="_ _7"&gt;&lt;/span&gt;ul l&lt;span class="_ _7"&gt;&lt;/span&gt;if&lt;span class="_ _7"&gt;&lt;/span&gt;e, wi&lt;span class="_ _7"&gt;&lt;/span&gt;th th&lt;span class="_ _7"&gt;&lt;/span&gt;e exce&lt;span class="_ _7"&gt;&lt;/span&gt;pti&lt;span class="_ _7"&gt;&lt;/span&gt;on &lt;/span&gt;&lt;span style="display:inherit;clear:left;"&gt;of goodwill a&lt;span class="_ _2"&gt;&lt;/span&gt;nd trademarks. T&lt;span class="_ _6"&gt;&lt;/span&gt;r&lt;span class="_ _7"&gt;&lt;/span&gt;ademarks are&lt;span class="_ _2"&gt;&lt;/span&gt; as&lt;span class="_ _7"&gt;&lt;/span&gt;sumed to&lt;span class="_ _2"&gt;&lt;/span&gt; have indefi&lt;span class="ls3 ws3"&gt;-&lt;/span&gt;&lt;/span&gt;&lt;span style="display:inherit;clear:left;"&gt;nit&lt;span class="_ _7"&gt;&lt;/span&gt;e us&lt;span class="_ _7"&gt;&lt;/span&gt;ef&lt;span class="_ _7"&gt;&lt;/span&gt;ul l&lt;span class="_ _7"&gt;&lt;/span&gt;ive&lt;span class="_ _7"&gt;&lt;/span&gt;s s&lt;span class="_ _7"&gt;&lt;/span&gt;inc&lt;span class="_ _7"&gt;&lt;/span&gt;e Volvo Ca&lt;span class="_ _7"&gt;&lt;/span&gt;r Gr&lt;span class="_ _7"&gt;&lt;/span&gt;oup h&lt;span class="_ _7"&gt;&lt;/span&gt;as t&lt;span class="_ _7"&gt;&lt;/span&gt;he r&lt;span class="_ _7"&gt;&lt;/span&gt;igh&lt;span class="_ _7"&gt;&lt;/span&gt;t an&lt;span class="_ _7"&gt;&lt;/span&gt;d the i&lt;span class="_ _7"&gt;&lt;/span&gt;nte&lt;span class="_ _7"&gt;&lt;/span&gt;ntio&lt;span class="_ _7"&gt;&lt;/span&gt;n &lt;/span&gt;&lt;span style="display:inherit;clear:left;"&gt;to co&lt;span class="_ _7"&gt;&lt;/span&gt;nti&lt;span class="_ _7"&gt;&lt;/span&gt;nue to u&lt;span class="_ _7"&gt;&lt;/span&gt;s&lt;span class="_ _7"&gt;&lt;/span&gt;e the t&lt;span class="_ _7"&gt;&lt;/span&gt;ra&lt;span class="_ _7"&gt;&lt;/span&gt;de&lt;span class="_ _7"&gt;&lt;/span&gt;ma&lt;span class="_ _7"&gt;&lt;/span&gt;rks f&lt;span class="_ _7"&gt;&lt;/span&gt;or th&lt;span class="_ _7"&gt;&lt;/span&gt;e fo&lt;span class="_ _7"&gt;&lt;/span&gt;re&lt;span class="_ _7"&gt;&lt;/span&gt;se&lt;span class="_ _7"&gt;&lt;/span&gt;e&lt;span class="_ _7"&gt;&lt;/span&gt;abl&lt;span class="_ _7"&gt;&lt;/span&gt;e fu&lt;span class="_ _7"&gt;&lt;/span&gt;tur&lt;span class="_ _7"&gt;&lt;/span&gt;e, w&lt;span class="_ _7"&gt;&lt;/span&gt;hil&lt;span class="_ _7"&gt;&lt;/span&gt;e &lt;/span&gt;&lt;span style="display:inherit;clear:left;"&gt;gen&lt;span class="_ _7"&gt;&lt;/span&gt;er&lt;span class="_ _7"&gt;&lt;/span&gt;at&lt;span class="_ _7"&gt;&lt;/span&gt;ing n&lt;span class="_ _7"&gt;&lt;/span&gt;et p&lt;span class="_ _7"&gt;&lt;/span&gt;os&lt;span class="_ _7"&gt;&lt;/span&gt;iti&lt;span class="_ _7"&gt;&lt;/span&gt;ve c&lt;span class="_ _7"&gt;&lt;/span&gt;as&lt;span class="_ _7"&gt;&lt;/span&gt;h fl&lt;span class="_ _7"&gt;&lt;/span&gt;ows f&lt;span class="_ _7"&gt;&lt;/span&gt;or Volvo C&lt;span class="_ _7"&gt;&lt;/span&gt;ar Gr&lt;span class="_ _7"&gt;&lt;/span&gt;ou&lt;span class="_ _7"&gt;&lt;/span&gt;p. An i&lt;span class="_ _7"&gt;&lt;/span&gt;nt&lt;span class="_ _7"&gt;&lt;/span&gt;ang&lt;span class="_ _7"&gt;&lt;/span&gt;ib&lt;span class="_ _7"&gt;&lt;/span&gt;le &lt;/span&gt;&lt;span style="display:inherit;clear:left;"&gt;as&lt;span class="_ _7"&gt;&lt;/span&gt;s&lt;span class="_ _7"&gt;&lt;/span&gt;et w&lt;span class="_ _7"&gt;&lt;/span&gt;ith a&lt;span class="_ _7"&gt;&lt;/span&gt;n ind&lt;span class="_ _7"&gt;&lt;/span&gt;ef&lt;span class="_ _7"&gt;&lt;/span&gt;in&lt;span class="_ _7"&gt;&lt;/span&gt;ite u&lt;span class="_ _7"&gt;&lt;/span&gt;s&lt;span class="_ _7"&gt;&lt;/span&gt;ef&lt;span class="_ _7"&gt;&lt;/span&gt;ul li&lt;span class="_ _7"&gt;&lt;/span&gt;fe i&lt;span class="_ _7"&gt;&lt;/span&gt;s no&lt;span class="_ _7"&gt;&lt;/span&gt;t am&lt;span class="_ _7"&gt;&lt;/span&gt;or&lt;span class="_ _7"&gt;&lt;/span&gt;ti&lt;span class="_ _7"&gt;&lt;/span&gt;s&lt;span class="_ _7"&gt;&lt;/span&gt;ed&lt;span class="_ _7"&gt;&lt;/span&gt;. Th&lt;span class="_ _7"&gt;&lt;/span&gt;e fol&lt;span class="_ _7"&gt;&lt;/span&gt;low&lt;span class="_ _7"&gt;&lt;/span&gt;ing u&lt;span class="_ _7"&gt;&lt;/span&gt;se&lt;span class="_ _7"&gt;&lt;/span&gt;&lt;span class="ls3"&gt;-&lt;/span&gt;&lt;/span&gt;&lt;span style="display:inherit;clear:left;"&gt;fu&lt;span class="_ _7"&gt;&lt;/span&gt;l liv&lt;span class="_ _7"&gt;&lt;/span&gt;es a&lt;span class="_ _7"&gt;&lt;/span&gt;re ap&lt;span class="_ _7"&gt;&lt;/span&gt;pl&lt;span class="_ _7"&gt;&lt;/span&gt;ie&lt;span class="_ _7"&gt;&lt;/span&gt;d to int&lt;span class="_ _7"&gt;&lt;/span&gt;an&lt;span class="_ _7"&gt;&lt;/span&gt;gi&lt;span class="_ _7"&gt;&lt;/span&gt;ble a&lt;span class="_ _7"&gt;&lt;/span&gt;s&lt;span class="_ _7"&gt;&lt;/span&gt;se&lt;span class="_ _7"&gt;&lt;/span&gt;t&lt;span class="_ _7"&gt;&lt;/span&gt;s wit&lt;span class="_ _7"&gt;&lt;/span&gt;h fi&lt;span class="_ _7"&gt;&lt;/span&gt;nit&lt;span class="_ _7"&gt;&lt;/span&gt;e us&lt;span class="_ _7"&gt;&lt;/span&gt;ef&lt;span class="_ _7"&gt;&lt;/span&gt;ul l&lt;span class="_ _7"&gt;&lt;/span&gt;ive&lt;span class="_ _7"&gt;&lt;/span&gt;s&lt;span class="_ _7"&gt;&lt;/span&gt;: &lt;/span&gt;&lt;span style="display:inherit;clear:left;position:relative;height:59.5px;"&gt;&lt;span class="pp-font-color-override-1" style="position: absolute; display: inline-block; left: 0px; top: 0.0097656px; width: 328.975px; white-space: pre; word-spacing: -0.168px; letter-spacing: 0.1995px; margin-left: 0px; font-size: 10.5px; font-family: ff8a; -webkit-text-stroke: 0.1575px rgba(0, 0, 0, 0);"&gt;&lt;span style="display: inline-block;"&gt;Dealer network&lt;/span&gt;&lt;span style="word-spacing: -0.168px; letter-spacing: 0.1995px; display: inline-block; margin-left: 0px; width: 224.982px;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inline-block;"&gt;30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15.9785px; width: 332.086px; white-space: pre; word-spacing: -0.084px; letter-spacing: 0.084px; margin-left: 0px; font-size: 10.5px; font-family: ff8a; -webkit-text-stroke: 0.1575px rgba(0, 0, 0, 0);"&gt;&lt;span style="display: inline-block;"&gt;Sof&lt;/span&gt;&lt;span style="word-spacing: -0.084px; letter-spacing: 0.084px; display: inline-block; margin-left: 0px; width: 0.410156px; font-size: 10.5px; font-family: ff8a; -webkit-text-stroke: 0.1575px rgba(0, 0, 0, 0);"&gt;&lt;/span&gt;&lt;span style="display: inline-block;"&gt;t&lt;/span&gt;&lt;span style="word-spacing: -0.084px; letter-spacing: 0.084px; display: inline-block; margin-left: 0px; width: 0.410156px; font-size: 10.5px; font-family: ff8a; -webkit-text-stroke: 0.1575px rgba(0, 0, 0, 0);"&gt;&lt;/span&gt;&lt;span style="display: inline-block;"&gt;wa&lt;/span&gt;&lt;span style="word-spacing: -0.084px; letter-spacing: 0.084px; display: inline-block; margin-left: 0px; width: 0.410156px; font-size: 10.5px; font-family: ff8a; -webkit-text-stroke: 0.1575px rgba(0, 0, 0, 0);"&gt;&lt;/span&gt;&lt;span style="display: inline-block;"&gt;re&lt;/span&gt;&lt;span style="word-spacing: -0.084px; letter-spacing: 0.084px; display: inline-block; margin-left: 0px; width: 250.219px;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inline-block;"&gt;3–&lt;/span&gt;&lt;span style="word-spacing: 0px; letter-spacing: 0.0315px; display: inline-block; margin-left: 0px; width: 0.410156px; font-size: 10.5px; font-family: ff8a; -webkit-text-stroke: 0.1575px rgba(0, 0, 0, 0);"&gt;&lt;/span&gt;&lt;span style="display: inline-block;"&gt;8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31.9316px; width: 323.883px; white-space: pre; word-spacing: -0.189px; letter-spacing: 0.2205px; margin-left: 0px; font-size: 10.5px; font-family: ff8a; -webkit-text-stroke: 0.1575px rgba(0, 0, 0, 0);"&gt;&lt;span style="display: inline-block;"&gt;Product de&lt;/span&gt;&lt;span style="word-spacing: -0.189px; letter-spacing: 0.2205px; display: inline-block; margin-left: -0.684px; width: 0px; font-size: 10.5px; font-family: ff8a; -webkit-text-stroke: 0.1575px rgba(0, 0, 0, 0);"&gt;&lt;/span&gt;&lt;span style="display: inline-block;"&gt;velopment&lt;/span&gt;&lt;span style="word-spacing: -0.189px; letter-spacing: 0.2205px; display: inline-block; margin-left: 0px; width: 185.197px;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inline-block;"&gt;3–1&lt;/span&gt;&lt;span style="word-spacing: 0.3045px; letter-spacing: -0.273px; display: inline-block; margin-left: 0px; width: 0.410156px; font-size: 10.5px; font-family: ff8a; -webkit-text-stroke: 0.1575px rgba(0, 0, 0, 0);"&gt;&lt;/span&gt;&lt;span style="display: inline-block;"&gt;5&lt;/span&gt;&lt;span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0.410156px; font-size: 10.5px; font-family: ff8a; -webkit-text-stroke: 0.1575px rgba(0, 0, 0, 0);"&gt;&lt;/span&gt;&lt;span style="display: inline-block;"&gt;s&lt;/span&gt;&lt;/span&gt;&lt;/span&gt;&lt;span class="pp-font-color-override-1" style="position: absolute; display: inline-block; left: 0px; top: 47.8848px; width: 318.779px; white-space: pre; word-spacing: -0.231px; letter-spacing: 0.2625px; margin-left: 0px; font-size: 10.5px; font-family: ff8a; -webkit-text-stroke: 0.1575px rgba(0, 0, 0, 0);"&gt;&lt;span style="display: inline-block;"&gt;Pat&lt;/span&gt;&lt;span style="word-spacing: -0.231px; letter-spacing: 0.2625px; display: inline-block; margin-left: -0.684px; width: 0px; font-size: 10.5px; font-family: ff8a; -webkit-text-stroke: 0.1575px rgba(0, 0, 0, 0);"&gt;&lt;/span&gt;&lt;span style="display: inline-block;"&gt;ents, lice&lt;/span&gt;&lt;span style="word-spacing: -0.231px; letter-spacing: 0.2625px; display: inline-block; margin-left: -0.684px; width: 0px; font-size: 10.5px; font-family: ff8a; -webkit-text-stroke: 0.1575px rgba(0, 0, 0, 0);"&gt;&lt;/span&gt;&lt;span style="display: inline-block;"&gt;nces and si&lt;/span&gt;&lt;span style="word-spacing: -0.231px; letter-spacing: 0.2625px; display: inline-block; margin-left: -0.684px; width: 0px; font-size: 10.5px; font-family: ff8a; -webkit-text-stroke: 0.1575px rgba(0, 0, 0, 0);"&gt;&lt;/span&gt;&lt;span style="display: inline-block;"&gt;milar ri&lt;/span&gt;&lt;span style="word-spacing: -0.231px; letter-spacing: 0.2625px; display: inline-block; margin-left: -0.684px; width: 0px; font-size: 10.5px; font-family: ff8a; -webkit-text-stroke: 0.1575px rgba(0, 0, 0, 0);"&gt;&lt;/span&gt;&lt;span style="display: inline-block;"&gt;ghts&lt;/span&gt;&lt;span style="word-spacing: -0.231px; letter-spacing: 0.2625px; display: inline-block; margin-left: 0px; width: 120.586px;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inline-block;"&gt;3&lt;/span&gt;&lt;span style="word-spacing: 0.3045px; letter-spacing: -0.273px; display: inline-block; margin-left: 0px; width: 0.925781px; font-size: 10.5px; font-family: ff8a; -webkit-text-stroke: 0.1575px rgba(0, 0, 0, 0);"&gt;&lt;/span&gt;&lt;span style="display: inline-block;"&gt;–10&lt;/span&gt;&lt;span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0.925781px; font-size: 10.5px; font-family: ff8a; -webkit-text-stroke: 0.1575px rgba(0, 0, 0, 0);"&gt;&lt;/span&gt;&lt;span style="display: inline-block;"&gt;s&lt;/span&gt;&lt;/span&gt;&lt;/span&gt;&lt;/span&gt;&lt;span style="display:inherit;clear:left;"&gt;Am&lt;span class="_ _7"&gt;&lt;/span&gt;or&lt;span class="_ _7"&gt;&lt;/span&gt;ti&lt;span class="_ _7"&gt;&lt;/span&gt;s&lt;span class="_ _7"&gt;&lt;/span&gt;ati&lt;span class="_ _7"&gt;&lt;/span&gt;on i&lt;span class="_ _7"&gt;&lt;/span&gt;s inc&lt;span class="_ _7"&gt;&lt;/span&gt;lud&lt;span class="_ _7"&gt;&lt;/span&gt;ed i&lt;span class="_ _7"&gt;&lt;/span&gt;n co&lt;span class="_ _7"&gt;&lt;/span&gt;s&lt;span class="_ _7"&gt;&lt;/span&gt;t of s&lt;span class="_ _7"&gt;&lt;/span&gt;al&lt;span class="_ _7"&gt;&lt;/span&gt;es&lt;span class="_ _7"&gt;&lt;/span&gt;, re&lt;span class="_ _7"&gt;&lt;/span&gt;s&lt;span class="_ _7"&gt;&lt;/span&gt;ea&lt;span class="_ _7"&gt;&lt;/span&gt;rch a&lt;span class="_ _7"&gt;&lt;/span&gt;nd d&lt;span class="_ _7"&gt;&lt;/span&gt;eve&lt;span class="_ _7"&gt;&lt;/span&gt;lop&lt;span class="_ _7"&gt;&lt;/span&gt;me&lt;span class="_ _7"&gt;&lt;/span&gt;nt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_7"&gt;&lt;/span&gt;s&lt;span class="_ _7"&gt;&lt;/span&gt;, de&lt;span class="_ _7"&gt;&lt;/span&gt;pe&lt;span class="_ _7"&gt;&lt;/span&gt;nd&lt;span class="_ _7"&gt;&lt;/span&gt;ing &lt;/span&gt;&lt;span style="display:inherit;clear:left;"&gt;&lt;span&gt;&lt;span style="display:inherit;clear:left;"&gt;on h&lt;span class="_ _7"&gt;&lt;/span&gt;ow the a&lt;span class="_ _7"&gt;&lt;/span&gt;s&lt;span class="_ _7"&gt;&lt;/span&gt;s&lt;span class="_ _7"&gt;&lt;/span&gt;et&lt;span class="_ _7"&gt;&lt;/span&gt;s hav&lt;span class="_ _7"&gt;&lt;/span&gt;e be&lt;span class="_ _7"&gt;&lt;/span&gt;en u&lt;span class="_ _7"&gt;&lt;/span&gt;se&lt;span class="_ _7"&gt;&lt;/span&gt;d. A&lt;span class="_ _7"&gt;&lt;/span&gt;mo&lt;span class="_ _7"&gt;&lt;/span&gt;r&lt;span class="_ _7"&gt;&lt;/span&gt;ti&lt;span class="_ _7"&gt;&lt;/span&gt;s&lt;span class="_ _7"&gt;&lt;/span&gt;ati&lt;span class="_ _7"&gt;&lt;/span&gt;on of i&lt;span class="_ _7"&gt;&lt;/span&gt;nt&lt;span class="_ _7"&gt;&lt;/span&gt;ang&lt;span class="_ _7"&gt;&lt;/span&gt;ib&lt;span class="_ _7"&gt;&lt;/span&gt;le as&lt;span class="_ _7"&gt;&lt;/span&gt;s&lt;span class="_ _7"&gt;&lt;/span&gt;et&lt;span class="_ _7"&gt;&lt;/span&gt;s&lt;/span&gt;&lt;/span&gt; &lt;/span&gt;&lt;span style="display:inherit;clear:left;"&gt;re&lt;span class="_ _7"&gt;&lt;/span&gt;lat&lt;span class="_ _7"&gt;&lt;/span&gt;ed to v&lt;span class="_ _7"&gt;&lt;/span&gt;ehi&lt;span class="_ _7"&gt;&lt;/span&gt;cle p&lt;span class="_ _7"&gt;&lt;/span&gt;l&lt;span class="_ _7"&gt;&lt;/span&gt;at&lt;span class="_ _7"&gt;&lt;/span&gt;fo&lt;span class="_ _7"&gt;&lt;/span&gt;rm&lt;span class="_ _7"&gt;&lt;/span&gt;s are i&lt;span class="_ _7"&gt;&lt;/span&gt;nc&lt;span class="_ _7"&gt;&lt;/span&gt;lud&lt;span class="_ _7"&gt;&lt;/span&gt;ed i&lt;span class="_ _7"&gt;&lt;/span&gt;n re&lt;span class="_ _7"&gt;&lt;/span&gt;se&lt;span class="_ _7"&gt;&lt;/span&gt;ar&lt;span class="_ _7"&gt;&lt;/span&gt;ch an&lt;span class="_ _7"&gt;&lt;/span&gt;d de&lt;span class="_ _7"&gt;&lt;/span&gt;velo&lt;span class="_ _7"&gt;&lt;/span&gt;p-&lt;/span&gt;&lt;span style="display:inherit;clear:left;"&gt;&lt;span&gt;&lt;span style="display:inherit;clear:left;"&gt;me&lt;span class="_ _7"&gt;&lt;/span&gt;nt exp&lt;span class="_ _7"&gt;&lt;/span&gt;en&lt;span class="_ _7"&gt;&lt;/span&gt;s&lt;span class="_ _7"&gt;&lt;/span&gt;es&lt;span class="_ _7"&gt;&lt;/span&gt;.&lt;/span&gt;&lt;/span&gt; &lt;/span&gt;&lt;span style="display:inherit;clear:left;"&gt;CRITICAL A&lt;span class="_ _2"&gt;&lt;/span&gt;CC&lt;span class="_ _7"&gt;&lt;/span&gt;OUNTING ESTIMA&lt;span class="_ _6"&gt;&lt;/span&gt;TES AND JUDGEMENTS&lt;/span&gt;&lt;span style="display:inherit;clear:left;"&gt;Man&lt;span class="_ _7"&gt;&lt;/span&gt;ag&lt;span class="_ _7"&gt;&lt;/span&gt;eme&lt;span class="_ _7"&gt;&lt;/span&gt;nt r&lt;span class="_ _7"&gt;&lt;/span&gt;egu&lt;span class="_ _7"&gt;&lt;/span&gt;l&lt;span class="_ _7"&gt;&lt;/span&gt;arl&lt;span class="_ _7"&gt;&lt;/span&gt;y rea&lt;span class="_ _7"&gt;&lt;/span&gt;s&lt;span class="_ _7"&gt;&lt;/span&gt;s&lt;span class="_ _7"&gt;&lt;/span&gt;es&lt;span class="_ _7"&gt;&lt;/span&gt;s&lt;span class="_ _7"&gt;&lt;/span&gt;e&lt;span class="_ _7"&gt;&lt;/span&gt;s the u&lt;span class="_ _7"&gt;&lt;/span&gt;s&lt;span class="_ _7"&gt;&lt;/span&gt;ef&lt;span class="_ _7"&gt;&lt;/span&gt;ul li&lt;span class="_ _7"&gt;&lt;/span&gt;fe o&lt;span class="_ _7"&gt;&lt;/span&gt;f al&lt;span class="_ _7"&gt;&lt;/span&gt;l sig&lt;span class="_ _7"&gt;&lt;/span&gt;ni&lt;span class="_ _7"&gt;&lt;/span&gt;f&lt;span class="_ _7"&gt;&lt;/span&gt;ic&lt;span class="_ _7"&gt;&lt;/span&gt;ant &lt;/span&gt;&lt;span style="display:inherit;clear:left;"&gt;as&lt;span class="_ _7"&gt;&lt;/span&gt;s&lt;span class="_ _7"&gt;&lt;/span&gt;et&lt;span class="_ _7"&gt;&lt;/span&gt;s&lt;span class="_ _7"&gt;&lt;/span&gt;. Whe&lt;span class="_ _7"&gt;&lt;/span&gt;n th&lt;span class="_ _7"&gt;&lt;/span&gt;e us&lt;span class="_ _7"&gt;&lt;/span&gt;ef&lt;span class="_ _7"&gt;&lt;/span&gt;ul l&lt;span class="_ _7"&gt;&lt;/span&gt;if&lt;span class="_ _7"&gt;&lt;/span&gt;e of an i&lt;span class="_ _7"&gt;&lt;/span&gt;nt&lt;span class="_ _7"&gt;&lt;/span&gt;ang&lt;span class="_ _7"&gt;&lt;/span&gt;ib&lt;span class="_ _7"&gt;&lt;/span&gt;le as&lt;span class="_ _7"&gt;&lt;/span&gt;s&lt;span class="_ _7"&gt;&lt;/span&gt;et i&lt;span class="_ _7"&gt;&lt;/span&gt;s re&lt;span class="_ _7"&gt;&lt;/span&gt;du&lt;span class="_ _7"&gt;&lt;/span&gt;ce&lt;span class="_ _7"&gt;&lt;/span&gt;d, a&lt;span class="_ _7"&gt;&lt;/span&gt;mo&lt;span class="_ _7"&gt;&lt;/span&gt;r&lt;s</t>
  </si>
  <si>
    <t>f1__s8__6__121</t>
  </si>
  <si>
    <t>ifrs-full:DisclosureOfIntangibleAssetsExplanatory</t>
  </si>
  <si>
    <t>f1__s8__6__122-1</t>
  </si>
  <si>
    <t>ifrs-full:DisclosureOfGoodwillExplanatory</t>
  </si>
  <si>
    <t>f1__s8__6__123</t>
  </si>
  <si>
    <t>ifrs-full:DescriptionOfAccountingPolicyForIntangibleAssetsAndGoodwillExplanatory</t>
  </si>
  <si>
    <t>&lt;span style="display:inherit;clear:left;"&gt;ACCOUNTING&lt;span class="_ _2"&gt;&lt;/span&gt; POLICIES&lt;/span&gt;&lt;span style="display:inherit;clear:left;"&gt;Th&lt;span class="_ _7"&gt;&lt;/span&gt;e int&lt;span class="_ _7"&gt;&lt;/span&gt;ang&lt;span class="_ _7"&gt;&lt;/span&gt;ib&lt;span class="_ _7"&gt;&lt;/span&gt;le as&lt;span class="_ _7"&gt;&lt;/span&gt;s&lt;span class="_ _7"&gt;&lt;/span&gt;e&lt;span class="_ _7"&gt;&lt;/span&gt;ts h&lt;span class="_ _7"&gt;&lt;/span&gt;eld b&lt;span class="_ _7"&gt;&lt;/span&gt;y Volvo Ca&lt;span class="_ _7"&gt;&lt;/span&gt;r Gro&lt;span class="_ _7"&gt;&lt;/span&gt;up c&lt;span class="_ _7"&gt;&lt;/span&gt;on&lt;span class="_ _7"&gt;&lt;/span&gt;si&lt;span class="_ _7"&gt;&lt;/span&gt;st&lt;span class="_ _7"&gt;&lt;/span&gt;s p&lt;span class="_ _7"&gt;&lt;/span&gt;rim&lt;span class="_ _7"&gt;&lt;/span&gt;ar&lt;span class="_ _7"&gt;&lt;/span&gt;ily o&lt;span class="_ _7"&gt;&lt;/span&gt;f &lt;/span&gt;&lt;span style="display:inherit;clear:left;"&gt;vehicle&lt;span class="_ _2"&gt;&lt;/span&gt; product development,&lt;span class="_ _2"&gt;&lt;/span&gt; license&lt;span class="_ _7"&gt;&lt;/span&gt;s and pat&lt;span class="_ _2"&gt;&lt;/span&gt;ents&lt;span class="_ _7"&gt;&lt;/span&gt;, trademark, &lt;/span&gt;&lt;span style="display:inherit;clear:left;"&gt;go&lt;span class="_ _7"&gt;&lt;/span&gt;od&lt;span class="_ _7"&gt;&lt;/span&gt;wil&lt;span class="_ _7"&gt;&lt;/span&gt;l, d&lt;span class="_ _7"&gt;&lt;/span&gt;ea&lt;span class="_ _7"&gt;&lt;/span&gt;ler n&lt;span class="_ _7"&gt;&lt;/span&gt;et&lt;span class="_ _7"&gt;&lt;/span&gt;wo&lt;span class="_ _7"&gt;&lt;/span&gt;rk a&lt;span class="_ _7"&gt;&lt;/span&gt;nd i&lt;span class="_ _7"&gt;&lt;/span&gt;nve&lt;span class="_ _7"&gt;&lt;/span&gt;st&lt;span class="_ _7"&gt;&lt;/span&gt;men&lt;span class="_ _7"&gt;&lt;/span&gt;ts i&lt;span class="_ _7"&gt;&lt;/span&gt;n IT&lt;span class="_ _6"&gt;&lt;/span&gt;-s&lt;span class="_ _7"&gt;&lt;/span&gt;ys&lt;span class="_ _7"&gt;&lt;/span&gt;te&lt;span class="_ _7"&gt;&lt;/span&gt;ms a&lt;span class="_ _7"&gt;&lt;/span&gt;nd s&lt;span class="_ _7"&gt;&lt;/span&gt;of&lt;span class="_ _9"&gt;&lt;/span&gt;t&lt;span class="_ _2"&gt;&lt;/span&gt;-&lt;/span&gt;&lt;span style="display:inherit;clear:left;"&gt;war&lt;span class="_ _7"&gt;&lt;/span&gt;e. Volvo C&lt;span class="_ _7"&gt;&lt;/span&gt;ar Gr&lt;span class="_ _7"&gt;&lt;/span&gt;ou&lt;span class="_ _7"&gt;&lt;/span&gt;p app&lt;span class="_ _7"&gt;&lt;/span&gt;li&lt;span class="_ _7"&gt;&lt;/span&gt;es t&lt;span class="_ _7"&gt;&lt;/span&gt;he c&lt;span class="_ _7"&gt;&lt;/span&gt;os&lt;span class="_ _7"&gt;&lt;/span&gt;t mo&lt;span class="_ _7"&gt;&lt;/span&gt;de&lt;span class="_ _7"&gt;&lt;/span&gt;l fo&lt;span class="_ _7"&gt;&lt;/span&gt;r me&lt;span class="_ _7"&gt;&lt;/span&gt;as&lt;span class="_ _7"&gt;&lt;/span&gt;ur&lt;span class="_ _7"&gt;&lt;/span&gt;eme&lt;span class="_ _7"&gt;&lt;/span&gt;nt o&lt;span class="_ _7"&gt;&lt;/span&gt;f &lt;/span&gt;&lt;span style="display:inherit;clear:left;"&gt;int&lt;span class="_ _7"&gt;&lt;/span&gt;ang&lt;span class="_ _7"&gt;&lt;/span&gt;ib&lt;span class="_ _7"&gt;&lt;/span&gt;le a&lt;span class="_ _7"&gt;&lt;/span&gt;s&lt;span class="_ _7"&gt;&lt;/span&gt;se&lt;span class="_ _7"&gt;&lt;/span&gt;ts&lt;span class="_ _7"&gt;&lt;/span&gt;. &lt;/span&gt;&lt;span style="display:inherit;clear:left;"&gt;Product devel&lt;span class="_ _2"&gt;&lt;/span&gt;opment&lt;/span&gt;&lt;span style="display:inherit;clear:left;"&gt;Volvo Ca&lt;span class="_ _7"&gt;&lt;/span&gt;r Gro&lt;span class="_ _7"&gt;&lt;/span&gt;up a&lt;span class="_ _7"&gt;&lt;/span&gt;pp&lt;span class="_ _7"&gt;&lt;/span&gt;lie&lt;span class="_ _7"&gt;&lt;/span&gt;s a wa&lt;span class="_ _7"&gt;&lt;/span&gt;ter&lt;span class="_ _7"&gt;&lt;/span&gt;f&lt;span class="_ _7"&gt;&lt;/span&gt;al&lt;span class="_ _7"&gt;&lt;/span&gt;l mo&lt;span class="_ _7"&gt;&lt;/span&gt;de&lt;span class="_ _7"&gt;&lt;/span&gt;l wi&lt;span class="_ _7"&gt;&lt;/span&gt;th di&lt;span class="_ _7"&gt;&lt;/span&gt;s&lt;span class="_ _7"&gt;&lt;/span&gt;tin&lt;span class="_ _7"&gt;&lt;/span&gt;ct g&lt;span class="_ _7"&gt;&lt;/span&gt;ate&lt;span class="_ _7"&gt;&lt;/span&gt;s th&lt;span class="_ _7"&gt;&lt;/span&gt;at &lt;/span&gt;&lt;span style="display:inherit;clear:left;"&gt;gove&lt;span class="_ _7"&gt;&lt;/span&gt;rn&lt;span class="_ _7"&gt;&lt;/span&gt;s al&lt;span class="_ _7"&gt;&lt;/span&gt;l ph&lt;span class="_ _7"&gt;&lt;/span&gt;as&lt;span class="_ _7"&gt;&lt;/span&gt;es o&lt;span class="_ _7"&gt;&lt;/span&gt;f pr&lt;span class="_ _7"&gt;&lt;/span&gt;od&lt;span class="_ _7"&gt;&lt;/span&gt;uc&lt;span class="_ _7"&gt;&lt;/span&gt;t dev&lt;span class="_ _7"&gt;&lt;/span&gt;elo&lt;span class="_ _7"&gt;&lt;/span&gt;pm&lt;span class="_ _7"&gt;&lt;/span&gt;ent p&lt;span class="_ _7"&gt;&lt;/span&gt;ro&lt;span class="_ _7"&gt;&lt;/span&gt;je&lt;span class="_ _7"&gt;&lt;/span&gt;ct&lt;span class="_ _7"&gt;&lt;/span&gt;s&lt;span class="_ _7"&gt;&lt;/span&gt;. Co&lt;span class="_ _7"&gt;&lt;/span&gt;st&lt;span class="_ _7"&gt;&lt;/span&gt;s r&lt;span class="_ _7"&gt;&lt;/span&gt;el&lt;span class="_ _7"&gt;&lt;/span&gt;ate&lt;span class="_ _7"&gt;&lt;/span&gt;d &lt;/span&gt;&lt;span style="display:inherit;clear:left;"&gt;to pr&lt;span class="_ _7"&gt;&lt;/span&gt;od&lt;span class="_ _7"&gt;&lt;/span&gt;uct d&lt;span class="_ _7"&gt;&lt;/span&gt;eve&lt;span class="_ _7"&gt;&lt;/span&gt;lo&lt;span class="_ _7"&gt;&lt;/span&gt;pme&lt;span class="_ _7"&gt;&lt;/span&gt;nt a&lt;span class="_ _7"&gt;&lt;/span&gt;re on&lt;span class="_ _7"&gt;&lt;/span&gt;ly re&lt;span class="_ _7"&gt;&lt;/span&gt;co&lt;span class="_ _7"&gt;&lt;/span&gt;gn&lt;span class="_ _7"&gt;&lt;/span&gt;is&lt;span class="_ _7"&gt;&lt;/span&gt;ed a&lt;span class="_ _7"&gt;&lt;/span&gt;s as&lt;span class="_ _7"&gt;&lt;/span&gt;s&lt;span class="_ _7"&gt;&lt;/span&gt;et&lt;span class="_ _7"&gt;&lt;/span&gt;s wh&lt;span class="_ _7"&gt;&lt;/span&gt;en t&lt;span class="_ _7"&gt;&lt;/span&gt;he &lt;/span&gt;&lt;span style="display:inherit;clear:left;"&gt;re&lt;span class="_ _7"&gt;&lt;/span&gt;cog&lt;span class="_ _7"&gt;&lt;/span&gt;ni&lt;span class="_ _7"&gt;&lt;/span&gt;tio&lt;span class="_ _7"&gt;&lt;/span&gt;n cr&lt;span class="_ _7"&gt;&lt;/span&gt;ite&lt;span class="_ _7"&gt;&lt;/span&gt;ri&lt;span class="_ _7"&gt;&lt;/span&gt;a are m&lt;span class="_ _7"&gt;&lt;/span&gt;et&lt;span class="_ _7"&gt;&lt;/span&gt;. No&lt;span class="_ _7"&gt;&lt;/span&gt;rm&lt;span class="_ _7"&gt;&lt;/span&gt;ally t&lt;span class="_ _7"&gt;&lt;/span&gt;hi&lt;span class="_ _7"&gt;&lt;/span&gt;s cor&lt;span class="_ _7"&gt;&lt;/span&gt;re&lt;span class="_ _7"&gt;&lt;/span&gt;l&lt;span class="_ _7"&gt;&lt;/span&gt;ate&lt;span class="_ _7"&gt;&lt;/span&gt;s wi&lt;span class="_ _7"&gt;&lt;/span&gt;th th&lt;span class="_ _7"&gt;&lt;/span&gt;e ind&lt;span class="_ _7"&gt;&lt;/span&gt;us-&lt;/span&gt;&lt;span style="display:inherit;clear:left;"&gt;tri&lt;span class="_ _7"&gt;&lt;/span&gt;al&lt;span class="_ _7"&gt;&lt;/span&gt;is&lt;span class="_ _7"&gt;&lt;/span&gt;ati&lt;span class="_ _7"&gt;&lt;/span&gt;on p&lt;span class="_ _7"&gt;&lt;/span&gt;ha&lt;span class="_ _7"&gt;&lt;/span&gt;se o&lt;span class="_ _7"&gt;&lt;/span&gt;f th&lt;span class="_ _7"&gt;&lt;/span&gt;e pr&lt;span class="_ _7"&gt;&lt;/span&gt;oje&lt;span class="_ _7"&gt;&lt;/span&gt;ct w&lt;span class="_ _7"&gt;&lt;/span&gt;he&lt;span class="_ _7"&gt;&lt;/span&gt;n th&lt;span class="_ _7"&gt;&lt;/span&gt;e pro&lt;span class="_ _7"&gt;&lt;/span&gt;du&lt;span class="_ _7"&gt;&lt;/span&gt;ct i&lt;span class="_ _7"&gt;&lt;/span&gt;s pr&lt;span class="_ _7"&gt;&lt;/span&gt;ep&lt;span class="_ _7"&gt;&lt;/span&gt;are&lt;span class="_ _7"&gt;&lt;/span&gt;d fo&lt;span class="_ _7"&gt;&lt;/span&gt;r &lt;/span&gt;&lt;span style="display:inherit;clear:left;"&gt;se&lt;span class="_ _7"&gt;&lt;/span&gt;ri&lt;span class="_ _7"&gt;&lt;/span&gt;al p&lt;span class="_ _7"&gt;&lt;/span&gt;ro&lt;span class="_ _7"&gt;&lt;/span&gt;duc&lt;span class="_ _7"&gt;&lt;/span&gt;ti&lt;span class="_ _7"&gt;&lt;/span&gt;on an&lt;span class="_ _7"&gt;&lt;/span&gt;d th&lt;span class="_ _7"&gt;&lt;/span&gt;e pro&lt;span class="_ _7"&gt;&lt;/span&gt;du&lt;span class="_ _7"&gt;&lt;/span&gt;ct i&lt;span class="_ _7"&gt;&lt;/span&gt;s l&lt;span class="_ _7"&gt;&lt;/span&gt;aun&lt;span class="_ _7"&gt;&lt;/span&gt;che&lt;span class="_ _7"&gt;&lt;/span&gt;d&lt;span class="_ _7"&gt;&lt;/span&gt;. Co&lt;span class="_ _7"&gt;&lt;/span&gt;s&lt;span class="_ _7"&gt;&lt;/span&gt;ts p&lt;span class="_ _7"&gt;&lt;/span&gt;ri&lt;span class="_ _7"&gt;&lt;/span&gt;or to th&lt;span class="_ _7"&gt;&lt;/span&gt;e &lt;/span&gt;&lt;span style="display:inherit;clear:left;"&gt;industrialisation phase of t&lt;span class="_ _2"&gt;&lt;/span&gt;he project, the concept&lt;span class="_ _2"&gt;&lt;/span&gt; phase, are recog&lt;span class="_ _2"&gt;&lt;/span&gt;&lt;span class="ls3 ws3"&gt;-&lt;/span&gt;&lt;/span&gt;&lt;span style="display:inherit;clear:left;"&gt;nis&lt;span class="_ _7"&gt;&lt;/span&gt;e&lt;span class="_ _7"&gt;&lt;/span&gt;d in th&lt;span class="_ _7"&gt;&lt;/span&gt;e in&lt;span class="_ _7"&gt;&lt;/span&gt;co&lt;span class="_ _7"&gt;&lt;/span&gt;me s&lt;span class="_ _7"&gt;&lt;/span&gt;ta&lt;span class="_ _7"&gt;&lt;/span&gt;tem&lt;span class="_ _7"&gt;&lt;/span&gt;ent a&lt;span class="_ _7"&gt;&lt;/span&gt;s in&lt;span class="_ _7"&gt;&lt;/span&gt;cur&lt;span class="_ _7"&gt;&lt;/span&gt;re&lt;span class="_ _7"&gt;&lt;/span&gt;d&lt;span class="_ _7"&gt;&lt;/span&gt;. &lt;/span&gt;&lt;span style="display:inherit;clear:left;"&gt;Dev&lt;span class="_ _7"&gt;&lt;/span&gt;elo&lt;span class="_ _7"&gt;&lt;/span&gt;pm&lt;span class="_ _7"&gt;&lt;/span&gt;ent c&lt;span class="_ _7"&gt;&lt;/span&gt;os&lt;span class="_ _7"&gt;&lt;/span&gt;t&lt;span class="_ _7"&gt;&lt;/span&gt;s th&lt;span class="_ _7"&gt;&lt;/span&gt;at ar&lt;span class="_ _7"&gt;&lt;/span&gt;e co&lt;span class="_ _7"&gt;&lt;/span&gt;ntr&lt;span class="_ _7"&gt;&lt;/span&gt;ac&lt;span class="_ _7"&gt;&lt;/span&gt;tu&lt;span class="_ _7"&gt;&lt;/span&gt;ally s&lt;span class="_ _7"&gt;&lt;/span&gt;ha&lt;span class="_ _7"&gt;&lt;/span&gt;re&lt;span class="_ _7"&gt;&lt;/span&gt;d wi&lt;span class="_ _7"&gt;&lt;/span&gt;th oth&lt;span class="_ _7"&gt;&lt;/span&gt;er p&lt;span class="_ _7"&gt;&lt;/span&gt;ar-&lt;/span&gt;&lt;span style="display:inherit;clear:left;"&gt;tie&lt;span class="_ _7"&gt;&lt;/span&gt;s ar&lt;span class="_ _7"&gt;&lt;/span&gt;e re&lt;span class="_ _7"&gt;&lt;/span&gt;cog&lt;span class="_ _7"&gt;&lt;/span&gt;ni&lt;span class="_ _7"&gt;&lt;/span&gt;s&lt;span class="_ _7"&gt;&lt;/span&gt;ed a&lt;span class="_ _7"&gt;&lt;/span&gt;s int&lt;span class="_ _7"&gt;&lt;/span&gt;an&lt;span class="_ _7"&gt;&lt;/span&gt;gib&lt;span class="_ _7"&gt;&lt;/span&gt;le a&lt;span class="_ _7"&gt;&lt;/span&gt;s&lt;span class="_ _7"&gt;&lt;/span&gt;se&lt;span class="_ _7"&gt;&lt;/span&gt;ts t&lt;span class="_ _7"&gt;&lt;/span&gt;o the ex&lt;span class="_ _7"&gt;&lt;/span&gt;te&lt;span class="_ _7"&gt;&lt;/span&gt;nt o&lt;span class="_ _7"&gt;&lt;/span&gt;f the r&lt;span class="_ _7"&gt;&lt;/span&gt;el&lt;span class="_ _7"&gt;&lt;/span&gt;evan&lt;span class="_ _7"&gt;&lt;/span&gt;t &lt;/span&gt;&lt;span style="display:inherit;clear:left;"&gt;pro&lt;span class="_ _7"&gt;&lt;/span&gt;po&lt;span class="_ _7"&gt;&lt;/span&gt;r&lt;span class="_ _7"&gt;&lt;/span&gt;ti&lt;span class="_ _7"&gt;&lt;/span&gt;on o&lt;span class="_ _7"&gt;&lt;/span&gt;f Volvo Ca&lt;span class="_ _7"&gt;&lt;/span&gt;r Gro&lt;span class="_ _7"&gt;&lt;/span&gt;up i&lt;span class="_ _7"&gt;&lt;/span&gt;nter&lt;span class="_ _7"&gt;&lt;/span&gt;e&lt;span class="_ _7"&gt;&lt;/span&gt;st&lt;span class="_ _7"&gt;&lt;/span&gt;s&lt;span class="_ _7"&gt;&lt;/span&gt;. In&lt;span class="_ _7"&gt;&lt;/span&gt;cur&lt;span class="_ _7"&gt;&lt;/span&gt;re&lt;span class="_ _7"&gt;&lt;/span&gt;d co&lt;span class="_ _7"&gt;&lt;/span&gt;st&lt;span class="_ _7"&gt;&lt;/span&gt;s fo&lt;span class="_ _7"&gt;&lt;/span&gt;r de&lt;span class="_ _7"&gt;&lt;/span&gt;vel-&lt;/span&gt;&lt;span style="display:inherit;clear:left;"&gt;op&lt;span class="_ _7"&gt;&lt;/span&gt;ed te&lt;span class="_ _7"&gt;&lt;/span&gt;ch&lt;span class="_ _7"&gt;&lt;/span&gt;no&lt;span class="_ _7"&gt;&lt;/span&gt;log&lt;span class="_ _7"&gt;&lt;/span&gt;y n&lt;span class="_ _7"&gt;&lt;/span&gt;ot c&lt;span class="_ _7"&gt;&lt;/span&gt;ont&lt;span class="_ _7"&gt;&lt;/span&gt;ro&lt;span class="_ _7"&gt;&lt;/span&gt;lle&lt;span class="_ _7"&gt;&lt;/span&gt;d by Volvo Ca&lt;span class="_ _7"&gt;&lt;/span&gt;r Gr&lt;span class="_ _7"&gt;&lt;/span&gt;oup a&lt;span class="_ _7"&gt;&lt;/span&gt;re r&lt;span class="_ _7"&gt;&lt;/span&gt;ec&lt;span class="_ _7"&gt;&lt;/span&gt;og&lt;span class="_ _7"&gt;&lt;/span&gt;nis&lt;span class="_ _7"&gt;&lt;/span&gt;e&lt;span class="_ _7"&gt;&lt;/span&gt;d &lt;/span&gt;&lt;span style="display:inherit;clear:left;"&gt;in th&lt;span class="_ _7"&gt;&lt;/span&gt;e in&lt;span class="_ _7"&gt;&lt;/span&gt;com&lt;span class="_ _7"&gt;&lt;/span&gt;e s&lt;span class="_ _7"&gt;&lt;/span&gt;ta&lt;span class="_ _7"&gt;&lt;/span&gt;tem&lt;span class="_ _7"&gt;&lt;/span&gt;ent a&lt;span class="_ _7"&gt;&lt;/span&gt;s co&lt;span class="_ _7"&gt;&lt;/span&gt;s&lt;span class="_ _7"&gt;&lt;/span&gt;t of s&lt;span class="_ _7"&gt;&lt;/span&gt;ale&lt;span class="_ _7"&gt;&lt;/span&gt;s at t&lt;span class="_ _7"&gt;&lt;/span&gt;he ti&lt;span class="_ _7"&gt;&lt;/span&gt;me o&lt;span class="_ _7"&gt;&lt;/span&gt;f s&lt;span class="_ _7"&gt;&lt;/span&gt;ale&lt;span class="_ _7"&gt;&lt;/span&gt;. &lt;/span&gt;&lt;span style="display:inherit;clear:left;"&gt;Amortisation methods f&lt;span class="_ _2"&gt;&lt;/span&gt;or intangible assets&lt;/span&gt;&lt;span style="display:inherit;clear:left;"&gt;Int&lt;span class="_ _7"&gt;&lt;/span&gt;ang&lt;span class="_ _7"&gt;&lt;/span&gt;ib&lt;span class="_ _7"&gt;&lt;/span&gt;le a&lt;span class="_ _7"&gt;&lt;/span&gt;s&lt;span class="_ _7"&gt;&lt;/span&gt;se&lt;span class="_ _7"&gt;&lt;/span&gt;ts w&lt;span class="_ _7"&gt;&lt;/span&gt;ith f&lt;span class="_ _7"&gt;&lt;/span&gt;in&lt;span class="_ _7"&gt;&lt;/span&gt;ite u&lt;span class="_ _7"&gt;&lt;/span&gt;s&lt;span class="_ _7"&gt;&lt;/span&gt;ef&lt;span class="_ _7"&gt;&lt;/span&gt;ul li&lt;span class="_ _7"&gt;&lt;/span&gt;ve&lt;span class="_ _7"&gt;&lt;/span&gt;s ar&lt;span class="_ _7"&gt;&lt;/span&gt;e amo&lt;span class="_ _7"&gt;&lt;/span&gt;r&lt;span class="_ _7"&gt;&lt;/span&gt;ti&lt;span class="_ _7"&gt;&lt;/span&gt;se&lt;span class="_ _7"&gt;&lt;/span&gt;d on a s&lt;span class="_ _7"&gt;&lt;/span&gt;tr&lt;span class="_ _7"&gt;&lt;/span&gt;ai&lt;span class="_ _7"&gt;&lt;/span&gt;ght-&lt;/span&gt;&lt;span style="display:inherit;clear:left;"&gt;lin&lt;span class="_ _7"&gt;&lt;/span&gt;e ba&lt;span class="_ _7"&gt;&lt;/span&gt;si&lt;span class="_ _7"&gt;&lt;/span&gt;s ove&lt;span class="_ _7"&gt;&lt;/span&gt;r the&lt;span class="_ _7"&gt;&lt;/span&gt;ir r&lt;span class="_ _7"&gt;&lt;/span&gt;es&lt;span class="_ _7"&gt;&lt;/span&gt;pe&lt;span class="_ _7"&gt;&lt;/span&gt;ct&lt;span class="_ _7"&gt;&lt;/span&gt;ive ex&lt;span class="_ _7"&gt;&lt;/span&gt;p&lt;span class="_ _7"&gt;&lt;/span&gt;ec&lt;span class="_ _7"&gt;&lt;/span&gt;ted u&lt;span class="_ _7"&gt;&lt;/span&gt;s&lt;span class="_ _7"&gt;&lt;/span&gt;ef&lt;span class="_ _7"&gt;&lt;/span&gt;ul li&lt;span class="_ _7"&gt;&lt;/span&gt;ve&lt;span class="_ _7"&gt;&lt;/span&gt;s&lt;span class="_ _7"&gt;&lt;/span&gt;. Wh&lt;span class="_ _7"&gt;&lt;/span&gt;en as&lt;span class="_ _7"&gt;&lt;/span&gt;s&lt;span class="_ _7"&gt;&lt;/span&gt;et&lt;span class="_ _7"&gt;&lt;/span&gt;s &lt;/span&gt;&lt;span style="display:inherit;clear:left;"&gt;are u&lt;span class="_ _7"&gt;&lt;/span&gt;s&lt;span class="_ _7"&gt;&lt;/span&gt;ed o&lt;span class="_ _7"&gt;&lt;/span&gt;nly in t&lt;span class="_ _7"&gt;&lt;/span&gt;he p&lt;span class="_ _7"&gt;&lt;/span&gt;ro&lt;span class="_ _7"&gt;&lt;/span&gt;duc&lt;span class="_ _7"&gt;&lt;/span&gt;ti&lt;span class="_ _7"&gt;&lt;/span&gt;on o&lt;span class="_ _7"&gt;&lt;/span&gt;f a sp&lt;span class="_ _7"&gt;&lt;/span&gt;eci&lt;span class="_ _7"&gt;&lt;/span&gt;f&lt;span class="_ _7"&gt;&lt;/span&gt;ic ve&lt;span class="_ _7"&gt;&lt;/span&gt;hi&lt;span class="_ _7"&gt;&lt;/span&gt;cle o&lt;span class="_ _7"&gt;&lt;/span&gt;r pl&lt;span class="_ _7"&gt;&lt;/span&gt;at&lt;span class="_ _7"&gt;&lt;/span&gt;fo&lt;span class="_ _7"&gt;&lt;/span&gt;rm&lt;span class="_ _7"&gt;&lt;/span&gt;, th&lt;span class="_ _7"&gt;&lt;/span&gt;e &lt;/span&gt;&lt;span style="display:inherit;clear:left;"&gt;us&lt;span class="_ _7"&gt;&lt;/span&gt;ef&lt;span class="_ _7"&gt;&lt;/span&gt;ul l&lt;span class="_ _7"&gt;&lt;/span&gt;if&lt;span class="_ _7"&gt;&lt;/span&gt;e of th&lt;span class="_ _7"&gt;&lt;/span&gt;e as&lt;span class="_ _7"&gt;&lt;/span&gt;s&lt;span class="_ _7"&gt;&lt;/span&gt;et&lt;span class="_ _7"&gt;&lt;/span&gt;s i&lt;span class="_ _7"&gt;&lt;/span&gt;s alig&lt;span class="_ _7"&gt;&lt;/span&gt;ne&lt;span class="_ _7"&gt;&lt;/span&gt;d wi&lt;span class="_ _7"&gt;&lt;/span&gt;th th&lt;span class="_ _7"&gt;&lt;/span&gt;e pr&lt;span class="_ _7"&gt;&lt;/span&gt;od&lt;span class="_ _7"&gt;&lt;/span&gt;uc&lt;span class="_ _7"&gt;&lt;/span&gt;tio&lt;span class="_ _7"&gt;&lt;/span&gt;n pe&lt;span class="_ _7"&gt;&lt;/span&gt;ri&lt;span class="_ _7"&gt;&lt;/span&gt;od f&lt;span class="_ _7"&gt;&lt;/span&gt;or th&lt;span class="_ _7"&gt;&lt;/span&gt;at &lt;/span&gt;&lt;span style="display:inherit;clear:left;"&gt;vehicle&lt;span class="_ _2"&gt;&lt;/span&gt; or platform&lt;span class="_ _7"&gt;&lt;/span&gt;. The&lt;span class="_ _2"&gt;&lt;/span&gt; amor&lt;span class="_ _7"&gt;&lt;/span&gt;tisation period for&lt;span class="_ _2"&gt;&lt;/span&gt; contractual rights &lt;/span&gt;&lt;span style="display:inherit;clear:left;"&gt;su&lt;span class="_ _7"&gt;&lt;/span&gt;ch as l&lt;span class="_ _7"&gt;&lt;/span&gt;ice&lt;span class="_ _7"&gt;&lt;/span&gt;nc&lt;span class="_ _7"&gt;&lt;/span&gt;e&lt;span class="_ _7"&gt;&lt;/span&gt;s do&lt;span class="_ _7"&gt;&lt;/span&gt;es n&lt;span class="_ _7"&gt;&lt;/span&gt;ot exce&lt;span class="_ _7"&gt;&lt;/span&gt;e&lt;span class="_ _7"&gt;&lt;/span&gt;d the c&lt;span class="_ _7"&gt;&lt;/span&gt;ont&lt;span class="_ _7"&gt;&lt;/span&gt;ra&lt;span class="_ _7"&gt;&lt;/span&gt;ct p&lt;span class="_ _7"&gt;&lt;/span&gt;er&lt;span class="_ _7"&gt;&lt;/span&gt;io&lt;span class="_ _7"&gt;&lt;/span&gt;d. A&lt;span class="_ _7"&gt;&lt;/span&gt;ll in&lt;span class="_ _7"&gt;&lt;/span&gt;ta&lt;span class="_ _7"&gt;&lt;/span&gt;ngi&lt;span class="_ _7"&gt;&lt;/span&gt;bl&lt;span class="_ _7"&gt;&lt;/span&gt;e &lt;/span&gt;&lt;span style="display:inherit;clear:left;"&gt;as&lt;span class="_ _7"&gt;&lt;/span&gt;s&lt;span class="_ _7"&gt;&lt;/span&gt;et&lt;span class="_ _7"&gt;&lt;/span&gt;s ar&lt;span class="_ _7"&gt;&lt;/span&gt;e con&lt;span class="_ _7"&gt;&lt;/span&gt;si&lt;span class="_ _7"&gt;&lt;/span&gt;de&lt;span class="_ _7"&gt;&lt;/span&gt;re&lt;span class="_ _7"&gt;&lt;/span&gt;d to ha&lt;span class="_ _7"&gt;&lt;/span&gt;ve a fi&lt;span class="_ _7"&gt;&lt;/span&gt;ni&lt;span class="_ _7"&gt;&lt;/span&gt;te us&lt;span class="_ _7"&gt;&lt;/span&gt;ef&lt;span class="_ _7"&gt;&lt;/span&gt;ul l&lt;span class="_ _7"&gt;&lt;/span&gt;if&lt;span class="_ _7"&gt;&lt;/span&gt;e, wi&lt;span class="_ _7"&gt;&lt;/span&gt;th th&lt;span class="_ _7"&gt;&lt;/span&gt;e exce&lt;span class="_ _7"&gt;&lt;/span&gt;pti&lt;span class="_ _7"&gt;&lt;/span&gt;on &lt;/span&gt;&lt;span style="display:inherit;clear:left;"&gt;of goodwill a&lt;span class="_ _2"&gt;&lt;/span&gt;nd trademarks. T&lt;span class="_ _6"&gt;&lt;/span&gt;r&lt;span class="_ _7"&gt;&lt;/span&gt;ademarks are&lt;span class="_ _2"&gt;&lt;/span&gt; as&lt;span class="_ _7"&gt;&lt;/span&gt;sumed to&lt;span class="_ _2"&gt;&lt;/span&gt; have indefi&lt;span class="ls3 ws3"&gt;-&lt;/span&gt;&lt;/span&gt;&lt;span style="display:inherit;clear:left;"&gt;nit&lt;span class="_ _7"&gt;&lt;/span&gt;e us&lt;span class="_ _7"&gt;&lt;/span&gt;ef&lt;span class="_ _7"&gt;&lt;/span&gt;ul l&lt;span class="_ _7"&gt;&lt;/span&gt;ive&lt;span class="_ _7"&gt;&lt;/span&gt;s s&lt;span class="_ _7"&gt;&lt;/span&gt;inc&lt;span class="_ _7"&gt;&lt;/span&gt;e Volvo Ca&lt;span class="_ _7"&gt;&lt;/span&gt;r Gr&lt;span class="_ _7"&gt;&lt;/span&gt;oup h&lt;span class="_ _7"&gt;&lt;/span&gt;as t&lt;span class="_ _7"&gt;&lt;/span&gt;he r&lt;span class="_ _7"&gt;&lt;/span&gt;igh&lt;span class="_ _7"&gt;&lt;/span&gt;t an&lt;span class="_ _7"&gt;&lt;/span&gt;d the i&lt;span class="_ _7"&gt;&lt;/span&gt;nte&lt;span class="_ _7"&gt;&lt;/span&gt;ntio&lt;span class="_ _7"&gt;&lt;/span&gt;n &lt;/span&gt;&lt;span style="display:inherit;clear:left;"&gt;to co&lt;span class="_ _7"&gt;&lt;/span&gt;nti&lt;span class="_ _7"&gt;&lt;/span&gt;nue to u&lt;span class="_ _7"&gt;&lt;/span&gt;s&lt;span class="_ _7"&gt;&lt;/span&gt;e the t&lt;span class="_ _7"&gt;&lt;/span&gt;ra&lt;span class="_ _7"&gt;&lt;/span&gt;de&lt;span class="_ _7"&gt;&lt;/span&gt;ma&lt;span class="_ _7"&gt;&lt;/span&gt;rks f&lt;span class="_ _7"&gt;&lt;/span&gt;or th&lt;span class="_ _7"&gt;&lt;/span&gt;e fo&lt;span class="_ _7"&gt;&lt;/span&gt;re&lt;span class="_ _7"&gt;&lt;/span&gt;se&lt;span class="_ _7"&gt;&lt;/span&gt;e&lt;span class="_ _7"&gt;&lt;/span&gt;abl&lt;span class="_ _7"&gt;&lt;/span&gt;e fu&lt;span class="_ _7"&gt;&lt;/span&gt;tur&lt;span class="_ _7"&gt;&lt;/span&gt;e, w&lt;span class="_ _7"&gt;&lt;/span&gt;hil&lt;span class="_ _7"&gt;&lt;/span&gt;e &lt;/span&gt;&lt;span style="display:inherit;clear:left;"&gt;gen&lt;span class="_ _7"&gt;&lt;/span&gt;er&lt;span class="_ _7"&gt;&lt;/span&gt;at&lt;span class="_ _7"&gt;&lt;/span&gt;ing n&lt;span class="_ _7"&gt;&lt;/span&gt;et p&lt;span class="_ _7"&gt;&lt;/span&gt;os&lt;span class="_ _7"&gt;&lt;/span&gt;iti&lt;span class="_ _7"&gt;&lt;/span&gt;ve c&lt;span class="_ _7"&gt;&lt;/span&gt;as&lt;span class="_ _7"&gt;&lt;/span&gt;h fl&lt;span class="_ _7"&gt;&lt;/span&gt;ows f&lt;span class="_ _7"&gt;&lt;/span&gt;or Volvo C&lt;span class="_ _7"&gt;&lt;/span&gt;ar Gr&lt;span class="_ _7"&gt;&lt;/span&gt;ou&lt;span class="_ _7"&gt;&lt;/span&gt;p. An i&lt;span class="_ _7"&gt;&lt;/span&gt;nt&lt;span class="_ _7"&gt;&lt;/span&gt;ang&lt;span class="_ _7"&gt;&lt;/span&gt;ib&lt;span class="_ _7"&gt;&lt;/span&gt;le &lt;/span&gt;&lt;span style="display:inherit;clear:left;"&gt;as&lt;span class="_ _7"&gt;&lt;/span&gt;s&lt;span class="_ _7"&gt;&lt;/span&gt;et w&lt;span class="_ _7"&gt;&lt;/span&gt;ith a&lt;span class="_ _7"&gt;&lt;/span&gt;n ind&lt;span class="_ _7"&gt;&lt;/span&gt;ef&lt;span class="_ _7"&gt;&lt;/span&gt;in&lt;span class="_ _7"&gt;&lt;/span&gt;ite u&lt;span class="_ _7"&gt;&lt;/span&gt;s&lt;span class="_ _7"&gt;&lt;/span&gt;ef&lt;span class="_ _7"&gt;&lt;/span&gt;ul li&lt;span class="_ _7"&gt;&lt;/span&gt;fe i&lt;span class="_ _7"&gt;&lt;/span&gt;s no&lt;span class="_ _7"&gt;&lt;/span&gt;t am&lt;span class="_ _7"&gt;&lt;/span&gt;or&lt;span class="_ _7"&gt;&lt;/span&gt;ti&lt;span class="_ _7"&gt;&lt;/span&gt;s&lt;span class="_ _7"&gt;&lt;/span&gt;ed&lt;span class="_ _7"&gt;&lt;/span&gt;. Th&lt;span class="_ _7"&gt;&lt;/span&gt;e fol&lt;span class="_ _7"&gt;&lt;/span&gt;low&lt;span class="_ _7"&gt;&lt;/span&gt;ing u&lt;span class="_ _7"&gt;&lt;/span&gt;se&lt;span class="_ _7"&gt;&lt;/span&gt;&lt;span class="ls3"&gt;-&lt;/span&gt;&lt;/span&gt;&lt;span style="display:inherit;clear:left;"&gt;fu&lt;span class="_ _7"&gt;&lt;/span&gt;l liv&lt;span class="_ _7"&gt;&lt;/span&gt;es a&lt;span class="_ _7"&gt;&lt;/span&gt;re ap&lt;span class="_ _7"&gt;&lt;/span&gt;pl&lt;span class="_ _7"&gt;&lt;/span&gt;ie&lt;span class="_ _7"&gt;&lt;/span&gt;d to int&lt;span class="_ _7"&gt;&lt;/span&gt;an&lt;span class="_ _7"&gt;&lt;/span&gt;gi&lt;span class="_ _7"&gt;&lt;/span&gt;ble a&lt;span class="_ _7"&gt;&lt;/span&gt;s&lt;span class="_ _7"&gt;&lt;/span&gt;se&lt;span class="_ _7"&gt;&lt;/span&gt;t&lt;span class="_ _7"&gt;&lt;/span&gt;s wit&lt;span class="_ _7"&gt;&lt;/span&gt;h fi&lt;span class="_ _7"&gt;&lt;/span&gt;nit&lt;span class="_ _7"&gt;&lt;/span&gt;e us&lt;span class="_ _7"&gt;&lt;/span&gt;ef&lt;span class="_ _7"&gt;&lt;/span&gt;ul l&lt;span class="_ _7"&gt;&lt;/span&gt;ive&lt;span class="_ _7"&gt;&lt;/span&gt;s&lt;span class="_ _7"&gt;&lt;/span&gt;: &lt;/span&gt;&lt;span style="display:inherit;clear:left;position:relative;height:59.5px;"&gt;&lt;span class="pp-font-color-override-1" style="position: absolute; display: inline-block; left: 0px; top: 0.0097656px; width: 328.975px; white-space: pre; word-spacing: -0.168px; letter-spacing: 0.1995px; margin-left: 0px; font-size: 10.5px; font-family: ff8a; -webkit-text-stroke: 0.1575px rgba(0, 0, 0, 0);"&gt;&lt;span style="display: inline-block;"&gt;Dealer network&lt;/span&gt;&lt;span style="word-spacing: -0.168px; letter-spacing: 0.1995px; display: inline-block; margin-left: 0px; width: 224.982px;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inline-block;"&gt;30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15.9785px; width: 332.086px; white-space: pre; word-spacing: -0.084px; letter-spacing: 0.084px; margin-left: 0px; font-size: 10.5px; font-family: ff8a; -webkit-text-stroke: 0.1575px rgba(0, 0, 0, 0);"&gt;&lt;span style="display: inline-block;"&gt;Sof&lt;/span&gt;&lt;span style="word-spacing: -0.084px; letter-spacing: 0.084px; display: inline-block; margin-left: 0px; width: 0.410156px; font-size: 10.5px; font-family: ff8a; -webkit-text-stroke: 0.1575px rgba(0, 0, 0, 0);"&gt;&lt;/span&gt;&lt;span style="display: inline-block;"&gt;t&lt;/span&gt;&lt;span style="word-spacing: -0.084px; letter-spacing: 0.084px; display: inline-block; margin-left: 0px; width: 0.410156px; font-size: 10.5px; font-family: ff8a; -webkit-text-stroke: 0.1575px rgba(0, 0, 0, 0);"&gt;&lt;/span&gt;&lt;span style="display: inline-block;"&gt;wa&lt;/span&gt;&lt;span style="word-spacing: -0.084px; letter-spacing: 0.084px; display: inline-block; margin-left: 0px; width: 0.410156px; font-size: 10.5px; font-family: ff8a; -webkit-text-stroke: 0.1575px rgba(0, 0, 0, 0);"&gt;&lt;/span&gt;&lt;span style="display: inline-block;"&gt;re&lt;/span&gt;&lt;span style="word-spacing: -0.084px; letter-spacing: 0.084px; display: inline-block; margin-left: 0px; width: 250.219px;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inline-block;"&gt;3–&lt;/span&gt;&lt;span style="word-spacing: 0px; letter-spacing: 0.0315px; display: inline-block; margin-left: 0px; width: 0.410156px; font-size: 10.5px; font-family: ff8a; -webkit-text-stroke: 0.1575px rgba(0, 0, 0, 0);"&gt;&lt;/span&gt;&lt;span style="display: inline-block;"&gt;8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31.9316px; width: 323.883px; white-space: pre; word-spacing: -0.189px; letter-spacing: 0.2205px; margin-left: 0px; font-size: 10.5px; font-family: ff8a; -webkit-text-stroke: 0.1575px rgba(0, 0, 0, 0);"&gt;&lt;span style="display: inline-block;"&gt;Product de&lt;/span&gt;&lt;span style="word-spacing: -0.189px; letter-spacing: 0.2205px; display: inline-block; margin-left: -0.684px; width: 0px; font-size: 10.5px; font-family: ff8a; -webkit-text-stroke: 0.1575px rgba(0, 0, 0, 0);"&gt;&lt;/span&gt;&lt;span style="display: inline-block;"&gt;velopment&lt;/span&gt;&lt;span style="word-spacing: -0.189px; letter-spacing: 0.2205px; display: inline-block; margin-left: 0px; width: 185.197px;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inline-block;"&gt;3–1&lt;/span&gt;&lt;span style="word-spacing: 0.3045px; letter-spacing: -0.273px; display: inline-block; margin-left: 0px; width: 0.410156px; font-size: 10.5px; font-family: ff8a; -webkit-text-stroke: 0.1575px rgba(0, 0, 0, 0);"&gt;&lt;/span&gt;&lt;span style="display: inline-block;"&gt;5&lt;/span&gt;&lt;span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0.410156px; font-size: 10.5px; font-family: ff8a; -webkit-text-stroke: 0.1575px rgba(0, 0, 0, 0);"&gt;&lt;/span&gt;&lt;span style="display: inline-block;"&gt;s&lt;/span&gt;&lt;/span&gt;&lt;/span&gt;&lt;span class="pp-font-color-override-1" style="position: absolute; display: inline-block; left: 0px; top: 47.8848px; width: 318.779px; white-space: pre; word-spacing: -0.231px; letter-spacing: 0.2625px; margin-left: 0px; font-size: 10.5px; font-family: ff8a; -webkit-text-stroke: 0.1575px rgba(0, 0, 0, 0);"&gt;&lt;span style="display: inline-block;"&gt;Pat&lt;/span&gt;&lt;span style="word-spacing: -0.231px; letter-spacing: 0.2625px; display: inline-block; margin-left: -0.684px; width: 0px; font-size: 10.5px; font-family: ff8a; -webkit-text-stroke: 0.1575px rgba(0, 0, 0, 0);"&gt;&lt;/span&gt;&lt;span style="display: inline-block;"&gt;ents, lice&lt;/span&gt;&lt;span style="word-spacing: -0.231px; letter-spacing: 0.2625px; display: inline-block; margin-left: -0.684px; width: 0px; font-size: 10.5px; font-family: ff8a; -webkit-text-stroke: 0.1575px rgba(0, 0, 0, 0);"&gt;&lt;/span&gt;&lt;span style="display: inline-block;"&gt;nces and si&lt;/span&gt;&lt;span style="word-spacing: -0.231px; letter-spacing: 0.2625px; display: inline-block; margin-left: -0.684px; width: 0px; font-size: 10.5px; font-family: ff8a; -webkit-text-stroke: 0.1575px rgba(0, 0, 0, 0);"&gt;&lt;/span&gt;&lt;span style="display: inline-block;"&gt;milar ri&lt;/span&gt;&lt;span style="word-spacing: -0.231px; letter-spacing: 0.2625px; display: inline-block; margin-left: -0.684px; width: 0px; font-size: 10.5px; font-family: ff8a; -webkit-text-stroke: 0.1575px rgba(0, 0, 0, 0);"&gt;&lt;/span&gt;&lt;span style="display: inline-block;"&gt;ghts&lt;/span&gt;&lt;span style="word-spacing: -0.231px; letter-spacing: 0.2625px; display: inline-block; margin-left: 0px; width: 120.586px;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inline-block;"&gt;3&lt;/span&gt;&lt;span style="word-spacing: 0.3045px; letter-spacing: -0.273px; display: inline-block; margin-left: 0px; width: 0.925781px; font-size: 10.5px; font-family: ff8a; -webkit-text-stroke: 0.1575px rgba(0, 0, 0, 0);"&gt;&lt;/span&gt;&lt;span style="display: inline-block;"&gt;–10&lt;/span&gt;&lt;span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0.925781px; font-size: 10.5px; font-family: ff8a; -webkit-text-stroke: 0.1575px rgba(0, 0, 0, 0);"&gt;&lt;/span&gt;&lt;span style="display: inline-block;"&gt;s&lt;/span&gt;&lt;/span&gt;&lt;/span&gt;&lt;/span&gt;&lt;span style="display:inherit;clear:left;"&gt;Am&lt;span class="_ _7"&gt;&lt;/span&gt;or&lt;span class="_ _7"&gt;&lt;/span&gt;ti&lt;span class="_ _7"&gt;&lt;/span&gt;s&lt;span class="_ _7"&gt;&lt;/span&gt;ati&lt;span class="_ _7"&gt;&lt;/span&gt;on i&lt;span class="_ _7"&gt;&lt;/span&gt;s inc&lt;span class="_ _7"&gt;&lt;/span&gt;lud&lt;span class="_ _7"&gt;&lt;/span&gt;ed i&lt;span class="_ _7"&gt;&lt;/span&gt;n co&lt;span class="_ _7"&gt;&lt;/span&gt;s&lt;span class="_ _7"&gt;&lt;/span&gt;t of s&lt;span class="_ _7"&gt;&lt;/span&gt;al&lt;span class="_ _7"&gt;&lt;/span&gt;es&lt;span class="_ _7"&gt;&lt;/span&gt;, re&lt;span class="_ _7"&gt;&lt;/span&gt;s&lt;span class="_ _7"&gt;&lt;/span&gt;ea&lt;span class="_ _7"&gt;&lt;/span&gt;rch a&lt;span class="_ _7"&gt;&lt;/span&gt;nd d&lt;span class="_ _7"&gt;&lt;/span&gt;eve&lt;span class="_ _7"&gt;&lt;/span&gt;lop&lt;span class="_ _7"&gt;&lt;/span&gt;me&lt;span class="_ _7"&gt;&lt;/span&gt;nt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_7"&gt;&lt;/span&gt;s&lt;span class="_ _7"&gt;&lt;/span&gt;, de&lt;span class="_ _7"&gt;&lt;/span&gt;pe&lt;span class="_ _7"&gt;&lt;/span&gt;nd&lt;span class="_ _7"&gt;&lt;/span&gt;ing &lt;/span&gt;&lt;span style="display:inherit;clear:left;"&gt;&lt;span&gt;&lt;span style="display:inherit;clear:left;"&gt;on h&lt;span class="_ _7"&gt;&lt;/span&gt;ow the a&lt;span class="_ _7"&gt;&lt;/span&gt;s&lt;span class="_ _7"&gt;&lt;/span&gt;s&lt;span class="_ _7"&gt;&lt;/span&gt;et&lt;span class="_ _7"&gt;&lt;/span&gt;s hav&lt;span class="_ _7"&gt;&lt;/span&gt;e be&lt;span class="_ _7"&gt;&lt;/span&gt;en u&lt;span class="_ _7"&gt;&lt;/span&gt;se&lt;span class="_ _7"&gt;&lt;/span&gt;d. A&lt;span class="_ _7"&gt;&lt;/span&gt;mo&lt;span class="_ _7"&gt;&lt;/span&gt;r&lt;span class="_ _7"&gt;&lt;/span&gt;ti&lt;span class="_ _7"&gt;&lt;/span&gt;s&lt;span class="_ _7"&gt;&lt;/span&gt;ati&lt;span class="_ _7"&gt;&lt;/span&gt;on of i&lt;span class="_ _7"&gt;&lt;/span&gt;nt&lt;span class="_ _7"&gt;&lt;/span&gt;ang&lt;span class="_ _7"&gt;&lt;/span&gt;ib&lt;span class="_ _7"&gt;&lt;/span&gt;le as&lt;span class="_ _7"&gt;&lt;/span&gt;s&lt;span class="_ _7"&gt;&lt;/span&gt;et&lt;span class="_ _7"&gt;&lt;/span&gt;s&lt;/span&gt;&lt;/span&gt; &lt;/span&gt;&lt;span style="display:inherit;clear:left;"&gt;re&lt;span class="_ _7"&gt;&lt;/span&gt;lat&lt;span class="_ _7"&gt;&lt;/span&gt;ed to v&lt;span class="_ _7"&gt;&lt;/span&gt;ehi&lt;span class="_ _7"&gt;&lt;/span&gt;cle p&lt;span class="_ _7"&gt;&lt;/span&gt;l&lt;span class="_ _7"&gt;&lt;/span&gt;at&lt;span class="_ _7"&gt;&lt;/span&gt;fo&lt;span class="_ _7"&gt;&lt;/span&gt;rm&lt;span class="_ _7"&gt;&lt;/span&gt;s are i&lt;span class="_ _7"&gt;&lt;/span&gt;nc&lt;span class="_ _7"&gt;&lt;/span&gt;lud&lt;span class="_ _7"&gt;&lt;/span&gt;ed i&lt;span class="_ _7"&gt;&lt;/span&gt;n re&lt;span class="_ _7"&gt;&lt;/span&gt;se&lt;span class="_ _7"&gt;&lt;/span&gt;ar&lt;span class="_ _7"&gt;&lt;/span&gt;ch an&lt;span class="_ _7"&gt;&lt;/span&gt;d de&lt;span class="_ _7"&gt;&lt;/span&gt;velo&lt;span class="_ _7"&gt;&lt;/span&gt;p-&lt;/span&gt;&lt;span style="display:inherit;clear:left;"&gt;me&lt;span class="_ _7"&gt;&lt;/span&gt;nt exp&lt;span class="_ _7"&gt;&lt;/span&gt;en&lt;span class="_ _7"&gt;&lt;/span&gt;s&lt;span class="_ _7"&gt;&lt;/span&gt;es&lt;span class="_ _7"&gt;&lt;/span&gt;.&lt;/span&gt;</t>
  </si>
  <si>
    <t>f1__s8__6__124</t>
  </si>
  <si>
    <t>ifrs-full:DescriptionOfAccountingPolicyForIntangibleAssetsOtherThanGoodwillExplanatory</t>
  </si>
  <si>
    <t>f1__s8__6__125</t>
  </si>
  <si>
    <t>ifrs-full:DescriptionOfAccountingPolicyForResearchAndDevelopmentExpenseExplanatory</t>
  </si>
  <si>
    <t>&lt;span style="display:inherit;clear:left;"&gt;Product devel&lt;span class="_ _2"&gt;&lt;/span&gt;opment&lt;/span&gt;&lt;span style="display:inherit;clear:left;"&gt;Volvo Ca&lt;span class="_ _7"&gt;&lt;/span&gt;r Gro&lt;span class="_ _7"&gt;&lt;/span&gt;up a&lt;span class="_ _7"&gt;&lt;/span&gt;pp&lt;span class="_ _7"&gt;&lt;/span&gt;lie&lt;span class="_ _7"&gt;&lt;/span&gt;s a wa&lt;span class="_ _7"&gt;&lt;/span&gt;ter&lt;span class="_ _7"&gt;&lt;/span&gt;f&lt;span class="_ _7"&gt;&lt;/span&gt;al&lt;span class="_ _7"&gt;&lt;/span&gt;l mo&lt;span class="_ _7"&gt;&lt;/span&gt;de&lt;span class="_ _7"&gt;&lt;/span&gt;l wi&lt;span class="_ _7"&gt;&lt;/span&gt;th di&lt;span class="_ _7"&gt;&lt;/span&gt;s&lt;span class="_ _7"&gt;&lt;/span&gt;tin&lt;span class="_ _7"&gt;&lt;/span&gt;ct g&lt;span class="_ _7"&gt;&lt;/span&gt;ate&lt;span class="_ _7"&gt;&lt;/span&gt;s th&lt;span class="_ _7"&gt;&lt;/span&gt;at &lt;/span&gt;&lt;span style="display:inherit;clear:left;"&gt;gove&lt;span class="_ _7"&gt;&lt;/span&gt;rn&lt;span class="_ _7"&gt;&lt;/span&gt;s al&lt;span class="_ _7"&gt;&lt;/span&gt;l ph&lt;span class="_ _7"&gt;&lt;/span&gt;as&lt;span class="_ _7"&gt;&lt;/span&gt;es o&lt;span class="_ _7"&gt;&lt;/span&gt;f pr&lt;span class="_ _7"&gt;&lt;/span&gt;od&lt;span class="_ _7"&gt;&lt;/span&gt;uc&lt;span class="_ _7"&gt;&lt;/span&gt;t dev&lt;span class="_ _7"&gt;&lt;/span&gt;elo&lt;span class="_ _7"&gt;&lt;/span&gt;pm&lt;span class="_ _7"&gt;&lt;/span&gt;ent p&lt;span class="_ _7"&gt;&lt;/span&gt;ro&lt;span class="_ _7"&gt;&lt;/span&gt;je&lt;span class="_ _7"&gt;&lt;/span&gt;ct&lt;span class="_ _7"&gt;&lt;/span&gt;s&lt;span class="_ _7"&gt;&lt;/span&gt;. Co&lt;span class="_ _7"&gt;&lt;/span&gt;st&lt;span class="_ _7"&gt;&lt;/span&gt;s r&lt;span class="_ _7"&gt;&lt;/span&gt;el&lt;span class="_ _7"&gt;&lt;/span&gt;ate&lt;span class="_ _7"&gt;&lt;/span&gt;d &lt;/span&gt;&lt;span style="display:inherit;clear:left;"&gt;to pr&lt;span class="_ _7"&gt;&lt;/span&gt;od&lt;span class="_ _7"&gt;&lt;/span&gt;uct d&lt;span class="_ _7"&gt;&lt;/span&gt;eve&lt;span class="_ _7"&gt;&lt;/span&gt;lo&lt;span class="_ _7"&gt;&lt;/span&gt;pme&lt;span class="_ _7"&gt;&lt;/span&gt;nt a&lt;span class="_ _7"&gt;&lt;/span&gt;re on&lt;span class="_ _7"&gt;&lt;/span&gt;ly re&lt;span class="_ _7"&gt;&lt;/span&gt;co&lt;span class="_ _7"&gt;&lt;/span&gt;gn&lt;span class="_ _7"&gt;&lt;/span&gt;is&lt;span class="_ _7"&gt;&lt;/span&gt;ed a&lt;span class="_ _7"&gt;&lt;/span&gt;s as&lt;span class="_ _7"&gt;&lt;/span&gt;s&lt;span class="_ _7"&gt;&lt;/span&gt;et&lt;span class="_ _7"&gt;&lt;/span&gt;s wh&lt;span class="_ _7"&gt;&lt;/span&gt;en t&lt;span class="_ _7"&gt;&lt;/span&gt;he &lt;/span&gt;&lt;span style="display:inherit;clear:left;"&gt;re&lt;span class="_ _7"&gt;&lt;/span&gt;cog&lt;span class="_ _7"&gt;&lt;/span&gt;ni&lt;span class="_ _7"&gt;&lt;/span&gt;tio&lt;span class="_ _7"&gt;&lt;/span&gt;n cr&lt;span class="_ _7"&gt;&lt;/span&gt;ite&lt;span class="_ _7"&gt;&lt;/span&gt;ri&lt;span class="_ _7"&gt;&lt;/span&gt;a are m&lt;span class="_ _7"&gt;&lt;/span&gt;et&lt;span class="_ _7"&gt;&lt;/span&gt;. No&lt;span class="_ _7"&gt;&lt;/span&gt;rm&lt;span class="_ _7"&gt;&lt;/span&gt;ally t&lt;span class="_ _7"&gt;&lt;/span&gt;hi&lt;span class="_ _7"&gt;&lt;/span&gt;s cor&lt;span class="_ _7"&gt;&lt;/span&gt;re&lt;span class="_ _7"&gt;&lt;/span&gt;l&lt;span class="_ _7"&gt;&lt;/span&gt;ate&lt;span class="_ _7"&gt;&lt;/span&gt;s wi&lt;span class="_ _7"&gt;&lt;/span&gt;th th&lt;span class="_ _7"&gt;&lt;/span&gt;e ind&lt;span class="_ _7"&gt;&lt;/span&gt;us-&lt;/span&gt;&lt;span style="display:inherit;clear:left;"&gt;tri&lt;span class="_ _7"&gt;&lt;/span&gt;al&lt;span class="_ _7"&gt;&lt;/span&gt;is&lt;span class="_ _7"&gt;&lt;/span&gt;ati&lt;span class="_ _7"&gt;&lt;/span&gt;on p&lt;span class="_ _7"&gt;&lt;/span&gt;ha&lt;span class="_ _7"&gt;&lt;/span&gt;se o&lt;span class="_ _7"&gt;&lt;/span&gt;f th&lt;span class="_ _7"&gt;&lt;/span&gt;e pr&lt;span class="_ _7"&gt;&lt;/span&gt;oje&lt;span class="_ _7"&gt;&lt;/span&gt;ct w&lt;span class="_ _7"&gt;&lt;/span&gt;he&lt;span class="_ _7"&gt;&lt;/span&gt;n th&lt;span class="_ _7"&gt;&lt;/span&gt;e pro&lt;span class="_ _7"&gt;&lt;/span&gt;du&lt;span class="_ _7"&gt;&lt;/span&gt;ct i&lt;span class="_ _7"&gt;&lt;/span&gt;s pr&lt;span class="_ _7"&gt;&lt;/span&gt;ep&lt;span class="_ _7"&gt;&lt;/span&gt;are&lt;span class="_ _7"&gt;&lt;/span&gt;d fo&lt;span class="_ _7"&gt;&lt;/span&gt;r &lt;/span&gt;&lt;span style="display:inherit;clear:left;"&gt;se&lt;span class="_ _7"&gt;&lt;/span&gt;ri&lt;span class="_ _7"&gt;&lt;/span&gt;al p&lt;span class="_ _7"&gt;&lt;/span&gt;ro&lt;span class="_ _7"&gt;&lt;/span&gt;duc&lt;span class="_ _7"&gt;&lt;/span&gt;ti&lt;span class="_ _7"&gt;&lt;/span&gt;on an&lt;span class="_ _7"&gt;&lt;/span&gt;d th&lt;span class="_ _7"&gt;&lt;/span&gt;e pro&lt;span class="_ _7"&gt;&lt;/span&gt;du&lt;span class="_ _7"&gt;&lt;/span&gt;ct i&lt;span class="_ _7"&gt;&lt;/span&gt;s l&lt;span class="_ _7"&gt;&lt;/span&gt;aun&lt;span class="_ _7"&gt;&lt;/span&gt;che&lt;span class="_ _7"&gt;&lt;/span&gt;d&lt;span class="_ _7"&gt;&lt;/span&gt;. Co&lt;span class="_ _7"&gt;&lt;/span&gt;s&lt;span class="_ _7"&gt;&lt;/span&gt;ts p&lt;span class="_ _7"&gt;&lt;/span&gt;ri&lt;span class="_ _7"&gt;&lt;/span&gt;or to th&lt;span class="_ _7"&gt;&lt;/span&gt;e &lt;/span&gt;&lt;span style="display:inherit;clear:left;"&gt;industrialisation phase of t&lt;span class="_ _2"&gt;&lt;/span&gt;he project, the concept&lt;span class="_ _2"&gt;&lt;/span&gt; phase, are recog&lt;span class="_ _2"&gt;&lt;/span&gt;&lt;span class="ls3 ws3"&gt;-&lt;/span&gt;&lt;/span&gt;&lt;span style="display:inherit;clear:left;"&gt;nis&lt;span class="_ _7"&gt;&lt;/span&gt;e&lt;span class="_ _7"&gt;&lt;/span&gt;d in th&lt;span class="_ _7"&gt;&lt;/span&gt;e in&lt;span class="_ _7"&gt;&lt;/span&gt;co&lt;span class="_ _7"&gt;&lt;/span&gt;me s&lt;span class="_ _7"&gt;&lt;/span&gt;ta&lt;span class="_ _7"&gt;&lt;/span&gt;tem&lt;span class="_ _7"&gt;&lt;/span&gt;ent a&lt;span class="_ _7"&gt;&lt;/span&gt;s in&lt;span class="_ _7"&gt;&lt;/span&gt;cur&lt;span class="_ _7"&gt;&lt;/span&gt;re&lt;span class="_ _7"&gt;&lt;/span&gt;d&lt;span class="_ _7"&gt;&lt;/span&gt;. &lt;/span&gt;&lt;span style="display:inherit;clear:left;"&gt;Dev&lt;span class="_ _7"&gt;&lt;/span&gt;elo&lt;span class="_ _7"&gt;&lt;/span&gt;pm&lt;span class="_ _7"&gt;&lt;/span&gt;ent c&lt;span class="_ _7"&gt;&lt;/span&gt;os&lt;span class="_ _7"&gt;&lt;/span&gt;t&lt;span class="_ _7"&gt;&lt;/span&gt;s th&lt;span class="_ _7"&gt;&lt;/span&gt;at ar&lt;span class="_ _7"&gt;&lt;/span&gt;e co&lt;span class="_ _7"&gt;&lt;/span&gt;ntr&lt;span class="_ _7"&gt;&lt;/span&gt;ac&lt;span class="_ _7"&gt;&lt;/span&gt;tu&lt;span class="_ _7"&gt;&lt;/span&gt;ally s&lt;span class="_ _7"&gt;&lt;/span&gt;ha&lt;span class="_ _7"&gt;&lt;/span&gt;re&lt;span class="_ _7"&gt;&lt;/span&gt;d wi&lt;span class="_ _7"&gt;&lt;/span&gt;th oth&lt;span class="_ _7"&gt;&lt;/span&gt;er p&lt;span class="_ _7"&gt;&lt;/span&gt;ar-&lt;/span&gt;&lt;span style="display:inherit;clear:left;"&gt;tie&lt;span class="_ _7"&gt;&lt;/span&gt;s ar&lt;span class="_ _7"&gt;&lt;/span&gt;e re&lt;span class="_ _7"&gt;&lt;/span&gt;cog&lt;span class="_ _7"&gt;&lt;/span&gt;ni&lt;span class="_ _7"&gt;&lt;/span&gt;s&lt;span class="_ _7"&gt;&lt;/span&gt;ed a&lt;span class="_ _7"&gt;&lt;/span&gt;s int&lt;span class="_ _7"&gt;&lt;/span&gt;an&lt;span class="_ _7"&gt;&lt;/span&gt;gib&lt;span class="_ _7"&gt;&lt;/span&gt;le a&lt;span class="_ _7"&gt;&lt;/span&gt;s&lt;span class="_ _7"&gt;&lt;/span&gt;se&lt;span class="_ _7"&gt;&lt;/span&gt;ts t&lt;span class="_ _7"&gt;&lt;/span&gt;o the ex&lt;span class="_ _7"&gt;&lt;/span&gt;te&lt;span class="_ _7"&gt;&lt;/span&gt;nt o&lt;span class="_ _7"&gt;&lt;/span&gt;f the r&lt;span class="_ _7"&gt;&lt;/span&gt;el&lt;span class="_ _7"&gt;&lt;/span&gt;evan&lt;span class="_ _7"&gt;&lt;/span&gt;t &lt;/span&gt;&lt;span style="display:inherit;clear:left;"&gt;pro&lt;span class="_ _7"&gt;&lt;/span&gt;po&lt;span class="_ _7"&gt;&lt;/span&gt;r&lt;span class="_ _7"&gt;&lt;/span&gt;ti&lt;span class="_ _7"&gt;&lt;/span&gt;on o&lt;span class="_ _7"&gt;&lt;/span&gt;f Volvo Ca&lt;span class="_ _7"&gt;&lt;/span&gt;r Gro&lt;span class="_ _7"&gt;&lt;/span&gt;up i&lt;span class="_ _7"&gt;&lt;/span&gt;nter&lt;span class="_ _7"&gt;&lt;/span&gt;e&lt;span class="_ _7"&gt;&lt;/span&gt;st&lt;span class="_ _7"&gt;&lt;/span&gt;s&lt;span class="_ _7"&gt;&lt;/span&gt;. In&lt;span class="_ _7"&gt;&lt;/span&gt;cur&lt;span class="_ _7"&gt;&lt;/span&gt;re&lt;span class="_ _7"&gt;&lt;/span&gt;d co&lt;span class="_ _7"&gt;&lt;/span&gt;st&lt;span class="_ _7"&gt;&lt;/span&gt;s fo&lt;span class="_ _7"&gt;&lt;/span&gt;r de&lt;span class="_ _7"&gt;&lt;/span&gt;vel-&lt;/span&gt;&lt;span style="display:inherit;clear:left;"&gt;op&lt;span class="_ _7"&gt;&lt;/span&gt;ed te&lt;span class="_ _7"&gt;&lt;/span&gt;ch&lt;span class="_ _7"&gt;&lt;/span&gt;no&lt;span class="_ _7"&gt;&lt;/span&gt;log&lt;span class="_ _7"&gt;&lt;/span&gt;y n&lt;span class="_ _7"&gt;&lt;/span&gt;ot c&lt;span class="_ _7"&gt;&lt;/span&gt;ont&lt;span class="_ _7"&gt;&lt;/span&gt;ro&lt;span class="_ _7"&gt;&lt;/span&gt;lle&lt;span class="_ _7"&gt;&lt;/span&gt;d by Volvo Ca&lt;span class="_ _7"&gt;&lt;/span&gt;r Gr&lt;span class="_ _7"&gt;&lt;/span&gt;oup a&lt;span class="_ _7"&gt;&lt;/span&gt;re r&lt;span class="_ _7"&gt;&lt;/span&gt;ec&lt;span class="_ _7"&gt;&lt;/span&gt;og&lt;span class="_ _7"&gt;&lt;/span&gt;nis&lt;span class="_ _7"&gt;&lt;/span&gt;e&lt;span class="_ _7"&gt;&lt;/span&gt;d &lt;/span&gt;&lt;span style="display:inherit;clear:left;"&gt;in th&lt;span class="_ _7"&gt;&lt;/span&gt;e in&lt;span class="_ _7"&gt;&lt;/span&gt;com&lt;span class="_ _7"&gt;&lt;/span&gt;e s&lt;span class="_ _7"&gt;&lt;/span&gt;ta&lt;span class="_ _7"&gt;&lt;/span&gt;tem&lt;span class="_ _7"&gt;&lt;/span&gt;ent a&lt;span class="_ _7"&gt;&lt;/span&gt;s co&lt;span class="_ _7"&gt;&lt;/span&gt;s&lt;span class="_ _7"&gt;&lt;/span&gt;t of s&lt;span class="_ _7"&gt;&lt;/span&gt;ale&lt;span class="_ _7"&gt;&lt;/span&gt;s at t&lt;span class="_ _7"&gt;&lt;/span&gt;he ti&lt;span class="_ _7"&gt;&lt;/span&gt;me o&lt;span class="_ _7"&gt;&lt;/span&gt;f s&lt;span class="_ _7"&gt;&lt;/span&gt;ale&lt;span class="_ _7"&gt;&lt;/span&gt;. &lt;/span&gt;&lt;span style="display:inherit;clear:left;"&gt;Amortisation methods f&lt;span class="_ _2"&gt;&lt;/span&gt;or intangible assets&lt;/span&gt;&lt;span style="display:inherit;clear:left;"&gt;Int&lt;span class="_ _7"&gt;&lt;/span&gt;ang&lt;span class="_ _7"&gt;&lt;/span&gt;ib&lt;span class="_ _7"&gt;&lt;/span&gt;le a&lt;span class="_ _7"&gt;&lt;/span&gt;s&lt;span class="_ _7"&gt;&lt;/span&gt;se&lt;span class="_ _7"&gt;&lt;/span&gt;ts w&lt;span class="_ _7"&gt;&lt;/span&gt;ith f&lt;span class="_ _7"&gt;&lt;/span&gt;in&lt;span class="_ _7"&gt;&lt;/span&gt;ite u&lt;span class="_ _7"&gt;&lt;/span&gt;s&lt;span class="_ _7"&gt;&lt;/span&gt;ef&lt;span class="_ _7"&gt;&lt;/span&gt;ul li&lt;span class="_ _7"&gt;&lt;/span&gt;ve&lt;span class="_ _7"&gt;&lt;/span&gt;s ar&lt;span class="_ _7"&gt;&lt;/span&gt;e amo&lt;span class="_ _7"&gt;&lt;/span&gt;r&lt;span class="_ _7"&gt;&lt;/span&gt;ti&lt;span class="_ _7"&gt;&lt;/span&gt;se&lt;span class="_ _7"&gt;&lt;/span&gt;d on a s&lt;span class="_ _7"&gt;&lt;/span&gt;tr&lt;span class="_ _7"&gt;&lt;/span&gt;ai&lt;span class="_ _7"&gt;&lt;/span&gt;ght-&lt;/span&gt;&lt;span style="display:inherit;clear:left;"&gt;lin&lt;span class="_ _7"&gt;&lt;/span&gt;e ba&lt;span class="_ _7"&gt;&lt;/span&gt;si&lt;span class="_ _7"&gt;&lt;/span&gt;s ove&lt;span class="_ _7"&gt;&lt;/span&gt;r the&lt;span class="_ _7"&gt;&lt;/span&gt;ir r&lt;span class="_ _7"&gt;&lt;/span&gt;es&lt;span class="_ _7"&gt;&lt;/span&gt;pe&lt;span class="_ _7"&gt;&lt;/span&gt;ct&lt;span class="_ _7"&gt;&lt;/span&gt;ive ex&lt;span class="_ _7"&gt;&lt;/span&gt;p&lt;span class="_ _7"&gt;&lt;/span&gt;ec&lt;span class="_ _7"&gt;&lt;/span&gt;ted u&lt;span class="_ _7"&gt;&lt;/span&gt;s&lt;span class="_ _7"&gt;&lt;/span&gt;ef&lt;span class="_ _7"&gt;&lt;/span&gt;ul li&lt;span class="_ _7"&gt;&lt;/span&gt;ve&lt;span class="_ _7"&gt;&lt;/span&gt;s&lt;span class="_ _7"&gt;&lt;/span&gt;. Wh&lt;span class="_ _7"&gt;&lt;/span&gt;en as&lt;span class="_ _7"&gt;&lt;/span&gt;s&lt;span class="_ _7"&gt;&lt;/span&gt;et&lt;span class="_ _7"&gt;&lt;/span&gt;s &lt;/span&gt;&lt;span style="display:inherit;clear:left;"&gt;are u&lt;span class="_ _7"&gt;&lt;/span&gt;s&lt;span class="_ _7"&gt;&lt;/span&gt;ed o&lt;span class="_ _7"&gt;&lt;/span&gt;nly in t&lt;span class="_ _7"&gt;&lt;/span&gt;he p&lt;span class="_ _7"&gt;&lt;/span&gt;ro&lt;span class="_ _7"&gt;&lt;/span&gt;duc&lt;span class="_ _7"&gt;&lt;/span&gt;ti&lt;span class="_ _7"&gt;&lt;/span&gt;on o&lt;span class="_ _7"&gt;&lt;/span&gt;f a sp&lt;span class="_ _7"&gt;&lt;/span&gt;eci&lt;span class="_ _7"&gt;&lt;/span&gt;f&lt;span class="_ _7"&gt;&lt;/span&gt;ic ve&lt;span class="_ _7"&gt;&lt;/span&gt;hi&lt;span class="_ _7"&gt;&lt;/span&gt;cle o&lt;span class="_ _7"&gt;&lt;/span&gt;r pl&lt;span class="_ _7"&gt;&lt;/span&gt;at&lt;span class="_ _7"&gt;&lt;/span&gt;fo&lt;span class="_ _7"&gt;&lt;/span&gt;rm&lt;span class="_ _7"&gt;&lt;/span&gt;, th&lt;span class="_ _7"&gt;&lt;/span&gt;e &lt;/span&gt;&lt;span style="display:inherit;clear:left;"&gt;us&lt;span class="_ _7"&gt;&lt;/span&gt;ef&lt;span class="_ _7"&gt;&lt;/span&gt;ul l&lt;span class="_ _7"&gt;&lt;/span&gt;if&lt;span class="_ _7"&gt;&lt;/span&gt;e of th&lt;span class="_ _7"&gt;&lt;/span&gt;e as&lt;span class="_ _7"&gt;&lt;/span&gt;s&lt;span class="_ _7"&gt;&lt;/span&gt;et&lt;span class="_ _7"&gt;&lt;/span&gt;s i&lt;span class="_ _7"&gt;&lt;/span&gt;s alig&lt;span class="_ _7"&gt;&lt;/span&gt;ne&lt;span class="_ _7"&gt;&lt;/span&gt;d wi&lt;span class="_ _7"&gt;&lt;/span&gt;th th&lt;span class="_ _7"&gt;&lt;/span&gt;e pr&lt;span class="_ _7"&gt;&lt;/span&gt;od&lt;span class="_ _7"&gt;&lt;/span&gt;uc&lt;span class="_ _7"&gt;&lt;/span&gt;tio&lt;span class="_ _7"&gt;&lt;/span&gt;n pe&lt;span class="_ _7"&gt;&lt;/span&gt;ri&lt;span class="_ _7"&gt;&lt;/span&gt;od f&lt;span class="_ _7"&gt;&lt;/span&gt;or th&lt;span class="_ _7"&gt;&lt;/span&gt;at &lt;/span&gt;&lt;span style="display:inherit;clear:left;"&gt;vehicle&lt;span class="_ _2"&gt;&lt;/span&gt; or platform&lt;span class="_ _7"&gt;&lt;/span&gt;. The&lt;span class="_ _2"&gt;&lt;/span&gt; amor&lt;span class="_ _7"&gt;&lt;/span&gt;tisation period for&lt;span class="_ _2"&gt;&lt;/span&gt; contractual rights &lt;/span&gt;&lt;span style="display:inherit;clear:left;"&gt;su&lt;span class="_ _7"&gt;&lt;/span&gt;ch as l&lt;span class="_ _7"&gt;&lt;/span&gt;ice&lt;span class="_ _7"&gt;&lt;/span&gt;nc&lt;span class="_ _7"&gt;&lt;/span&gt;e&lt;span class="_ _7"&gt;&lt;/span&gt;s do&lt;span class="_ _7"&gt;&lt;/span&gt;es n&lt;span class="_ _7"&gt;&lt;/span&gt;ot exce&lt;span class="_ _7"&gt;&lt;/span&gt;e&lt;span class="_ _7"&gt;&lt;/span&gt;d the c&lt;span class="_ _7"&gt;&lt;/span&gt;ont&lt;span class="_ _7"&gt;&lt;/span&gt;ra&lt;span class="_ _7"&gt;&lt;/span&gt;ct p&lt;span class="_ _7"&gt;&lt;/span&gt;er&lt;span class="_ _7"&gt;&lt;/span&gt;io&lt;span class="_ _7"&gt;&lt;/span&gt;d. A&lt;span class="_ _7"&gt;&lt;/span&gt;ll in&lt;span class="_ _7"&gt;&lt;/span&gt;ta&lt;span class="_ _7"&gt;&lt;/span&gt;ngi&lt;span class="_ _7"&gt;&lt;/span&gt;bl&lt;span class="_ _7"&gt;&lt;/span&gt;e &lt;/span&gt;&lt;span style="display:inherit;clear:left;"&gt;as&lt;span class="_ _7"&gt;&lt;/span&gt;s&lt;span class="_ _7"&gt;&lt;/span&gt;et&lt;span class="_ _7"&gt;&lt;/span&gt;s ar&lt;span class="_ _7"&gt;&lt;/span&gt;e con&lt;span class="_ _7"&gt;&lt;/span&gt;si&lt;span class="_ _7"&gt;&lt;/span&gt;de&lt;span class="_ _7"&gt;&lt;/span&gt;re&lt;span class="_ _7"&gt;&lt;/span&gt;d to ha&lt;span class="_ _7"&gt;&lt;/span&gt;ve a fi&lt;span class="_ _7"&gt;&lt;/span&gt;ni&lt;span class="_ _7"&gt;&lt;/span&gt;te us&lt;span class="_ _7"&gt;&lt;/span&gt;ef&lt;span class="_ _7"&gt;&lt;/span&gt;ul l&lt;span class="_ _7"&gt;&lt;/span&gt;if&lt;span class="_ _7"&gt;&lt;/span&gt;e, wi&lt;span class="_ _7"&gt;&lt;/span&gt;th th&lt;span class="_ _7"&gt;&lt;/span&gt;e exce&lt;span class="_ _7"&gt;&lt;/span&gt;pti&lt;span class="_ _7"&gt;&lt;/span&gt;on &lt;/span&gt;&lt;span style="display:inherit;clear:left;"&gt;of goodwill a&lt;span class="_ _2"&gt;&lt;/span&gt;nd trademarks. T&lt;span class="_ _6"&gt;&lt;/span&gt;r&lt;span class="_ _7"&gt;&lt;/span&gt;ademarks are&lt;span class="_ _2"&gt;&lt;/span&gt; as&lt;span class="_ _7"&gt;&lt;/span&gt;sumed to&lt;span class="_ _2"&gt;&lt;/span&gt; have indefi&lt;span class="ls3 ws3"&gt;-&lt;/span&gt;&lt;/span&gt;&lt;span style="display:inherit;clear:left;"&gt;nit&lt;span class="_ _7"&gt;&lt;/span&gt;e us&lt;span class="_ _7"&gt;&lt;/span&gt;ef&lt;span class="_ _7"&gt;&lt;/span&gt;ul l&lt;span class="_ _7"&gt;&lt;/span&gt;ive&lt;span class="_ _7"&gt;&lt;/span&gt;s s&lt;span class="_ _7"&gt;&lt;/span&gt;inc&lt;span class="_ _7"&gt;&lt;/span&gt;e Volvo Ca&lt;span class="_ _7"&gt;&lt;/span&gt;r Gr&lt;span class="_ _7"&gt;&lt;/span&gt;oup h&lt;span class="_ _7"&gt;&lt;/span&gt;as t&lt;span class="_ _7"&gt;&lt;/span&gt;he r&lt;span class="_ _7"&gt;&lt;/span&gt;igh&lt;span class="_ _7"&gt;&lt;/span&gt;t an&lt;span class="_ _7"&gt;&lt;/span&gt;d the i&lt;span class="_ _7"&gt;&lt;/span&gt;nte&lt;span class="_ _7"&gt;&lt;/span&gt;ntio&lt;span class="_ _7"&gt;&lt;/span&gt;n &lt;/span&gt;&lt;span style="display:inherit;clear:left;"&gt;to co&lt;span class="_ _7"&gt;&lt;/span&gt;nti&lt;span class="_ _7"&gt;&lt;/span&gt;nue to u&lt;span class="_ _7"&gt;&lt;/span&gt;s&lt;span class="_ _7"&gt;&lt;/span&gt;e the t&lt;span class="_ _7"&gt;&lt;/span&gt;ra&lt;span class="_ _7"&gt;&lt;/span&gt;de&lt;span class="_ _7"&gt;&lt;/span&gt;ma&lt;span class="_ _7"&gt;&lt;/span&gt;rks f&lt;span class="_ _7"&gt;&lt;/span&gt;or th&lt;span class="_ _7"&gt;&lt;/span&gt;e fo&lt;span class="_ _7"&gt;&lt;/span&gt;re&lt;span class="_ _7"&gt;&lt;/span&gt;se&lt;span class="_ _7"&gt;&lt;/span&gt;e&lt;span class="_ _7"&gt;&lt;/span&gt;abl&lt;span class="_ _7"&gt;&lt;/span&gt;e fu&lt;span class="_ _7"&gt;&lt;/span&gt;tur&lt;span class="_ _7"&gt;&lt;/span&gt;e, w&lt;span class="_ _7"&gt;&lt;/span&gt;hil&lt;span class="_ _7"&gt;&lt;/span&gt;e &lt;/span&gt;&lt;span style="display:inherit;clear:left;"&gt;gen&lt;span class="_ _7"&gt;&lt;/span&gt;er&lt;span class="_ _7"&gt;&lt;/span&gt;at&lt;span class="_ _7"&gt;&lt;/span&gt;ing n&lt;span class="_ _7"&gt;&lt;/span&gt;et p&lt;span class="_ _7"&gt;&lt;/span&gt;os&lt;span class="_ _7"&gt;&lt;/span&gt;iti&lt;span class="_ _7"&gt;&lt;/span&gt;ve c&lt;span class="_ _7"&gt;&lt;/span&gt;as&lt;span class="_ _7"&gt;&lt;/span&gt;h fl&lt;span class="_ _7"&gt;&lt;/span&gt;ows f&lt;span class="_ _7"&gt;&lt;/span&gt;or Volvo C&lt;span class="_ _7"&gt;&lt;/span&gt;ar Gr&lt;span class="_ _7"&gt;&lt;/span&gt;ou&lt;span class="_ _7"&gt;&lt;/span&gt;p. An i&lt;span class="_ _7"&gt;&lt;/span&gt;nt&lt;span class="_ _7"&gt;&lt;/span&gt;ang&lt;span class="_ _7"&gt;&lt;/span&gt;ib&lt;span class="_ _7"&gt;&lt;/span&gt;le &lt;/span&gt;&lt;span style="display:inherit;clear:left;"&gt;as&lt;span class="_ _7"&gt;&lt;/span&gt;s&lt;span class="_ _7"&gt;&lt;/span&gt;et w&lt;span class="_ _7"&gt;&lt;/span&gt;ith a&lt;span class="_ _7"&gt;&lt;/span&gt;n ind&lt;span class="_ _7"&gt;&lt;/span&gt;ef&lt;span class="_ _7"&gt;&lt;/span&gt;in&lt;span class="_ _7"&gt;&lt;/span&gt;ite u&lt;span class="_ _7"&gt;&lt;/span&gt;s&lt;span class="_ _7"&gt;&lt;/span&gt;ef&lt;span class="_ _7"&gt;&lt;/span&gt;ul li&lt;span class="_ _7"&gt;&lt;/span&gt;fe i&lt;span class="_ _7"&gt;&lt;/span&gt;s no&lt;span class="_ _7"&gt;&lt;/span&gt;t am&lt;span class="_ _7"&gt;&lt;/span&gt;or&lt;span class="_ _7"&gt;&lt;/span&gt;ti&lt;span class="_ _7"&gt;&lt;/span&gt;s&lt;span class="_ _7"&gt;&lt;/span&gt;ed&lt;span class="_ _7"&gt;&lt;/span&gt;. Th&lt;span class="_ _7"&gt;&lt;/span&gt;e fol&lt;span class="_ _7"&gt;&lt;/span&gt;low&lt;span class="_ _7"&gt;&lt;/span&gt;ing u&lt;span class="_ _7"&gt;&lt;/span&gt;se&lt;span class="_ _7"&gt;&lt;/span&gt;&lt;span class="ls3"&gt;-&lt;/span&gt;&lt;/span&gt;&lt;span style="display:inherit;clear:left;"&gt;fu&lt;span class="_ _7"&gt;&lt;/span&gt;l liv&lt;span class="_ _7"&gt;&lt;/span&gt;es a&lt;span class="_ _7"&gt;&lt;/span&gt;re ap&lt;span class="_ _7"&gt;&lt;/span&gt;pl&lt;span class="_ _7"&gt;&lt;/span&gt;ie&lt;span class="_ _7"&gt;&lt;/span&gt;d to int&lt;span class="_ _7"&gt;&lt;/span&gt;an&lt;span class="_ _7"&gt;&lt;/span&gt;gi&lt;span class="_ _7"&gt;&lt;/span&gt;ble a&lt;span class="_ _7"&gt;&lt;/span&gt;s&lt;span class="_ _7"&gt;&lt;/span&gt;se&lt;span class="_ _7"&gt;&lt;/span&gt;t&lt;span class="_ _7"&gt;&lt;/span&gt;s wit&lt;span class="_ _7"&gt;&lt;/span&gt;h fi&lt;span class="_ _7"&gt;&lt;/span&gt;nit&lt;span class="_ _7"&gt;&lt;/span&gt;e us&lt;span class="_ _7"&gt;&lt;/span&gt;ef&lt;span class="_ _7"&gt;&lt;/span&gt;ul l&lt;span class="_ _7"&gt;&lt;/span&gt;ive&lt;span class="_ _7"&gt;&lt;/span&gt;s&lt;span class="_ _7"&gt;&lt;/span&gt;: &lt;/span&gt;&lt;span style="display:inherit;clear:left;position:relative;height:59.5px;"&gt;&lt;span class="pp-font-color-override-1" style="position: absolute; display: inline-block; left: 0px; top: 0.0097656px; width: 328.975px; white-space: pre; word-spacing: -0.168px; letter-spacing: 0.1995px; margin-left: 0px; font-size: 10.5px; font-family: ff8a; -webkit-text-stroke: 0.1575px rgba(0, 0, 0, 0);"&gt;&lt;span style="display: inline-block;"&gt;Dealer network&lt;/span&gt;&lt;span style="word-spacing: -0.168px; letter-spacing: 0.1995px; display: inline-block; margin-left: 0px; width: 224.982px;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inline-block;"&gt;30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15.9785px; width: 332.086px; white-space: pre; word-spacing: -0.084px; letter-spacing: 0.084px; margin-left: 0px; font-size: 10.5px; font-family: ff8a; -webkit-text-stroke: 0.1575px rgba(0, 0, 0, 0);"&gt;&lt;span style="display: inline-block;"&gt;Sof&lt;/span&gt;&lt;span style="word-spacing: -0.084px; letter-spacing: 0.084px; display: inline-block; margin-left: 0px; width: 0.410156px; font-size: 10.5px; font-family: ff8a; -webkit-text-stroke: 0.1575px rgba(0, 0, 0, 0);"&gt;&lt;/span&gt;&lt;span style="display: inline-block;"&gt;t&lt;/span&gt;&lt;span style="word-spacing: -0.084px; letter-spacing: 0.084px; display: inline-block; margin-left: 0px; width: 0.410156px; font-size: 10.5px; font-family: ff8a; -webkit-text-stroke: 0.1575px rgba(0, 0, 0, 0);"&gt;&lt;/span&gt;&lt;span style="display: inline-block;"&gt;wa&lt;/span&gt;&lt;span style="word-spacing: -0.084px; letter-spacing: 0.084px; display: inline-block; margin-left: 0px; width: 0.410156px; font-size: 10.5px; font-family: ff8a; -webkit-text-stroke: 0.1575px rgba(0, 0, 0, 0);"&gt;&lt;/span&gt;&lt;span style="display: inline-block;"&gt;re&lt;/span&gt;&lt;span style="word-spacing: -0.084px; letter-spacing: 0.084px; display: inline-block; margin-left: 0px; width: 250.219px;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inline-block;"&gt;3–&lt;/span&gt;&lt;span style="word-spacing: 0px; letter-spacing: 0.0315px; display: inline-block; margin-left: 0px; width: 0.410156px; font-size: 10.5px; font-family: ff8a; -webkit-text-stroke: 0.1575px rgba(0, 0, 0, 0);"&gt;&lt;/span&gt;&lt;span style="display: inline-block;"&gt;8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31.9316px; width: 323.883px; white-space: pre; word-spacing: -0.189px; letter-spacing: 0.2205px; margin-left: 0px; font-size: 10.5px; font-family: ff8a; -webkit-text-stroke: 0.1575px rgba(0, 0, 0, 0);"&gt;&lt;span style="display: inline-block;"&gt;Product de&lt;/span&gt;&lt;span style="word-spacing: -0.189px; letter-spacing: 0.2205px; display: inline-block; margin-left: -0.684px; width: 0px; font-size: 10.5px; font-family: ff8a; -webkit-text-stroke: 0.1575px rgba(0, 0, 0, 0);"&gt;&lt;/span&gt;&lt;span style="display: inline-block;"&gt;velopment&lt;/span&gt;&lt;span style="word-spacing: -0.189px; letter-spacing: 0.2205px; display: inline-block; margin-left: 0px; width: 185.197px;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inline-block;"&gt;3–1&lt;/span&gt;&lt;span style="word-spacing: 0.3045px; letter-spacing: -0.273px; display: inline-block; margin-left: 0px; width: 0.410156px; font-size: 10.5px; font-family: ff8a; -webkit-text-stroke: 0.1575px rgba(0, 0, 0, 0);"&gt;&lt;/span&gt;&lt;span style="display: inline-block;"&gt;5&lt;/span&gt;&lt;span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0.410156px; font-size: 10.5px; font-family: ff8a; -webkit-text-stroke: 0.1575px rgba(0, 0, 0, 0);"&gt;&lt;/span&gt;&lt;span style="display: inline-block;"&gt;s&lt;/span&gt;&lt;/span&gt;&lt;/span&gt;&lt;span class="pp-font-color-override-1" style="position: absolute; display: inline-block; left: 0px; top: 47.8848px; width: 318.779px; white-space: pre; word-spacing: -0.231px; letter-spacing: 0.2625px; margin-left: 0px; font-size: 10.5px; font-family: ff8a; -webkit-text-stroke: 0.1575px rgba(0, 0, 0, 0);"&gt;&lt;span style="display: inline-block;"&gt;Pat&lt;/span&gt;&lt;span style="word-spacing: -0.231px; letter-spacing: 0.2625px; display: inline-block; margin-left: -0.684px; width: 0px; font-size: 10.5px; font-family: ff8a; -webkit-text-stroke: 0.1575px rgba(0, 0, 0, 0);"&gt;&lt;/span&gt;&lt;span style="display: inline-block;"&gt;ents, lice&lt;/span&gt;&lt;span style="word-spacing: -0.231px; letter-spacing: 0.2625px; display: inline-block; margin-left: -0.684px; width: 0px; font-size: 10.5px; font-family: ff8a; -webkit-text-stroke: 0.1575px rgba(0, 0, 0, 0);"&gt;&lt;/span&gt;&lt;span style="display: inline-block;"&gt;nces and si&lt;/span&gt;&lt;span style="word-spacing: -0.231px; letter-spacing: 0.2625px; display: inline-block; margin-left: -0.684px; width: 0px; font-size: 10.5px; font-family: ff8a; -webkit-text-stroke: 0.1575px rgba(0, 0, 0, 0);"&gt;&lt;/span&gt;&lt;span style="display: inline-block;"&gt;milar ri&lt;/span&gt;&lt;span style="word-spacing: -0.231px; letter-spacing: 0.2625px; display: inline-block; margin-left: -0.684px; width: 0px; font-size: 10.5px; font-family: ff8a; -webkit-text-stroke: 0.1575px rgba(0, 0, 0, 0);"&gt;&lt;/span&gt;&lt;span style="display: inline-block;"&gt;ghts&lt;/span&gt;&lt;span style="word-spacing: -0.231px; letter-spacing: 0.2625px; display: inline-block; margin-left: 0px; width: 120.586px;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inline-block;"&gt;3&lt;/span&gt;&lt;span style="word-spacing: 0.3045px; letter-spacing: -0.273px; display: inline-block; margin-left: 0px; width: 0.925781px; font-size: 10.5px; font-family: ff8a; -webkit-text-stroke: 0.1575px rgba(0, 0, 0, 0);"&gt;&lt;/span&gt;&lt;span style="display: inline-block;"&gt;–10&lt;/span&gt;&lt;span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0.925781px; font-size: 10.5px; font-family: ff8a; -webkit-text-stroke: 0.1575px rgba(0, 0, 0, 0);"&gt;&lt;/span&gt;&lt;span style="display: inline-block;"&gt;s&lt;/span&gt;&lt;/span&gt;&lt;/span&gt;&lt;/span&gt;&lt;span style="display:inherit;clear:left;"&gt;Am&lt;span class="_ _7"&gt;&lt;/span&gt;or&lt;span class="_ _7"&gt;&lt;/span&gt;ti&lt;span class="_ _7"&gt;&lt;/span&gt;s&lt;span class="_ _7"&gt;&lt;/span&gt;ati&lt;span class="_ _7"&gt;&lt;/span&gt;on i&lt;span class="_ _7"&gt;&lt;/span&gt;s inc&lt;span class="_ _7"&gt;&lt;/span&gt;lud&lt;span class="_ _7"&gt;&lt;/span&gt;ed i&lt;span class="_ _7"&gt;&lt;/span&gt;n co&lt;span class="_ _7"&gt;&lt;/span&gt;s&lt;span class="_ _7"&gt;&lt;/span&gt;t of s&lt;span class="_ _7"&gt;&lt;/span&gt;al&lt;span class="_ _7"&gt;&lt;/span&gt;es&lt;span class="_ _7"&gt;&lt;/span&gt;, re&lt;span class="_ _7"&gt;&lt;/span&gt;s&lt;span class="_ _7"&gt;&lt;/span&gt;ea&lt;span class="_ _7"&gt;&lt;/span&gt;rch a&lt;span class="_ _7"&gt;&lt;/span&gt;nd d&lt;span class="_ _7"&gt;&lt;/span&gt;eve&lt;span class="_ _7"&gt;&lt;/span&gt;lop&lt;span class="_ _7"&gt;&lt;/span&gt;me&lt;span class="_ _7"&gt;&lt;/span&gt;nt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_7"&gt;&lt;/span&gt;s&lt;span class="_ _7"&gt;&lt;/span&gt;, de&lt;span class="_ _7"&gt;&lt;/span&gt;pe&lt;span class="_ _7"&gt;&lt;/span&gt;nd&lt;span class="_ _7"&gt;&lt;/span&gt;ing &lt;/span&gt;&lt;span style="display:inherit;clear:left;"&gt;&lt;span&gt;&lt;span style="display:inherit;clear:left;"&gt;on h&lt;span class="_ _7"&gt;&lt;/span&gt;ow the a&lt;span class="_ _7"&gt;&lt;/span&gt;s&lt;span class="_ _7"&gt;&lt;/span&gt;s&lt;span class="_ _7"&gt;&lt;/span&gt;et&lt;span class="_ _7"&gt;&lt;/span&gt;s hav&lt;span class="_ _7"&gt;&lt;/span&gt;e be&lt;span class="_ _7"&gt;&lt;/span&gt;en u&lt;span class="_ _7"&gt;&lt;/span&gt;se&lt;span class="_ _7"&gt;&lt;/span&gt;d. A&lt;span class="_ _7"&gt;&lt;/span&gt;mo&lt;span class="_ _7"&gt;&lt;/span&gt;r&lt;span class="_ _7"&gt;&lt;/span&gt;ti&lt;span class="_ _7"&gt;&lt;/span&gt;s&lt;span class="_ _7"&gt;&lt;/span&gt;ati&lt;span class="_ _7"&gt;&lt;/span&gt;on of i&lt;span class="_ _7"&gt;&lt;/span&gt;nt&lt;span class="_ _7"&gt;&lt;/span&gt;ang&lt;span class="_ _7"&gt;&lt;/span&gt;ib&lt;span class="_ _7"&gt;&lt;/span&gt;le as&lt;span class="_ _7"&gt;&lt;/span&gt;s&lt;span class="_ _7"&gt;&lt;/span&gt;et&lt;span class="_ _7"&gt;&lt;/span&gt;s&lt;/span&gt;&lt;/span&gt; &lt;/span&gt;&lt;span style="display:inherit;clear:left;"&gt;re&lt;span class="_ _7"&gt;&lt;/span&gt;lat&lt;span class="_ _7"&gt;&lt;/span&gt;ed to v&lt;span class="_ _7"&gt;&lt;/span&gt;ehi&lt;span class="_ _7"&gt;&lt;/span&gt;cle p&lt;span class="_ _7"&gt;&lt;/span&gt;l&lt;span class="_ _7"&gt;&lt;/span&gt;at&lt;span class="_ _7"&gt;&lt;/span&gt;fo&lt;span class="_ _7"&gt;&lt;/span&gt;rm&lt;span class="_ _7"&gt;&lt;/span&gt;s are i&lt;span class="_ _7"&gt;&lt;/span&gt;nc&lt;span class="_ _7"&gt;&lt;/span&gt;lud&lt;span class="_ _7"&gt;&lt;/span&gt;ed i&lt;span class="_ _7"&gt;&lt;/span&gt;n re&lt;span class="_ _7"&gt;&lt;/span&gt;se&lt;span class="_ _7"&gt;&lt;/span&gt;ar&lt;span class="_ _7"&gt;&lt;/span&gt;ch an&lt;span class="_ _7"&gt;&lt;/span&gt;d de&lt;span class="_ _7"&gt;&lt;/span&gt;velo&lt;span class="_ _7"&gt;&lt;/span&gt;p-&lt;/span&gt;&lt;span style="display:inherit;clear:left;"&gt;me&lt;span class="_ _7"&gt;&lt;/span&gt;nt exp&lt;span class="_ _7"&gt;&lt;/span&gt;en&lt;span class="_ _7"&gt;&lt;/span&gt;s&lt;span class="_ _7"&gt;&lt;/span&gt;es&lt;span class="_ _7"&gt;&lt;/span&gt;.&lt;/span&gt;</t>
  </si>
  <si>
    <t>f1__s8__6__126-1</t>
  </si>
  <si>
    <t>ifrs-full:DescriptionOfAccountingPolicyForDepreciationExpenseExplanatory</t>
  </si>
  <si>
    <t>&lt;span style="display:inherit;clear:left;"&gt;Amortisation methods f&lt;span class="_ _2"&gt;&lt;/span&gt;or intangible assets&lt;/span&gt;&lt;span style="display:inherit;clear:left;"&gt;Int&lt;span class="_ _7"&gt;&lt;/span&gt;ang&lt;span class="_ _7"&gt;&lt;/span&gt;ib&lt;span class="_ _7"&gt;&lt;/span&gt;le a&lt;span class="_ _7"&gt;&lt;/span&gt;s&lt;span class="_ _7"&gt;&lt;/span&gt;se&lt;span class="_ _7"&gt;&lt;/span&gt;ts w&lt;span class="_ _7"&gt;&lt;/span&gt;ith f&lt;span class="_ _7"&gt;&lt;/span&gt;in&lt;span class="_ _7"&gt;&lt;/span&gt;ite u&lt;span class="_ _7"&gt;&lt;/span&gt;s&lt;span class="_ _7"&gt;&lt;/span&gt;ef&lt;span class="_ _7"&gt;&lt;/span&gt;ul li&lt;span class="_ _7"&gt;&lt;/span&gt;ve&lt;span class="_ _7"&gt;&lt;/span&gt;s ar&lt;span class="_ _7"&gt;&lt;/span&gt;e amo&lt;span class="_ _7"&gt;&lt;/span&gt;r&lt;span class="_ _7"&gt;&lt;/span&gt;ti&lt;span class="_ _7"&gt;&lt;/span&gt;se&lt;span class="_ _7"&gt;&lt;/span&gt;d on a s&lt;span class="_ _7"&gt;&lt;/span&gt;tr&lt;span class="_ _7"&gt;&lt;/span&gt;ai&lt;span class="_ _7"&gt;&lt;/span&gt;ght-&lt;/span&gt;&lt;span style="display:inherit;clear:left;"&gt;lin&lt;span class="_ _7"&gt;&lt;/span&gt;e ba&lt;span class="_ _7"&gt;&lt;/span&gt;si&lt;span class="_ _7"&gt;&lt;/span&gt;s ove&lt;span class="_ _7"&gt;&lt;/span&gt;r the&lt;span class="_ _7"&gt;&lt;/span&gt;ir r&lt;span class="_ _7"&gt;&lt;/span&gt;es&lt;span class="_ _7"&gt;&lt;/span&gt;pe&lt;span class="_ _7"&gt;&lt;/span&gt;ct&lt;span class="_ _7"&gt;&lt;/span&gt;ive ex&lt;span class="_ _7"&gt;&lt;/span&gt;p&lt;span class="_ _7"&gt;&lt;/span&gt;ec&lt;span class="_ _7"&gt;&lt;/span&gt;ted u&lt;span class="_ _7"&gt;&lt;/span&gt;s&lt;span class="_ _7"&gt;&lt;/span&gt;ef&lt;span class="_ _7"&gt;&lt;/span&gt;ul li&lt;span class="_ _7"&gt;&lt;/span&gt;ve&lt;span class="_ _7"&gt;&lt;/span&gt;s&lt;span class="_ _7"&gt;&lt;/span&gt;. Wh&lt;span class="_ _7"&gt;&lt;/span&gt;en as&lt;span class="_ _7"&gt;&lt;/span&gt;s&lt;span class="_ _7"&gt;&lt;/span&gt;et&lt;span class="_ _7"&gt;&lt;/span&gt;s &lt;/span&gt;&lt;span style="display:inherit;clear:left;"&gt;are u&lt;span class="_ _7"&gt;&lt;/span&gt;s&lt;span class="_ _7"&gt;&lt;/span&gt;ed o&lt;span class="_ _7"&gt;&lt;/span&gt;nly in t&lt;span class="_ _7"&gt;&lt;/span&gt;he p&lt;span class="_ _7"&gt;&lt;/span&gt;ro&lt;span class="_ _7"&gt;&lt;/span&gt;duc&lt;span class="_ _7"&gt;&lt;/span&gt;ti&lt;span class="_ _7"&gt;&lt;/span&gt;on o&lt;span class="_ _7"&gt;&lt;/span&gt;f a sp&lt;span class="_ _7"&gt;&lt;/span&gt;eci&lt;span class="_ _7"&gt;&lt;/span&gt;f&lt;span class="_ _7"&gt;&lt;/span&gt;ic ve&lt;span class="_ _7"&gt;&lt;/span&gt;hi&lt;span class="_ _7"&gt;&lt;/span&gt;cle o&lt;span class="_ _7"&gt;&lt;/span&gt;r pl&lt;span class="_ _7"&gt;&lt;/span&gt;at&lt;span class="_ _7"&gt;&lt;/span&gt;fo&lt;span class="_ _7"&gt;&lt;/span&gt;rm&lt;span class="_ _7"&gt;&lt;/span&gt;, th&lt;span class="_ _7"&gt;&lt;/span&gt;e &lt;/span&gt;&lt;span style="display:inherit;clear:left;"&gt;us&lt;span class="_ _7"&gt;&lt;/span&gt;ef&lt;span class="_ _7"&gt;&lt;/span&gt;ul l&lt;span class="_ _7"&gt;&lt;/span&gt;if&lt;span class="_ _7"&gt;&lt;/span&gt;e of th&lt;span class="_ _7"&gt;&lt;/span&gt;e as&lt;span class="_ _7"&gt;&lt;/span&gt;s&lt;span class="_ _7"&gt;&lt;/span&gt;et&lt;span class="_ _7"&gt;&lt;/span&gt;s i&lt;span class="_ _7"&gt;&lt;/span&gt;s alig&lt;span class="_ _7"&gt;&lt;/span&gt;ne&lt;span class="_ _7"&gt;&lt;/span&gt;d wi&lt;span class="_ _7"&gt;&lt;/span&gt;th th&lt;span class="_ _7"&gt;&lt;/span&gt;e pr&lt;span class="_ _7"&gt;&lt;/span&gt;od&lt;span class="_ _7"&gt;&lt;/span&gt;uc&lt;span class="_ _7"&gt;&lt;/span&gt;tio&lt;span class="_ _7"&gt;&lt;/span&gt;n pe&lt;span class="_ _7"&gt;&lt;/span&gt;ri&lt;span class="_ _7"&gt;&lt;/span&gt;od f&lt;span class="_ _7"&gt;&lt;/span&gt;or th&lt;span class="_ _7"&gt;&lt;/span&gt;at &lt;/span&gt;&lt;span style="display:inherit;clear:left;"&gt;vehicle&lt;span class="_ _2"&gt;&lt;/span&gt; or platform&lt;span class="_ _7"&gt;&lt;/span&gt;. The&lt;span class="_ _2"&gt;&lt;/span&gt; amor&lt;span class="_ _7"&gt;&lt;/span&gt;tisation period for&lt;span class="_ _2"&gt;&lt;/span&gt; contractual rights &lt;/span&gt;&lt;span style="display:inherit;clear:left;"&gt;su&lt;span class="_ _7"&gt;&lt;/span&gt;ch as l&lt;span class="_ _7"&gt;&lt;/span&gt;ice&lt;span class="_ _7"&gt;&lt;/span&gt;nc&lt;span class="_ _7"&gt;&lt;/span&gt;e&lt;span class="_ _7"&gt;&lt;/span&gt;s do&lt;span class="_ _7"&gt;&lt;/span&gt;es n&lt;span class="_ _7"&gt;&lt;/span&gt;ot exce&lt;span class="_ _7"&gt;&lt;/span&gt;e&lt;span class="_ _7"&gt;&lt;/span&gt;d the c&lt;span class="_ _7"&gt;&lt;/span&gt;ont&lt;span class="_ _7"&gt;&lt;/span&gt;ra&lt;span class="_ _7"&gt;&lt;/span&gt;ct p&lt;span class="_ _7"&gt;&lt;/span&gt;er&lt;span class="_ _7"&gt;&lt;/span&gt;io&lt;span class="_ _7"&gt;&lt;/span&gt;d. A&lt;span class="_ _7"&gt;&lt;/span&gt;ll in&lt;span class="_ _7"&gt;&lt;/span&gt;ta&lt;span class="_ _7"&gt;&lt;/span&gt;ngi&lt;span class="_ _7"&gt;&lt;/span&gt;bl&lt;span class="_ _7"&gt;&lt;/span&gt;e &lt;/span&gt;&lt;span style="display:inherit;clear:left;"&gt;as&lt;span class="_ _7"&gt;&lt;/span&gt;s&lt;span class="_ _7"&gt;&lt;/span&gt;et&lt;span class="_ _7"&gt;&lt;/span&gt;s ar&lt;span class="_ _7"&gt;&lt;/span&gt;e con&lt;span class="_ _7"&gt;&lt;/span&gt;si&lt;span class="_ _7"&gt;&lt;/span&gt;de&lt;span class="_ _7"&gt;&lt;/span&gt;re&lt;span class="_ _7"&gt;&lt;/span&gt;d to ha&lt;span class="_ _7"&gt;&lt;/span&gt;ve a fi&lt;span class="_ _7"&gt;&lt;/span&gt;ni&lt;span class="_ _7"&gt;&lt;/span&gt;te us&lt;span class="_ _7"&gt;&lt;/span&gt;ef&lt;span class="_ _7"&gt;&lt;/span&gt;ul l&lt;span class="_ _7"&gt;&lt;/span&gt;if&lt;span class="_ _7"&gt;&lt;/span&gt;e, wi&lt;span class="_ _7"&gt;&lt;/span&gt;th th&lt;span class="_ _7"&gt;&lt;/span&gt;e exce&lt;span class="_ _7"&gt;&lt;/span&gt;pti&lt;span class="_ _7"&gt;&lt;/span&gt;on &lt;/span&gt;&lt;span style="display:inherit;clear:left;"&gt;of goodwill a&lt;span class="_ _2"&gt;&lt;/span&gt;nd trademarks. T&lt;span class="_ _6"&gt;&lt;/span&gt;r&lt;span class="_ _7"&gt;&lt;/span&gt;ademarks are&lt;span class="_ _2"&gt;&lt;/span&gt; as&lt;span class="_ _7"&gt;&lt;/span&gt;sumed to&lt;span class="_ _2"&gt;&lt;/span&gt; have indefi&lt;span class="ls3 ws3"&gt;-&lt;/span&gt;&lt;/span&gt;&lt;span style="display:inherit;clear:left;"&gt;nit&lt;span class="_ _7"&gt;&lt;/span&gt;e us&lt;span class="_ _7"&gt;&lt;/span&gt;ef&lt;span class="_ _7"&gt;&lt;/span&gt;ul l&lt;span class="_ _7"&gt;&lt;/span&gt;ive&lt;span class="_ _7"&gt;&lt;/span&gt;s s&lt;span class="_ _7"&gt;&lt;/span&gt;inc&lt;span class="_ _7"&gt;&lt;/span&gt;e Volvo Ca&lt;span class="_ _7"&gt;&lt;/span&gt;r Gr&lt;span class="_ _7"&gt;&lt;/span&gt;oup h&lt;span class="_ _7"&gt;&lt;/span&gt;as t&lt;span class="_ _7"&gt;&lt;/span&gt;he r&lt;span class="_ _7"&gt;&lt;/span&gt;igh&lt;span class="_ _7"&gt;&lt;/span&gt;t an&lt;span class="_ _7"&gt;&lt;/span&gt;d the i&lt;span class="_ _7"&gt;&lt;/span&gt;nte&lt;span class="_ _7"&gt;&lt;/span&gt;ntio&lt;span class="_ _7"&gt;&lt;/span&gt;n &lt;/span&gt;&lt;span style="display:inherit;clear:left;"&gt;to co&lt;span class="_ _7"&gt;&lt;/span&gt;nti&lt;span class="_ _7"&gt;&lt;/span&gt;nue to u&lt;span class="_ _7"&gt;&lt;/span&gt;s&lt;span class="_ _7"&gt;&lt;/span&gt;e the t&lt;span class="_ _7"&gt;&lt;/span&gt;ra&lt;span class="_ _7"&gt;&lt;/span&gt;de&lt;span class="_ _7"&gt;&lt;/span&gt;ma&lt;span class="_ _7"&gt;&lt;/span&gt;rks f&lt;span class="_ _7"&gt;&lt;/span&gt;or th&lt;span class="_ _7"&gt;&lt;/span&gt;e fo&lt;span class="_ _7"&gt;&lt;/span&gt;re&lt;span class="_ _7"&gt;&lt;/span&gt;se&lt;span class="_ _7"&gt;&lt;/span&gt;e&lt;span class="_ _7"&gt;&lt;/span&gt;abl&lt;span class="_ _7"&gt;&lt;/span&gt;e fu&lt;span class="_ _7"&gt;&lt;/span&gt;tur&lt;span class="_ _7"&gt;&lt;/span&gt;e, w&lt;span class="_ _7"&gt;&lt;/span&gt;hil&lt;span class="_ _7"&gt;&lt;/span&gt;e &lt;/span&gt;&lt;span style="display:inherit;clear:left;"&gt;gen&lt;span class="_ _7"&gt;&lt;/span&gt;er&lt;span class="_ _7"&gt;&lt;/span&gt;at&lt;span class="_ _7"&gt;&lt;/span&gt;ing n&lt;span class="_ _7"&gt;&lt;/span&gt;et p&lt;span class="_ _7"&gt;&lt;/span&gt;os&lt;span class="_ _7"&gt;&lt;/span&gt;iti&lt;span class="_ _7"&gt;&lt;/span&gt;ve c&lt;span class="_ _7"&gt;&lt;/span&gt;as&lt;span class="_ _7"&gt;&lt;/span&gt;h fl&lt;span class="_ _7"&gt;&lt;/span&gt;ows f&lt;span class="_ _7"&gt;&lt;/span&gt;or Volvo C&lt;span class="_ _7"&gt;&lt;/span&gt;ar Gr&lt;span class="_ _7"&gt;&lt;/span&gt;ou&lt;span class="_ _7"&gt;&lt;/span&gt;p. An i&lt;span class="_ _7"&gt;&lt;/span&gt;nt&lt;span class="_ _7"&gt;&lt;/span&gt;ang&lt;span class="_ _7"&gt;&lt;/span&gt;ib&lt;span class="_ _7"&gt;&lt;/span&gt;le &lt;/span&gt;&lt;span style="display:inherit;clear:left;"&gt;as&lt;span class="_ _7"&gt;&lt;/span&gt;s&lt;span class="_ _7"&gt;&lt;/span&gt;et w&lt;span class="_ _7"&gt;&lt;/span&gt;ith a&lt;span class="_ _7"&gt;&lt;/span&gt;n ind&lt;span class="_ _7"&gt;&lt;/span&gt;ef&lt;span class="_ _7"&gt;&lt;/span&gt;in&lt;span class="_ _7"&gt;&lt;/span&gt;ite u&lt;span class="_ _7"&gt;&lt;/span&gt;s&lt;span class="_ _7"&gt;&lt;/span&gt;ef&lt;span class="_ _7"&gt;&lt;/span&gt;ul li&lt;span class="_ _7"&gt;&lt;/span&gt;fe i&lt;span class="_ _7"&gt;&lt;/span&gt;s no&lt;span class="_ _7"&gt;&lt;/span&gt;t am&lt;span class="_ _7"&gt;&lt;/span&gt;or&lt;span class="_ _7"&gt;&lt;/span&gt;ti&lt;span class="_ _7"&gt;&lt;/span&gt;s&lt;span class="_ _7"&gt;&lt;/span&gt;ed&lt;span class="_ _7"&gt;&lt;/span&gt;. Th&lt;span class="_ _7"&gt;&lt;/span&gt;e fol&lt;span class="_ _7"&gt;&lt;/span&gt;low&lt;span class="_ _7"&gt;&lt;/span&gt;ing u&lt;span class="_ _7"&gt;&lt;/span&gt;se&lt;span class="_ _7"&gt;&lt;/span&gt;&lt;span class="ls3"&gt;-&lt;/span&gt;&lt;/span&gt;&lt;span style="display:inherit;clear:left;"&gt;fu&lt;span class="_ _7"&gt;&lt;/span&gt;l liv&lt;span class="_ _7"&gt;&lt;/span&gt;es a&lt;span class="_ _7"&gt;&lt;/span&gt;re ap&lt;span class="_ _7"&gt;&lt;/span&gt;pl&lt;span class="_ _7"&gt;&lt;/span&gt;ie&lt;span class="_ _7"&gt;&lt;/span&gt;d to int&lt;span class="_ _7"&gt;&lt;/span&gt;an&lt;span class="_ _7"&gt;&lt;/span&gt;gi&lt;span class="_ _7"&gt;&lt;/span&gt;ble a&lt;span class="_ _7"&gt;&lt;/span&gt;s&lt;span class="_ _7"&gt;&lt;/span&gt;se&lt;span class="_ _7"&gt;&lt;/span&gt;t&lt;span class="_ _7"&gt;&lt;/span&gt;s wit&lt;span class="_ _7"&gt;&lt;/span&gt;h fi&lt;span class="_ _7"&gt;&lt;/span&gt;nit&lt;span class="_ _7"&gt;&lt;/span&gt;e us&lt;span class="_ _7"&gt;&lt;/span&gt;ef&lt;span class="_ _7"&gt;&lt;/span&gt;ul l&lt;span class="_ _7"&gt;&lt;/span&gt;ive&lt;span class="_ _7"&gt;&lt;/span&gt;s&lt;span class="_ _7"&gt;&lt;/span&gt;: &lt;/span&gt;&lt;span style="display:inherit;clear:left;position:relative;height:59.5px;"&gt;&lt;span class="pp-font-color-override-1" style="position: absolute; display: inline-block; left: 0px; top: 0.0097656px; width: 328.975px; white-space: pre; word-spacing: -0.168px; letter-spacing: 0.1995px; margin-left: 0px; font-size: 10.5px; font-family: ff8a; -webkit-text-stroke: 0.1575px rgba(0, 0, 0, 0);"&gt;&lt;span style="display: inline-block;"&gt;Dealer network&lt;/span&gt;&lt;span style="word-spacing: -0.168px; letter-spacing: 0.1995px; display: inline-block; margin-left: 0px; width: 224.982px;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inline-block;"&gt;30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15.9785px; width: 332.086px; white-space: pre; word-spacing: -0.084px; letter-spacing: 0.084px; margin-left: 0px; font-size: 10.5px; font-family: ff8a; -webkit-text-stroke: 0.1575px rgba(0, 0, 0, 0);"&gt;&lt;span style="display: inline-block;"&gt;Sof&lt;/span&gt;&lt;span style="word-spacing: -0.084px; letter-spacing: 0.084px; display: inline-block; margin-left: 0px; width: 0.410156px; font-size: 10.5px; font-family: ff8a; -webkit-text-stroke: 0.1575px rgba(0, 0, 0, 0);"&gt;&lt;/span&gt;&lt;span style="display: inline-block;"&gt;t&lt;/span&gt;&lt;span style="word-spacing: -0.084px; letter-spacing: 0.084px; display: inline-block; margin-left: 0px; width: 0.410156px; font-size: 10.5px; font-family: ff8a; -webkit-text-stroke: 0.1575px rgba(0, 0, 0, 0);"&gt;&lt;/span&gt;&lt;span style="display: inline-block;"&gt;wa&lt;/span&gt;&lt;span style="word-spacing: -0.084px; letter-spacing: 0.084px; display: inline-block; margin-left: 0px; width: 0.410156px; font-size: 10.5px; font-family: ff8a; -webkit-text-stroke: 0.1575px rgba(0, 0, 0, 0);"&gt;&lt;/span&gt;&lt;span style="display: inline-block;"&gt;re&lt;/span&gt;&lt;span style="word-spacing: -0.084px; letter-spacing: 0.084px; display: inline-block; margin-left: 0px; width: 250.219px; font-size: 10.5px; font-family: ff8a; -webkit-text-stroke: 0.1575px rgba(0, 0, 0, 0);"&gt;&lt;span style="display: inline-block;"&gt; &lt;/span&gt;&lt;/span&gt;&lt;span class="pp-font-color-override-1" style="word-spacing: 0px; letter-spacing: 0.0315px; display: inline-block; margin-left: 0px; font-size: 10.5px; font-family: ff8a; -webkit-text-stroke: 0.1575px rgba(0, 0, 0, 0);"&gt;&lt;span style="display: inline-block;"&gt;3–&lt;/span&gt;&lt;span style="word-spacing: 0px; letter-spacing: 0.0315px; display: inline-block; margin-left: 0px; width: 0.410156px; font-size: 10.5px; font-family: ff8a; -webkit-text-stroke: 0.1575px rgba(0, 0, 0, 0);"&gt;&lt;/span&gt;&lt;span style="display: inline-block;"&gt;8 ye&lt;/span&gt;&lt;span style="word-spacing: 0px; letter-spacing: 0.0315px; display: inline-block; margin-left: 0px; width: 0.410156px; font-size: 10.5px; font-family: ff8a; -webkit-text-stroke: 0.1575px rgba(0, 0, 0, 0);"&gt;&lt;/span&gt;&lt;span style="display: inline-block;"&gt;ar&lt;/span&gt;&lt;span style="word-spacing: 0px; letter-spacing: 0.0315px; display: inline-block; margin-left: 0px; width: 0.410156px; font-size: 10.5px; font-family: ff8a; -webkit-text-stroke: 0.1575px rgba(0, 0, 0, 0);"&gt;&lt;/span&gt;&lt;span style="display: inline-block;"&gt;s&lt;/span&gt;&lt;/span&gt;&lt;/span&gt;&lt;span class="pp-font-color-override-1" style="position: absolute; display: inline-block; left: 0px; top: 31.9316px; width: 323.883px; white-space: pre; word-spacing: -0.189px; letter-spacing: 0.2205px; margin-left: 0px; font-size: 10.5px; font-family: ff8a; -webkit-text-stroke: 0.1575px rgba(0, 0, 0, 0);"&gt;&lt;span style="display: inline-block;"&gt;Product de&lt;/span&gt;&lt;span style="word-spacing: -0.189px; letter-spacing: 0.2205px; display: inline-block; margin-left: -0.684px; width: 0px; font-size: 10.5px; font-family: ff8a; -webkit-text-stroke: 0.1575px rgba(0, 0, 0, 0);"&gt;&lt;/span&gt;&lt;span style="display: inline-block;"&gt;velopment&lt;/span&gt;&lt;span style="word-spacing: -0.189px; letter-spacing: 0.2205px; display: inline-block; margin-left: 0px; width: 185.197px;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inline-block;"&gt;3–1&lt;/span&gt;&lt;span style="word-spacing: 0.3045px; letter-spacing: -0.273px; display: inline-block; margin-left: 0px; width: 0.410156px; font-size: 10.5px; font-family: ff8a; -webkit-text-stroke: 0.1575px rgba(0, 0, 0, 0);"&gt;&lt;/span&gt;&lt;span style="display: inline-block;"&gt;5&lt;/span&gt;&lt;span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0.410156px; font-size: 10.5px; font-family: ff8a; -webkit-text-stroke: 0.1575px rgba(0, 0, 0, 0);"&gt;&lt;/span&gt;&lt;span style="display: inline-block;"&gt;s&lt;/span&gt;&lt;/span&gt;&lt;/span&gt;&lt;span class="pp-font-color-override-1" style="position: absolute; display: inline-block; left: 0px; top: 47.8848px; width: 318.779px; white-space: pre; word-spacing: -0.231px; letter-spacing: 0.2625px; margin-left: 0px; font-size: 10.5px; font-family: ff8a; -webkit-text-stroke: 0.1575px rgba(0, 0, 0, 0);"&gt;&lt;span style="display: inline-block;"&gt;Pat&lt;/span&gt;&lt;span style="word-spacing: -0.231px; letter-spacing: 0.2625px; display: inline-block; margin-left: -0.684px; width: 0px; font-size: 10.5px; font-family: ff8a; -webkit-text-stroke: 0.1575px rgba(0, 0, 0, 0);"&gt;&lt;/span&gt;&lt;span style="display: inline-block;"&gt;ents, lice&lt;/span&gt;&lt;span style="word-spacing: -0.231px; letter-spacing: 0.2625px; display: inline-block; margin-left: -0.684px; width: 0px; font-size: 10.5px; font-family: ff8a; -webkit-text-stroke: 0.1575px rgba(0, 0, 0, 0);"&gt;&lt;/span&gt;&lt;span style="display: inline-block;"&gt;nces and si&lt;/span&gt;&lt;span style="word-spacing: -0.231px; letter-spacing: 0.2625px; display: inline-block; margin-left: -0.684px; width: 0px; font-size: 10.5px; font-family: ff8a; -webkit-text-stroke: 0.1575px rgba(0, 0, 0, 0);"&gt;&lt;/span&gt;&lt;span style="display: inline-block;"&gt;milar ri&lt;/span&gt;&lt;span style="word-spacing: -0.231px; letter-spacing: 0.2625px; display: inline-block; margin-left: -0.684px; width: 0px; font-size: 10.5px; font-family: ff8a; -webkit-text-stroke: 0.1575px rgba(0, 0, 0, 0);"&gt;&lt;/span&gt;&lt;span style="display: inline-block;"&gt;ghts&lt;/span&gt;&lt;span style="word-spacing: -0.231px; letter-spacing: 0.2625px; display: inline-block; margin-left: 0px; width: 120.586px; font-size: 10.5px; font-family: ff8a; -webkit-text-stroke: 0.1575px rgba(0, 0, 0, 0);"&gt;&lt;span style="display: inline-block;"&gt; &lt;/span&gt;&lt;/span&gt;&lt;span class="pp-font-color-override-1" style="word-spacing: 0.3045px; letter-spacing: -0.273px; display: inline-block; margin-left: 0px; font-size: 10.5px; font-family: ff8a; -webkit-text-stroke: 0.1575px rgba(0, 0, 0, 0);"&gt;&lt;span style="display: inline-block;"&gt;3&lt;/span&gt;&lt;span style="word-spacing: 0.3045px; letter-spacing: -0.273px; display: inline-block; margin-left: 0px; width: 0.925781px; font-size: 10.5px; font-family: ff8a; -webkit-text-stroke: 0.1575px rgba(0, 0, 0, 0);"&gt;&lt;/span&gt;&lt;span style="display: inline-block;"&gt;–10&lt;/span&gt;&lt;span style="word-spacing: 0.3045px; letter-spacing: -0.273px; display: inline-block; margin-left: 0px; width: 0.410156px; font-size: 10.5px; font-family: ff8a; -webkit-text-stroke: 0.1575px rgba(0, 0, 0, 0);"&gt;&lt;/span&gt;&lt;span style="display: inline-block;"&gt;&lt;span style="width: 2.66016px; display: inline-block;"&gt; &lt;/span&gt;y&lt;/span&gt;&lt;span style="word-spacing: 0.3045px; letter-spacing: -0.273px; display: inline-block; margin-left: 0px; width: 0.410156px; font-size: 10.5px; font-family: ff8a; -webkit-text-stroke: 0.1575px rgba(0, 0, 0, 0);"&gt;&lt;/span&gt;&lt;span style="display: inline-block;"&gt;e&lt;/span&gt;&lt;span style="word-spacing: 0.3045px; letter-spacing: -0.273px; display: inline-block; margin-left: 0px; width: 0.410156px; font-size: 10.5px; font-family: ff8a; -webkit-text-stroke: 0.1575px rgba(0, 0, 0, 0);"&gt;&lt;/span&gt;&lt;span style="display: inline-block;"&gt;a&lt;/span&gt;&lt;span style="word-spacing: 0.3045px; letter-spacing: -0.273px; display: inline-block; margin-left: 0px; width: 0.410156px; font-size: 10.5px; font-family: ff8a; -webkit-text-stroke: 0.1575px rgba(0, 0, 0, 0);"&gt;&lt;/span&gt;&lt;span style="display: inline-block;"&gt;r&lt;/span&gt;&lt;span style="word-spacing: 0.3045px; letter-spacing: -0.273px; display: inline-block; margin-left: 0px; width: 0.925781px; font-size: 10.5px; font-family: ff8a; -webkit-text-stroke: 0.1575px rgba(0, 0, 0, 0);"&gt;&lt;/span&gt;&lt;span style="display: inline-block;"&gt;s&lt;/span&gt;&lt;/span&gt;&lt;/span&gt;&lt;/span&gt;&lt;span style="display:inherit;clear:left;"&gt;Am&lt;span class="_ _7"&gt;&lt;/span&gt;or&lt;span class="_ _7"&gt;&lt;/span&gt;ti&lt;span class="_ _7"&gt;&lt;/span&gt;s&lt;span class="_ _7"&gt;&lt;/span&gt;ati&lt;span class="_ _7"&gt;&lt;/span&gt;on i&lt;span class="_ _7"&gt;&lt;/span&gt;s inc&lt;span class="_ _7"&gt;&lt;/span&gt;lud&lt;span class="_ _7"&gt;&lt;/span&gt;ed i&lt;span class="_ _7"&gt;&lt;/span&gt;n co&lt;span class="_ _7"&gt;&lt;/span&gt;s&lt;span class="_ _7"&gt;&lt;/span&gt;t of s&lt;span class="_ _7"&gt;&lt;/span&gt;al&lt;span class="_ _7"&gt;&lt;/span&gt;es&lt;span class="_ _7"&gt;&lt;/span&gt;, re&lt;span class="_ _7"&gt;&lt;/span&gt;s&lt;span class="_ _7"&gt;&lt;/span&gt;ea&lt;span class="_ _7"&gt;&lt;/span&gt;rch a&lt;span class="_ _7"&gt;&lt;/span&gt;nd d&lt;span class="_ _7"&gt;&lt;/span&gt;eve&lt;span class="_ _7"&gt;&lt;/span&gt;lop&lt;span class="_ _7"&gt;&lt;/span&gt;me&lt;span class="_ _7"&gt;&lt;/span&gt;nt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_7"&gt;&lt;/span&gt;s&lt;span class="_ _7"&gt;&lt;/span&gt;, de&lt;span class="_ _7"&gt;&lt;/span&gt;pe&lt;span class="_ _7"&gt;&lt;/span&gt;nd&lt;span class="_ _7"&gt;&lt;/span&gt;ing &lt;/span&gt;&lt;span style="display:inherit;clear:left;"&gt;on h&lt;span class="_ _7"&gt;&lt;/span&gt;ow the a&lt;span class="_ _7"&gt;&lt;/span&gt;s&lt;span class="_ _7"&gt;&lt;/span&gt;s&lt;span class="_ _7"&gt;&lt;/span&gt;et&lt;span class="_ _7"&gt;&lt;/span&gt;s hav&lt;span class="_ _7"&gt;&lt;/span&gt;e be&lt;span class="_ _7"&gt;&lt;/span&gt;en u&lt;span class="_ _7"&gt;&lt;/span&gt;se&lt;span class="_ _7"&gt;&lt;/span&gt;d. A&lt;span class="_ _7"&gt;&lt;/span&gt;mo&lt;span class="_ _7"&gt;&lt;/span&gt;r&lt;span class="_ _7"&gt;&lt;/span&gt;ti&lt;span class="_ _7"&gt;&lt;/span&gt;s&lt;span class="_ _7"&gt;&lt;/span&gt;ati&lt;span class="_ _7"&gt;&lt;/span&gt;on of i&lt;span class="_ _7"&gt;&lt;/span&gt;nt&lt;span class="_ _7"&gt;&lt;/span&gt;ang&lt;span class="_ _7"&gt;&lt;/span&gt;ib&lt;span class="_ _7"&gt;&lt;/span&gt;le as&lt;span class="_ _7"&gt;&lt;/span&gt;s&lt;span class="_ _7"&gt;&lt;/span&gt;et&lt;span class="_ _7"&gt;&lt;/span&gt;s&lt;/span&gt;&lt;span style="display:inherit;clear:left;"&gt;CRITICAL A&lt;span class="_ _2"&gt;&lt;/span&gt;CC&lt;span class="_ _7"&gt;&lt;/span&gt;OUNTING ESTIMA&lt;span class="_ _6"&gt;&lt;/span&gt;TES AND JUDGEMENTS&lt;/span&gt;&lt;span style="display:inherit;clear:left;"&gt;Man&lt;span class="_ _7"&gt;&lt;/span&gt;ag&lt;span class="_ _7"&gt;&lt;/span&gt;eme&lt;span class="_ _7"&gt;&lt;/span&gt;nt r&lt;span class="_ _7"&gt;&lt;/span&gt;egu&lt;span class="_ _7"&gt;&lt;/span&gt;l&lt;span class="_ _7"&gt;&lt;/span&gt;arl&lt;span class="_ _7"&gt;&lt;/span&gt;y rea&lt;span class="_ _7"&gt;&lt;/span&gt;s&lt;span class="_ _7"&gt;&lt;/span&gt;s&lt;span class="_ _7"&gt;&lt;/span&gt;es&lt;span class="_ _7"&gt;&lt;/span&gt;s&lt;span class="_ _7"&gt;&lt;/span&gt;e&lt;span class="_ _7"&gt;&lt;/span&gt;s the u&lt;span class="_ _7"&gt;&lt;/span&gt;s&lt;span class="_ _7"&gt;&lt;/span&gt;ef&lt;span class="_ _7"&gt;&lt;/span&gt;ul li&lt;span class="_ _7"&gt;&lt;/span&gt;fe a&lt;span class="_ _7"&gt;&lt;/span&gt;nd r&lt;span class="_ _7"&gt;&lt;/span&gt;es&lt;span class="_ _7"&gt;&lt;/span&gt;id&lt;span class="_ _7"&gt;&lt;/span&gt;ua&lt;span class="_ _7"&gt;&lt;/span&gt;l valu&lt;span class="_ _7"&gt;&lt;/span&gt;e &lt;/span&gt;&lt;span style="display:inherit;clear:left;"&gt;of al&lt;span class="_ _7"&gt;&lt;/span&gt;l si&lt;span class="_ _7"&gt;&lt;/span&gt;gni&lt;span class="_ _7"&gt;&lt;/span&gt;f&lt;span class="_ _7"&gt;&lt;/span&gt;ic&lt;span class="_ _7"&gt;&lt;/span&gt;ant a&lt;span class="_ _7"&gt;&lt;/span&gt;s&lt;span class="_ _7"&gt;&lt;/span&gt;s&lt;span class="_ _7"&gt;&lt;/span&gt;et&lt;span class="_ _7"&gt;&lt;/span&gt;s. W&lt;span class="_ _7"&gt;&lt;/span&gt;he&lt;span class="_ _7"&gt;&lt;/span&gt;n th&lt;span class="_ _7"&gt;&lt;/span&gt;e us&lt;span class="_ _7"&gt;&lt;/span&gt;ef&lt;span class="_ _7"&gt;&lt;/span&gt;ul l&lt;span class="_ _7"&gt;&lt;/span&gt;if&lt;span class="_ _7"&gt;&lt;/span&gt;e of a t&lt;span class="_ _7"&gt;&lt;/span&gt;ang&lt;span class="_ _7"&gt;&lt;/span&gt;ib&lt;span class="_ _7"&gt;&lt;/span&gt;le as&lt;span class="_ _7"&gt;&lt;/span&gt;s&lt;span class="_ _7"&gt;&lt;/span&gt;et i&lt;span class="_ _7"&gt;&lt;/span&gt;s &lt;/span&gt;&lt;span style="display:inherit;clear:left;"&gt;reduced, depreciation&lt;span class="_ _2"&gt;&lt;/span&gt; is accelerated and&lt;span class="_ _2"&gt;&lt;/span&gt; increased in future periods &lt;/span&gt;&lt;span style="display:inherit;clear:left;"&gt;to re&lt;span class="_ _7"&gt;&lt;/span&gt;fl&lt;span class="_ _7"&gt;&lt;/span&gt;ec&lt;span class="_ _7"&gt;&lt;/span&gt;t the r&lt;span class="_ _7"&gt;&lt;/span&gt;ed&lt;span class="_ _7"&gt;&lt;/span&gt;uc&lt;span class="_ _7"&gt;&lt;/span&gt;tio&lt;span class="_ _7"&gt;&lt;/span&gt;n of ti&lt;span class="_ _7"&gt;&lt;/span&gt;me o&lt;span class="_ _7"&gt;&lt;/span&gt;ver w&lt;span class="_ _7"&gt;&lt;/span&gt;hic&lt;span class="_ _7"&gt;&lt;/span&gt;h the G&lt;span class="_ _7"&gt;&lt;/span&gt;ro&lt;span class="_ _7"&gt;&lt;/span&gt;up wi&lt;span class="_ _7"&gt;&lt;/span&gt;ll d&lt;span class="_ _7"&gt;&lt;/span&gt;er&lt;span class="_ _7"&gt;&lt;/span&gt;ive &lt;/span&gt;&lt;span style="display:inherit;clear:left;"&gt;ec&lt;span class="_ _7"&gt;&lt;/span&gt;on&lt;span class="_ _7"&gt;&lt;/span&gt;omi&lt;span class="_ _7"&gt;&lt;/span&gt;c be&lt;span class="_ _7"&gt;&lt;/span&gt;ne&lt;span class="_ _7"&gt;&lt;/span&gt;fi&lt;span class="_ _7"&gt;&lt;/span&gt;t&lt;span class="_ _7"&gt;&lt;/span&gt;s fr&lt;span class="_ _7"&gt;&lt;/span&gt;om th&lt;span class="_ _7"&gt;&lt;/span&gt;e as&lt;span class="_ _7"&gt;&lt;/span&gt;s&lt;span class="_ _7"&gt;&lt;/span&gt;et&lt;span class="_ _7"&gt;&lt;/span&gt;s&lt;span class="_ _7"&gt;&lt;/span&gt;. A sh&lt;span class="_ _7"&gt;&lt;/span&gt;or&lt;span class="_ _7"&gt;&lt;/span&gt;te&lt;span class="_ _7"&gt;&lt;/span&gt;r e&lt;span class="_ _7"&gt;&lt;/span&gt;st&lt;span class="_ _7"&gt;&lt;/span&gt;ima&lt;span class="_ _7"&gt;&lt;/span&gt;ted u&lt;span class="_ _7"&gt;&lt;/span&gt;s&lt;span class="_ _7"&gt;&lt;/span&gt;ef&lt;span class="_ _7"&gt;&lt;/span&gt;ul li&lt;span class="_ _7"&gt;&lt;/span&gt;fe i&lt;span class="_ _7"&gt;&lt;/span&gt;s &lt;/span&gt;&lt;span style="display:inherit;clear:left;"&gt;not a&lt;span class="_ _7"&gt;&lt;/span&gt;lway&lt;span class="_ _7"&gt;&lt;/span&gt;s an in&lt;span class="_ _7"&gt;&lt;/span&gt;di&lt;span class="_ _7"&gt;&lt;/span&gt;ca&lt;span class="_ _7"&gt;&lt;/span&gt;tor o&lt;span class="_ _7"&gt;&lt;/span&gt;f im&lt;span class="_ _7"&gt;&lt;/span&gt;pai&lt;span class="_ _7"&gt;&lt;/span&gt;rm&lt;span class="_ _7"&gt;&lt;/span&gt;en&lt;span class="_ _7"&gt;&lt;/span&gt;t, a&lt;span class="_ _7"&gt;&lt;/span&gt;s imp&lt;span class="_ _7"&gt;&lt;/span&gt;ai&lt;span class="_ _7"&gt;&lt;/span&gt;rm&lt;span class="_ _7"&gt;&lt;/span&gt;ent i&lt;span class="_ _7"&gt;&lt;/span&gt;s ch&lt;span class="_ _7"&gt;&lt;/span&gt;ar&lt;span class="_ _7"&gt;&lt;/span&gt;ac&lt;span class="_ _7"&gt;&lt;/span&gt;ter-&lt;/span&gt;&lt;span style="display:inherit;clear:left;"&gt;is&lt;span class="_ _7"&gt;&lt;/span&gt;ed b&lt;span class="_ _7"&gt;&lt;/span&gt;y a cha&lt;span class="_ _7"&gt;&lt;/span&gt;nge i&lt;span class="_ _7"&gt;&lt;/span&gt;n the e&lt;span class="_ _7"&gt;&lt;/span&gt;xp&lt;span class="_ _7"&gt;&lt;/span&gt;ec&lt;span class="_ _7"&gt;&lt;/span&gt;ted c&lt;span class="_ _7"&gt;&lt;/span&gt;a&lt;span class="_ _7"&gt;&lt;/span&gt;sh f&lt;span class="_ _7"&gt;&lt;/span&gt;low&lt;span class="_ _7"&gt;&lt;/span&gt;s to be d&lt;span class="_ _7"&gt;&lt;/span&gt;er&lt;span class="_ _7"&gt;&lt;/span&gt;ive&lt;span class="_ _7"&gt;&lt;/span&gt;d f&lt;span class="_ _7"&gt;&lt;/span&gt;ro&lt;span class="_ _7"&gt;&lt;/span&gt;m the &lt;/span&gt;&lt;span style="display:inherit;clear:left;"&gt;ass&lt;span class="_ _7"&gt;&lt;/span&gt;et.&lt;/span&gt;&lt;span style="display:inherit;clear:left;"&gt;Whe&lt;span class="_ _7"&gt;&lt;/span&gt;n as&lt;span class="_ _7"&gt;&lt;/span&gt;s&lt;span class="_ _7"&gt;&lt;/span&gt;e&lt;span class="_ _7"&gt;&lt;/span&gt;s&lt;span class="_ _7"&gt;&lt;/span&gt;si&lt;span class="_ _7"&gt;&lt;/span&gt;ng th&lt;span class="_ _7"&gt;&lt;/span&gt;e us&lt;span class="_ _7"&gt;&lt;/span&gt;ef&lt;span class="_ _7"&gt;&lt;/span&gt;ul l&lt;span class="_ _7"&gt;&lt;/span&gt;if&lt;span class="_ _7"&gt;&lt;/span&gt;e, cl&lt;span class="_ _7"&gt;&lt;/span&gt;ima&lt;span class="_ _7"&gt;&lt;/span&gt;te-re&lt;span class="_ _7"&gt;&lt;/span&gt;la&lt;span class="_ _7"&gt;&lt;/span&gt;ted r&lt;span class="_ _7"&gt;&lt;/span&gt;is&lt;span class="_ _7"&gt;&lt;/span&gt;ks w&lt;span class="_ _7"&gt;&lt;/span&gt;ere c&lt;span class="_ _7"&gt;&lt;/span&gt;on&lt;span class="_ _7"&gt;&lt;/span&gt;si&lt;span class="_ _7"&gt;&lt;/span&gt;d-&lt;/span&gt;&lt;span style="display:inherit;clear:left;"&gt;ere&lt;span class="_ _7"&gt;&lt;/span&gt;d an&lt;span class="_ _7"&gt;&lt;/span&gt;d fo&lt;span class="_ _7"&gt;&lt;/span&gt;un&lt;span class="_ _7"&gt;&lt;/span&gt;d to hav&lt;span class="_ _7"&gt;&lt;/span&gt;e no m&lt;span class="_ _7"&gt;&lt;/span&gt;ater&lt;span class="_ _7"&gt;&lt;/span&gt;ia&lt;span class="_ _7"&gt;&lt;/span&gt;l im&lt;span class="_ _7"&gt;&lt;/span&gt;pac&lt;span class="_ _7"&gt;&lt;/span&gt;t&lt;span class="_ _7"&gt;&lt;/span&gt;. Thi&lt;span class="_ _7"&gt;&lt;/span&gt;s is b&lt;span class="_ _7"&gt;&lt;/span&gt;e&lt;span class="_ _7"&gt;&lt;/span&gt;ca&lt;span class="_ _7"&gt;&lt;/span&gt;us&lt;span class="_ _7"&gt;&lt;/span&gt;e ma&lt;span class="_ _7"&gt;&lt;/span&gt;nag&lt;span class="_ _7"&gt;&lt;/span&gt;e-&lt;/span&gt;&lt;span style="display:inherit;clear:left;"&gt;me&lt;span class="_ _7"&gt;&lt;/span&gt;nt ta&lt;span class="_ _7"&gt;&lt;/span&gt;kes c&lt;span class="_ _7"&gt;&lt;/span&gt;er&lt;span class="_ _7"&gt;&lt;/span&gt;t&lt;span class="_ _7"&gt;&lt;/span&gt;ai&lt;span class="_ _7"&gt;&lt;/span&gt;n mit&lt;span class="_ _7"&gt;&lt;/span&gt;ig&lt;span class="_ _7"&gt;&lt;/span&gt;ati&lt;span class="_ _7"&gt;&lt;/span&gt;on e&lt;span class="_ _7"&gt;&lt;/span&gt;f&lt;span class="_ _7"&gt;&lt;/span&gt;fo&lt;span class="_ _7"&gt;&lt;/span&gt;r&lt;span class="_ _7"&gt;&lt;/span&gt;ts a&lt;span class="_ _7"&gt;&lt;/span&gt;ga&lt;span class="_ _7"&gt;&lt;/span&gt;ins&lt;span class="_ _7"&gt;&lt;/span&gt;t p&lt;span class="_ _7"&gt;&lt;/span&gt;hys&lt;span class="_ _7"&gt;&lt;/span&gt;ic&lt;span class="_ _7"&gt;&lt;/span&gt;al r&lt;span class="_ _7"&gt;&lt;/span&gt;is&lt;span class="_ _7"&gt;&lt;/span&gt;ks&lt;span class="_ _7"&gt;&lt;/span&gt;, am&lt;span class="_ _7"&gt;&lt;/span&gt;on&lt;span class="_ _7"&gt;&lt;/span&gt;g &lt;/span&gt;&lt;span style="display:inherit;clear:left;"&gt;other things, considering potential impacts of climate c&lt;span class="_ _2"&gt;&lt;/span&gt;hange during &lt;/span&gt;&lt;span style="display:inherit;clear:left;"&gt;ini&lt;span class="_ _7"&gt;&lt;/span&gt;ti&lt;span class="_ _7"&gt;&lt;/span&gt;al de&lt;span class="_ _7"&gt;&lt;/span&gt;s&lt;span class="_ _7"&gt;&lt;/span&gt;ign a&lt;span class="_ _7"&gt;&lt;/span&gt;nd c&lt;span class="_ _7"&gt;&lt;/span&gt;on&lt;span class="_ _7"&gt;&lt;/span&gt;st&lt;span class="_ _7"&gt;&lt;/span&gt;ru&lt;span class="_ _7"&gt;&lt;/span&gt;cti&lt;span class="_ _7"&gt;&lt;/span&gt;on o&lt;span class="_ _7"&gt;&lt;/span&gt;f ta&lt;span class="_ _7"&gt;&lt;/span&gt;ngi&lt;span class="_ _7"&gt;&lt;/span&gt;bl&lt;span class="_ _7"&gt;&lt;/span&gt;e as&lt;span class="_ _7"&gt;&lt;/span&gt;s&lt;span class="_ _7"&gt;&lt;/span&gt;et&lt;span class="_ _7"&gt;&lt;/span&gt;s as we&lt;span class="_ _7"&gt;&lt;/span&gt;ll a&lt;span class="_ _7"&gt;&lt;/span&gt;s ma&lt;span class="_ _7"&gt;&lt;/span&gt;in-&lt;/span&gt;&lt;span style="display:inherit;clear:left;"&gt;taining insurance in case signific&lt;span class="_ _7"&gt;&lt;/span&gt;ant damage or disruption does &lt;/span&gt;&lt;span style="display:inherit;clear:left;"&gt;o&lt;span class="_ _7"&gt;&lt;/span&gt;c&lt;span class="_ _9"&gt;&lt;/span&gt;c&lt;span class="_ _7"&gt;&lt;/span&gt;u&lt;span class="_ _7"&gt;&lt;/span&gt;r.&lt;/span&gt;&lt;span style="display:inherit;clear:left;position:relative;height:600.42578125px;"&gt;&lt;span class="pp-font-color-override-1" style="position: absolute; display: inline-block; left: 622.141px; top: 0.0039062px; width: 53.7832px; white-space: pre; word-spacing: 0px; letter-spacing: 0px; margin-left: 0px; font-size: 9.6px; font-family: ff88; -webkit-text-stroke: 0.144px rgba(0, 0, 0, 0);"&gt;&lt;span style="display: inline-block;"&gt;As&lt;/span&gt;&lt;span style="word-spacing: 0px; letter-spacing: 0px; display: inline-block; margin-left: 0px; width: 0.410156px; font-size: 9.6px; font-family: ff88; -webkit-text-stroke: 0.144px rgba(0, 0, 0, 0);"&gt;&lt;/span&gt;&lt;span style="display: inline-block;"&gt;s&lt;/span&gt;&lt;span style="word-spacing: 0px; letter-spacing: 0px; display: inline-block; margin-left: 0px; width: 0.410156px; font-size: 9.6px; font-family: ff88; -webkit-text-stroke: 0.144px rgba(0, 0, 0, 0);"&gt;&lt;/span&gt;&lt;span style="display: inline-block;"&gt;et&lt;/span&gt;&lt;span style="word-spacing: 0px; letter-spacing: 0px; display: inline-block; margin-left: 0px; width: 0.410156px; font-size: 9.6px; font-family: ff88; -webkit-text-stroke: 0.144px rgba(0, 0, 0, 0);"&gt;&lt;/span&gt;&lt;span style="display: inline-block;"&gt;s un&lt;/span&gt;&lt;span style="word-spacing: 0px; letter-spacing: 0px; display: inline-block; margin-left: 0px; width: 0.410156px; font-size: 9.6px; font-family: ff88; -webkit-text-stroke: 0.144px rgba(0, 0, 0, 0);"&gt;&lt;/span&gt;&lt;span style="display: inline-block;"&gt;de&lt;/span&gt;&lt;span style="word-spacing: 0px; letter-spacing: 0px; display: inline-block; margin-left: 0px; width: 0.410156px; font-size: 9.6px; font-family: ff88; -webkit-text-stroke: 0.144px rgba(0, 0, 0, 0);"&gt;&lt;/span&gt;&lt;span style="display: inline-block;"&gt;r &lt;/span&gt;&lt;/span&gt;&lt;span class="pp-font-color-override-1" style="position: absolute; display: inline-block; left: 315.562px; top: 10.5039px; width: 41.3555px; white-space: pre; word-spacing: -0.1344px; letter-spacing: 0.1344px; margin-left: 0px; font-size: 9.6px; font-family: ff88; -webkit-text-stroke: 0.144px rgba(0, 0, 0, 0);"&gt;&lt;span style="display: inline-block;"&gt;Building&lt;/span&gt;&lt;span style="word-spacing: -0.1344px; letter-spacing: 0.1344px; display: inline-block; margin-left: 0px; width: 0.410156px; font-size: 9.6px; font-family: ff88; -webkit-text-stroke: 0.144px rgba(0, 0, 0, 0);"&gt;&lt;/span&gt;&lt;span style="display: inline-block;"&gt;s &lt;/span&gt;&lt;/span&gt;&lt;span class="pp-font-color-override-1" style="position: absolute; display: inline-block; left: 377.828px; top: 10.5039px; width: 62.7129px; white-space: pre; word-spacing: -0.1728px; letter-spacing: 0.1728px; margin-left: 0px; font-size: 9.6px; font-family: ff88; -webkit-text-stroke: 0.144px rgba(0, 0, 0, 0);"&gt;&lt;span style="display: inline-block;"&gt;Machiner&lt;/span&gt;&lt;span style="word-spacing: -0.1728px; letter-spacing: 0.1728px; display: inline-block; margin-left: 0px; width: 0.410156px; font-size: 9.6px; font-family: ff88; -webkit-text-stroke: 0.144px rgba(0, 0, 0, 0);"&gt;&lt;/span&gt;&lt;span style="display: inline-block;"&gt;y and &lt;/span&gt;&lt;/span&gt;&lt;span class="pp-font-color-override-1" style="position: absolute; display: inline-block; left: 460.531px; top: 9.00391px; width: 54.4863px; white-space: pre; word-spacing: -0.2016px; letter-spacing: 0.2016px; margin-left: 0px; font-size: 9.6px; font-family: ff88; -webkit-text-stroke: 0.144px rgba(0, 0, 0, 0);"&gt;&lt;span style="display: inline-block;"&gt;Construction &lt;/span&gt;&lt;span style="word-spacing: -0.2016px; letter-spacing: 0.2016px; display: inline-block; margin-left: -2.33175px; width: 0px; font-size: 9.6px; font-family: ff88; -webkit-text-stroke: 0.144px rgba(0, 0, 0, 0);"&gt;&lt;/span&gt;&lt;span class="pp-font-color-override-1" style="word-spacing: 0px; letter-spacing: 0px; display: inline-block; margin-left: 0px; font-size: 9.6px; font-family: ff88; -webkit-text-stroke: 0.144px rgba(0, 0, 0, 0);"&gt;&lt;span style="display: inline-block;"&gt; &lt;/span&gt;&lt;/span&gt;&lt;/span&gt;&lt;span class="pp-font-color-override-1" style="position: absolute; display: inline-block; left: 543.891px; top: 10.5039px; width: 51.7031px; white-space: pre; word-spacing: -0.144px; letter-spacing: 0.144px; margin-left: 0px; font-size: 9.6px; font-family: ff88; -webkit-text-stroke: 0.144px rgba(0, 0, 0, 0);"&gt;&lt;span style="display: inline-block;"&gt;Right&lt;/span&gt;&lt;span style="word-spacing: -0.144px; letter-spacing: 0.144px; display: inline-block; margin-left: -0.684px; width: 0px; font-size: 9.6px; font-family: ff88; -webkit-text-stroke: 0.144px rgba(0, 0, 0, 0);"&gt;&lt;/span&gt;&lt;span style="display: inline-block;"&gt;-of-&lt;/span&gt;&lt;span style="word-spacing: -0.144px; letter-spacing: 0.144px; display: inline-block; margin-left: -0.684px; width: 0px; font-size: 9.6px; font-family: ff88; -webkit-text-stroke: 0.144px rgba(0, 0, 0, 0);"&gt;&lt;/span&gt;&lt;span style="display: inline-block;"&gt;us&lt;/span&gt;&lt;span style="word-spacing: -0.144px; letter-spacing: 0.144px; display: inline-block; margin-left: 0px; width: 0.410156px; font-size: 9.6px; font-family: ff88; -webkit-text-stroke: 0.144px rgba(0, 0, 0, 0);"&gt;&lt;/span&gt;&lt;span style="display: inline-block;"&gt;e &lt;/span&gt;&lt;/span&gt;&lt;span class="pp-font-color-override-1" style="position: absolute; display: inline-block; left: 639.109px; top: 10.5039px; width: 38.4082px; white-space: pre; word-spacing: -2.4288px; letter-spacing: 0.2016px; margin-left: 0px; font-size: 9.6px; font-family: ff88; -webkit-text-stroke: 0.144px rgba(0, 0, 0, 0);"&gt;&lt;span style="display: in</t>
  </si>
  <si>
    <t>f1__s8__6__127-1</t>
  </si>
  <si>
    <t>ifrs-full:DisclosureOfImpairmentOfAssetsExplanatory</t>
  </si>
  <si>
    <t>&lt;span style="display:inherit;clear:left;"&gt; &lt;/span&gt;&lt;span style="display:inherit;clear:left;"&gt;Du&lt;span class="_ _7"&gt;&lt;/span&gt;rin&lt;span class="_ _7"&gt;&lt;/span&gt;g 2025, Volvo Ca&lt;span class="_ _7"&gt;&lt;/span&gt;rs i&lt;span class="_ _7"&gt;&lt;/span&gt;de&lt;span class="_ _7"&gt;&lt;/span&gt;nti&lt;span class="_ _7"&gt;&lt;/span&gt;fi&lt;span class="_ _7"&gt;&lt;/span&gt;ed i&lt;span class="_ _7"&gt;&lt;/span&gt;nd&lt;span class="_ _7"&gt;&lt;/span&gt;ic&lt;span class="_ _7"&gt;&lt;/span&gt;ato&lt;span class="_ _7"&gt;&lt;/span&gt;rs o&lt;span class="_ _7"&gt;&lt;/span&gt;f im&lt;span class="_ _7"&gt;&lt;/span&gt;pa&lt;span class="_ _7"&gt;&lt;/span&gt;ir&lt;span class="_ _7"&gt;&lt;/span&gt;men&lt;span class="_ _7"&gt;&lt;/span&gt;t for o&lt;span class="_ _7"&gt;&lt;/span&gt;ne &lt;/span&gt;&lt;span style="display:inherit;clear:left;"&gt;of i&lt;span class="_ _7"&gt;&lt;/span&gt;ts c&lt;span class="_ _7"&gt;&lt;/span&gt;as&lt;span class="_ _7"&gt;&lt;/span&gt;h-gen&lt;span class="_ _7"&gt;&lt;/span&gt;er&lt;span class="_ _7"&gt;&lt;/span&gt;ati&lt;span class="_ _7"&gt;&lt;/span&gt;ng un&lt;span class="_ _7"&gt;&lt;/span&gt;it&lt;span class="_ _7"&gt;&lt;/span&gt;s (CGU&lt;span class="_ _7"&gt;&lt;/span&gt;s); the E&lt;span class="_ _7"&gt;&lt;/span&gt;X90 an&lt;span class="_ _7"&gt;&lt;/span&gt;d ES90 p&lt;span class="_ _7"&gt;&lt;/span&gt;l&lt;span class="_ _7"&gt;&lt;/span&gt;at&lt;span class="_ _7"&gt;&lt;/span&gt;fo&lt;span class="_ _7"&gt;&lt;/span&gt;rm &lt;/span&gt;&lt;span style="display:inherit;clear:left;"&gt;CGU. A&lt;span class="_ _7"&gt;&lt;/span&gt;s a re&lt;span class="_ _7"&gt;&lt;/span&gt;s&lt;span class="_ _7"&gt;&lt;/span&gt;ult, a&lt;span class="_ _7"&gt;&lt;/span&gt;n im&lt;span class="_ _7"&gt;&lt;/span&gt;pai&lt;span class="_ _7"&gt;&lt;/span&gt;rm&lt;span class="_ _7"&gt;&lt;/span&gt;en&lt;span class="_ _7"&gt;&lt;/span&gt;t tes&lt;span class="_ _7"&gt;&lt;/span&gt;t wa&lt;span class="_ _7"&gt;&lt;/span&gt;s p&lt;span class="_ _7"&gt;&lt;/span&gt;er&lt;span class="_ _7"&gt;&lt;/span&gt;f&lt;span class="_ _7"&gt;&lt;/span&gt;or&lt;span class="_ _7"&gt;&lt;/span&gt;me&lt;span class="_ _7"&gt;&lt;/span&gt;d dur&lt;span class="_ _7"&gt;&lt;/span&gt;ing t&lt;span class="_ _7"&gt;&lt;/span&gt;he s&lt;span class="_ _7"&gt;&lt;/span&gt;ec-&lt;/span&gt;&lt;span style="display:inherit;clear:left;"&gt;on&lt;span class="_ _7"&gt;&lt;/span&gt;d qua&lt;span class="_ _7"&gt;&lt;/span&gt;r&lt;span class="_ _7"&gt;&lt;/span&gt;ter o&lt;span class="_ _7"&gt;&lt;/span&gt;f th&lt;span class="_ _7"&gt;&lt;/span&gt;e fi&lt;span class="_ _7"&gt;&lt;/span&gt;na&lt;span class="_ _7"&gt;&lt;/span&gt;nci&lt;span class="_ _7"&gt;&lt;/span&gt;al ye&lt;span class="_ _7"&gt;&lt;/span&gt;ar. The CG&lt;span class="_ _7"&gt;&lt;/span&gt;U co&lt;span class="_ _7"&gt;&lt;/span&gt;mpr&lt;span class="_ _7"&gt;&lt;/span&gt;is&lt;span class="_ _7"&gt;&lt;/span&gt;e&lt;span class="_ _7"&gt;&lt;/span&gt;s of p&lt;span class="_ _7"&gt;&lt;/span&gt;ro&lt;span class="_ _7"&gt;&lt;/span&gt;du&lt;span class="_ _7"&gt;&lt;/span&gt;ct &lt;/span&gt;&lt;span style="display:inherit;clear:left;"&gt;deve&lt;span class="_ _7"&gt;&lt;/span&gt;lo&lt;span class="_ _7"&gt;&lt;/span&gt;pm&lt;span class="_ _7"&gt;&lt;/span&gt;ent i&lt;span class="_ _7"&gt;&lt;/span&gt;nt&lt;span class="_ _7"&gt;&lt;/span&gt;ang&lt;span class="_ _7"&gt;&lt;/span&gt;ib&lt;span class="_ _7"&gt;&lt;/span&gt;le as&lt;span class="_ _7"&gt;&lt;/span&gt;s&lt;span class="_ _7"&gt;&lt;/span&gt;et&lt;span class="_ _7"&gt;&lt;/span&gt;s&lt;span class="_ _7"&gt;&lt;/span&gt;, as we&lt;span class="_ _7"&gt;&lt;/span&gt;ll a&lt;span class="_ _7"&gt;&lt;/span&gt;s an a&lt;span class="_ _7"&gt;&lt;/span&gt;llo&lt;span class="_ _7"&gt;&lt;/span&gt;ca&lt;span class="_ _7"&gt;&lt;/span&gt;tio&lt;span class="_ _7"&gt;&lt;/span&gt;n of p&lt;span class="_ _7"&gt;&lt;/span&gt;ro&lt;span class="_ _7"&gt;&lt;/span&gt;duc-&lt;/span&gt;&lt;span style="display:inherit;clear:left;"&gt;tio&lt;span class="_ _7"&gt;&lt;/span&gt;n re&lt;span class="_ _7"&gt;&lt;/span&gt;la&lt;span class="_ _7"&gt;&lt;/span&gt;ted a&lt;span class="_ _7"&gt;&lt;/span&gt;s&lt;span class="_ _7"&gt;&lt;/span&gt;se&lt;span class="_ _7"&gt;&lt;/span&gt;t&lt;span class="_ _7"&gt;&lt;/span&gt;s and g&lt;span class="_ _7"&gt;&lt;/span&gt;oo&lt;span class="_ _7"&gt;&lt;/span&gt;dw&lt;span class="_ _7"&gt;&lt;/span&gt;il&lt;span class="_ _7"&gt;&lt;/span&gt;l rel&lt;span class="_ _7"&gt;&lt;/span&gt;at&lt;span class="_ _7"&gt;&lt;/span&gt;ing to t&lt;span class="_ _7"&gt;&lt;/span&gt;he E&lt;span class="_ _7"&gt;&lt;/span&gt;X90 an&lt;span class="_ _7"&gt;&lt;/span&gt;d ES9&lt;span class="_ _7"&gt;&lt;/span&gt;0.  &lt;/span&gt;&lt;span style="display:inherit;clear:left;"&gt;Th&lt;span class="_ _7"&gt;&lt;/span&gt;e ind&lt;span class="_ _7"&gt;&lt;/span&gt;ic&lt;span class="_ _7"&gt;&lt;/span&gt;ato&lt;span class="_ _7"&gt;&lt;/span&gt;r&lt;span class="_ _7"&gt;&lt;/span&gt;s of im&lt;span class="_ _7"&gt;&lt;/span&gt;pa&lt;span class="_ _7"&gt;&lt;/span&gt;ir&lt;span class="_ _7"&gt;&lt;/span&gt;me&lt;span class="_ _7"&gt;&lt;/span&gt;nt wer&lt;span class="_ _7"&gt;&lt;/span&gt;e pr&lt;span class="_ _7"&gt;&lt;/span&gt;im&lt;span class="_ _7"&gt;&lt;/span&gt;ar&lt;span class="_ _7"&gt;&lt;/span&gt;ily re&lt;span class="_ _7"&gt;&lt;/span&gt;l&lt;span class="_ _7"&gt;&lt;/span&gt;ate&lt;span class="_ _7"&gt;&lt;/span&gt;d to:&lt;/span&gt;&lt;span style="display:inherit;clear:left;"&gt;• &lt;span class="_ _17"&gt; &lt;/span&gt;T&lt;span class="_ _7"&gt;&lt;/span&gt;he l&lt;span class="_ _7"&gt;&lt;/span&gt;aun&lt;span class="_ _7"&gt;&lt;/span&gt;ch o&lt;span class="_ _7"&gt;&lt;/span&gt;f the E&lt;span class="_ _7"&gt;&lt;/span&gt;X90 a&lt;span class="_ _7"&gt;&lt;/span&gt;nd ES9&lt;span class="_ _7"&gt;&lt;/span&gt;0 pl&lt;span class="_ _7"&gt;&lt;/span&gt;at&lt;span class="_ _7"&gt;&lt;/span&gt;f&lt;span class="_ _7"&gt;&lt;/span&gt;or&lt;span class="_ _7"&gt;&lt;/span&gt;m exp&lt;span class="_ _7"&gt;&lt;/span&gt;er&lt;span class="_ _7"&gt;&lt;/span&gt;ie&lt;span class="_ _7"&gt;&lt;/span&gt;nc&lt;span class="_ _7"&gt;&lt;/span&gt;ed d&lt;span class="_ _7"&gt;&lt;/span&gt;el&lt;span class="_ _7"&gt;&lt;/span&gt;ays&lt;span class="_ _7"&gt;&lt;/span&gt;, &lt;/span&gt;&lt;span style="display:inherit;clear:left;"&gt;whi&lt;span class="_ _7"&gt;&lt;/span&gt;ch le&lt;span class="_ _7"&gt;&lt;/span&gt;d to in&lt;span class="_ _7"&gt;&lt;/span&gt;cr&lt;span class="_ _7"&gt;&lt;/span&gt;ea&lt;span class="_ _7"&gt;&lt;/span&gt;se&lt;span class="_ _7"&gt;&lt;/span&gt;d de&lt;span class="_ _7"&gt;&lt;/span&gt;velo&lt;span class="_ _7"&gt;&lt;/span&gt;pm&lt;span class="_ _7"&gt;&lt;/span&gt;en&lt;span class="_ _7"&gt;&lt;/span&gt;t co&lt;span class="_ _7"&gt;&lt;/span&gt;st&lt;span class="_ _7"&gt;&lt;/span&gt;s du&lt;span class="_ _7"&gt;&lt;/span&gt;e to ex&lt;span class="_ _7"&gt;&lt;/span&gt;te&lt;span class="_ _7"&gt;&lt;/span&gt;nd&lt;span class="_ _7"&gt;&lt;/span&gt;ed ti&lt;span class="_ _7"&gt;&lt;/span&gt;me-&lt;/span&gt;&lt;span style="display:inherit;clear:left;"&gt;lines and additional resource requirements. Furthermore, the &lt;/span&gt;&lt;span style="display:inherit;clear:left;"&gt;de&lt;span class="_ _7"&gt;&lt;/span&gt;lay&lt;span class="_ _7"&gt;&lt;/span&gt;ed re&lt;span class="_ _7"&gt;&lt;/span&gt;le&lt;span class="_ _7"&gt;&lt;/span&gt;as&lt;span class="_ _7"&gt;&lt;/span&gt;e re&lt;span class="_ _7"&gt;&lt;/span&gt;su&lt;span class="_ _7"&gt;&lt;/span&gt;lte&lt;span class="_ _7"&gt;&lt;/span&gt;d in th&lt;span class="_ _7"&gt;&lt;/span&gt;e pl&lt;span class="_ _7"&gt;&lt;/span&gt;at&lt;span class="_ _7"&gt;&lt;/span&gt;f&lt;span class="_ _7"&gt;&lt;/span&gt;or&lt;span class="_ _7"&gt;&lt;/span&gt;m ente&lt;span class="_ _7"&gt;&lt;/span&gt;ri&lt;span class="_ _7"&gt;&lt;/span&gt;ng th&lt;span class="_ _7"&gt;&lt;/span&gt;e ma&lt;span class="_ _7"&gt;&lt;/span&gt;rket &lt;/span&gt;&lt;span style="display:inherit;clear:left;"&gt;under less favourable&lt;span class="_ _2"&gt;&lt;/span&gt; macroeconomic conditions than&lt;span class="_ _2"&gt;&lt;/span&gt; originally &lt;/span&gt;&lt;span style="display:inherit;clear:left;"&gt;anti&lt;span class="_ _7"&gt;&lt;/span&gt;ci&lt;span class="_ _7"&gt;&lt;/span&gt;pat&lt;span class="_ _7"&gt;&lt;/span&gt;ed&lt;span class="_ _7"&gt;&lt;/span&gt;, imp&lt;span class="_ _7"&gt;&lt;/span&gt;ac&lt;span class="_ _7"&gt;&lt;/span&gt;ti&lt;span class="_ _7"&gt;&lt;/span&gt;ng it&lt;span class="_ _7"&gt;&lt;/span&gt;s in&lt;span class="_ _7"&gt;&lt;/span&gt;iti&lt;span class="_ _7"&gt;&lt;/span&gt;al p&lt;span class="_ _7"&gt;&lt;/span&gt;er&lt;span class="_ _7"&gt;&lt;/span&gt;f&lt;span class="_ _7"&gt;&lt;/span&gt;or&lt;span class="_ _7"&gt;&lt;/span&gt;ma&lt;span class="_ _7"&gt;&lt;/span&gt;nc&lt;span class="_ _7"&gt;&lt;/span&gt;e and r&lt;span class="_ _7"&gt;&lt;/span&gt;et&lt;span class="_ _7"&gt;&lt;/span&gt;urn ex&lt;span class="_ _7"&gt;&lt;/span&gt;p&lt;span class="_ _7"&gt;&lt;/span&gt;ec&lt;span class="_ _7"&gt;&lt;/span&gt;ta-&lt;/span&gt;&lt;span style="display:inherit;clear:left;"&gt;tions.&lt;/span&gt;&lt;span style="display:inherit;clear:left;"&gt;• &lt;span class="_ _17"&gt; &lt;/span&gt;T&lt;span class="_ _7"&gt;&lt;/span&gt;he im&lt;span class="_ _7"&gt;&lt;/span&gt;po&lt;span class="_ _7"&gt;&lt;/span&gt;si&lt;span class="_ _7"&gt;&lt;/span&gt;ti&lt;span class="_ _7"&gt;&lt;/span&gt;on of i&lt;span class="_ _7"&gt;&lt;/span&gt;nc&lt;span class="_ _7"&gt;&lt;/span&gt;re&lt;span class="_ _7"&gt;&lt;/span&gt;as&lt;span class="_ _7"&gt;&lt;/span&gt;ed t&lt;span class="_ _7"&gt;&lt;/span&gt;ar&lt;span class="_ _7"&gt;&lt;/span&gt;if&lt;span class="_ _9"&gt;&lt;/span&gt;fs o&lt;span class="_ _7"&gt;&lt;/span&gt;n imp&lt;span class="_ _7"&gt;&lt;/span&gt;or&lt;span class="_ _7"&gt;&lt;/span&gt;t&lt;span class="_ _7"&gt;&lt;/span&gt;ed r&lt;span class="_ _7"&gt;&lt;/span&gt;aw ma&lt;span class="_ _7"&gt;&lt;/span&gt;ter&lt;span class="_ _7"&gt;&lt;/span&gt;ia&lt;span class="_ _7"&gt;&lt;/span&gt;ls a&lt;span class="_ _7"&gt;&lt;/span&gt;nd &lt;/span&gt;&lt;span style="display:inherit;clear:left;"&gt;auto&lt;span class="_ _7"&gt;&lt;/span&gt;mo&lt;span class="_ _7"&gt;&lt;/span&gt;ti&lt;span class="_ _7"&gt;&lt;/span&gt;ve pa&lt;span class="_ _7"&gt;&lt;/span&gt;r&lt;span class="_ _7"&gt;&lt;/span&gt;ts a&lt;span class="_ _7"&gt;&lt;/span&gt;nd c&lt;span class="_ _7"&gt;&lt;/span&gt;ar&lt;span class="_ _7"&gt;&lt;/span&gt;s&lt;span class="_ _7"&gt;&lt;/span&gt;, wh&lt;span class="_ _7"&gt;&lt;/span&gt;ich s&lt;span class="_ _7"&gt;&lt;/span&gt;ig&lt;span class="_ _7"&gt;&lt;/span&gt;ni&lt;span class="_ _7"&gt;&lt;/span&gt;fi&lt;span class="_ _7"&gt;&lt;/span&gt;ca&lt;span class="_ _7"&gt;&lt;/span&gt;ntly i&lt;span class="_ _7"&gt;&lt;/span&gt;mp&lt;span class="_ _7"&gt;&lt;/span&gt;ac&lt;span class="_ _7"&gt;&lt;/span&gt;ted p&lt;span class="_ _7"&gt;&lt;/span&gt;ro&lt;span class="_ _7"&gt;&lt;/span&gt;du&lt;span class="_ _7"&gt;&lt;/span&gt;c-&lt;/span&gt;&lt;span style="display:inherit;clear:left;"&gt;tion costs and pr&lt;span class="_ _2"&gt;&lt;/span&gt;of&lt;span class="_ _7"&gt;&lt;/span&gt;itability.&lt;/span&gt;&lt;span style="display:inherit;clear:left;"&gt;• &lt;span class="_ _17"&gt; &lt;/span&gt;T&lt;span class="_ _7"&gt;&lt;/span&gt;he tr&lt;span class="_ _7"&gt;&lt;/span&gt;an&lt;span class="_ _7"&gt;&lt;/span&gt;si&lt;span class="_ _7"&gt;&lt;/span&gt;tio&lt;span class="_ _7"&gt;&lt;/span&gt;n f&lt;span class="_ _7"&gt;&lt;/span&gt;rom I&lt;span class="_ _7"&gt;&lt;/span&gt;CE ve&lt;span class="_ _7"&gt;&lt;/span&gt;hic&lt;span class="_ _7"&gt;&lt;/span&gt;le&lt;span class="_ _7"&gt;&lt;/span&gt;s to BE&lt;span class="_ _7"&gt;&lt;/span&gt;Vs has b&lt;span class="_ _7"&gt;&lt;/span&gt;e&lt;span class="_ _7"&gt;&lt;/span&gt;en pr&lt;span class="_ _7"&gt;&lt;/span&gt;og&lt;span class="_ _7"&gt;&lt;/span&gt;re&lt;span class="_ _7"&gt;&lt;/span&gt;s&lt;span class="_ _7"&gt;&lt;/span&gt;si&lt;span class="_ _7"&gt;&lt;/span&gt;ng at &lt;/span&gt;&lt;span style="display:inherit;clear:left;"&gt;a slo&lt;span class="_ _7"&gt;&lt;/span&gt;wer p&lt;span class="_ _7"&gt;&lt;/span&gt;ac&lt;span class="_ _7"&gt;&lt;/span&gt;e tha&lt;span class="_ _7"&gt;&lt;/span&gt;n pr&lt;span class="_ _7"&gt;&lt;/span&gt;evi&lt;span class="_ _7"&gt;&lt;/span&gt;ou&lt;span class="_ _7"&gt;&lt;/span&gt;sl&lt;span class="_ _7"&gt;&lt;/span&gt;y for&lt;span class="_ _7"&gt;&lt;/span&gt;ec&lt;span class="_ _7"&gt;&lt;/span&gt;as&lt;span class="_ _7"&gt;&lt;/span&gt;te&lt;span class="_ _7"&gt;&lt;/span&gt;d.&lt;/span&gt;&lt;span style="display:inherit;clear:left;"&gt;As a r&lt;span class="_ _7"&gt;&lt;/span&gt;es&lt;span class="_ _7"&gt;&lt;/span&gt;ult&lt;span class="_ _7"&gt;&lt;/span&gt;, Volvo Ca&lt;span class="_ _7"&gt;&lt;/span&gt;rs c&lt;span class="_ _7"&gt;&lt;/span&gt;on&lt;span class="_ _7"&gt;&lt;/span&gt;du&lt;span class="_ _7"&gt;&lt;/span&gt;cte&lt;span class="_ _7"&gt;&lt;/span&gt;d an im&lt;span class="_ _7"&gt;&lt;/span&gt;pa&lt;span class="_ _7"&gt;&lt;/span&gt;ir&lt;span class="_ _7"&gt;&lt;/span&gt;me&lt;span class="_ _7"&gt;&lt;/span&gt;nt te&lt;span class="_ _7"&gt;&lt;/span&gt;st&lt;span class="_ _7"&gt;&lt;/span&gt;.&lt;/span&gt;&lt;span style="display:inherit;clear:left;"&gt;Impairment test and ke&lt;span class="_ _2"&gt;&lt;/span&gt;y assump&lt;span class="_ _7"&gt;&lt;/span&gt;tions&lt;/span&gt;&lt;span style="display:inherit;clear:left;"&gt;Th&lt;span class="_ _7"&gt;&lt;/span&gt;e rec&lt;span class="_ _7"&gt;&lt;/span&gt;ove&lt;span class="_ _7"&gt;&lt;/span&gt;ra&lt;span class="_ _7"&gt;&lt;/span&gt;ble a&lt;span class="_ _7"&gt;&lt;/span&gt;mo&lt;span class="_ _7"&gt;&lt;/span&gt;unt o&lt;span class="_ _7"&gt;&lt;/span&gt;f th&lt;span class="_ _7"&gt;&lt;/span&gt;e CGU w&lt;span class="_ _7"&gt;&lt;/span&gt;as d&lt;span class="_ _7"&gt;&lt;/span&gt;ete&lt;span class="_ _7"&gt;&lt;/span&gt;rmi&lt;span class="_ _7"&gt;&lt;/span&gt;ne&lt;span class="_ _7"&gt;&lt;/span&gt;d ba&lt;span class="_ _7"&gt;&lt;/span&gt;s&lt;span class="_ _7"&gt;&lt;/span&gt;ed o&lt;span class="_ _7"&gt;&lt;/span&gt;n it&lt;span class="_ _7"&gt;&lt;/span&gt;s &lt;/span&gt;&lt;span style="display:inherit;clear:left;"&gt;val&lt;span class="_ _7"&gt;&lt;/span&gt;ue in u&lt;span class="_ _7"&gt;&lt;/span&gt;s&lt;span class="_ _7"&gt;&lt;/span&gt;e, c&lt;span class="_ _7"&gt;&lt;/span&gt;alcu&lt;span class="_ _7"&gt;&lt;/span&gt;l&lt;span class="_ _7"&gt;&lt;/span&gt;ate&lt;span class="_ _7"&gt;&lt;/span&gt;d us&lt;span class="_ _7"&gt;&lt;/span&gt;ing a d&lt;span class="_ _7"&gt;&lt;/span&gt;is&lt;span class="_ _7"&gt;&lt;/span&gt;co&lt;span class="_ _7"&gt;&lt;/span&gt;unt&lt;span class="_ _7"&gt;&lt;/span&gt;ed c&lt;span class="_ _7"&gt;&lt;/span&gt;as&lt;span class="_ _7"&gt;&lt;/span&gt;h fl&lt;span class="_ _7"&gt;&lt;/span&gt;ow mo&lt;span class="_ _7"&gt;&lt;/span&gt;de&lt;span class="_ _7"&gt;&lt;/span&gt;l&lt;span class="_ _7"&gt;&lt;/span&gt;. A pre&lt;span class="_ _7"&gt;&lt;/span&gt;-&lt;/span&gt;&lt;span style="display:inherit;clear:left;"&gt;ta&lt;span class="_ _7"&gt;&lt;/span&gt;x di&lt;span class="_ _7"&gt;&lt;/span&gt;s&lt;span class="_ _7"&gt;&lt;/span&gt;co&lt;span class="_ _7"&gt;&lt;/span&gt;unt r&lt;span class="_ _7"&gt;&lt;/span&gt;ate o&lt;span class="_ _7"&gt;&lt;/span&gt;f 10.7 per ce&lt;span class="_ _7"&gt;&lt;/span&gt;nt wa&lt;span class="_ _7"&gt;&lt;/span&gt;s us&lt;span class="_ _7"&gt;&lt;/span&gt;e&lt;span class="_ _7"&gt;&lt;/span&gt;d, r&lt;span class="_ _7"&gt;&lt;/span&gt;ef&lt;span class="_ _7"&gt;&lt;/span&gt;le&lt;span class="_ _7"&gt;&lt;/span&gt;cti&lt;span class="_ _7"&gt;&lt;/span&gt;ng CG&lt;span class="_ _7"&gt;&lt;/span&gt;U-sp&lt;span class="_ _7"&gt;&lt;/span&gt;ec&lt;span class="_ _7"&gt;&lt;/span&gt;if&lt;span class="_ _7"&gt;&lt;/span&gt;ic &lt;/span&gt;&lt;span style="display:inherit;clear:left;"&gt;ri&lt;span class="_ _7"&gt;&lt;/span&gt;sk&lt;span class="_ _7"&gt;&lt;/span&gt;s and m&lt;span class="_ _7"&gt;&lt;/span&gt;ar&lt;span class="_ _7"&gt;&lt;/span&gt;ket co&lt;span class="_ _7"&gt;&lt;/span&gt;nd&lt;span class="_ _7"&gt;&lt;/span&gt;iti&lt;span class="_ _7"&gt;&lt;/span&gt;on&lt;span class="_ _7"&gt;&lt;/span&gt;s at th&lt;span class="_ _7"&gt;&lt;/span&gt;e ti&lt;span class="_ _7"&gt;&lt;/span&gt;me o&lt;span class="_ _7"&gt;&lt;/span&gt;f as&lt;span class="_ _7"&gt;&lt;/span&gt;s&lt;span class="_ _7"&gt;&lt;/span&gt;es&lt;span class="_ _7"&gt;&lt;/span&gt;s&lt;span class="_ _7"&gt;&lt;/span&gt;me&lt;span class="_ _7"&gt;&lt;/span&gt;nt&lt;span class="_ _7"&gt;&lt;/span&gt;. Th&lt;span class="_ _7"&gt;&lt;/span&gt;e key &lt;/span&gt;&lt;span style="display:inherit;clear:left;"&gt;assumptions applied in&lt;span class="_ _2"&gt;&lt;/span&gt; the model included:&lt;/span&gt;&lt;span style="display:inherit;clear:left;"&gt;• &lt;span class="_ _17"&gt; &lt;/span&gt;C&lt;span class="_ _7"&gt;&lt;/span&gt;as&lt;span class="_ _7"&gt;&lt;/span&gt;h fl&lt;span class="_ _7"&gt;&lt;/span&gt;ow pr&lt;span class="_ _7"&gt;&lt;/span&gt;oje&lt;span class="_ _7"&gt;&lt;/span&gt;c&lt;span class="_ _7"&gt;&lt;/span&gt;tio&lt;span class="_ _7"&gt;&lt;/span&gt;ns b&lt;span class="_ _7"&gt;&lt;/span&gt;as&lt;span class="_ _7"&gt;&lt;/span&gt;e&lt;span class="_ _7"&gt;&lt;/span&gt;d on bu&lt;span class="_ _7"&gt;&lt;/span&gt;si&lt;span class="_ _7"&gt;&lt;/span&gt;ne&lt;span class="_ _7"&gt;&lt;/span&gt;s&lt;span class="_ _7"&gt;&lt;/span&gt;s p&lt;span class="_ _7"&gt;&lt;/span&gt;la&lt;span class="_ _7"&gt;&lt;/span&gt;ns ap&lt;span class="_ _7"&gt;&lt;/span&gt;pr&lt;span class="_ _7"&gt;&lt;/span&gt;ove&lt;span class="_ _7"&gt;&lt;/span&gt;d by ma&lt;span class="_ _7"&gt;&lt;/span&gt;n-&lt;/span&gt;&lt;span style="display:inherit;clear:left;"&gt;age&lt;span class="_ _7"&gt;&lt;/span&gt;me&lt;span class="_ _7"&gt;&lt;/span&gt;nt an&lt;span class="_ _7"&gt;&lt;/span&gt;d the B&lt;span class="_ _7"&gt;&lt;/span&gt;o&lt;span class="_ _7"&gt;&lt;/span&gt;ard c&lt;span class="_ _7"&gt;&lt;/span&gt;ove&lt;span class="_ _7"&gt;&lt;/span&gt;rin&lt;span class="_ _7"&gt;&lt;/span&gt;g the e&lt;span class="_ _7"&gt;&lt;/span&gt;xp&lt;span class="_ _7"&gt;&lt;/span&gt;ec&lt;span class="_ _7"&gt;&lt;/span&gt;ted u&lt;span class="_ _7"&gt;&lt;/span&gt;s&lt;span class="_ _7"&gt;&lt;/span&gt;ef&lt;span class="_ _7"&gt;&lt;/span&gt;ul li&lt;span class="_ _7"&gt;&lt;/span&gt;fe o&lt;span class="_ _7"&gt;&lt;/span&gt;f th&lt;span class="_ _7"&gt;&lt;/span&gt;e &lt;/span&gt;&lt;span style="display:inherit;clear:left;"&gt;platform.&lt;/span&gt;&lt;span style="display:inherit;clear:left;"&gt;• &lt;span class="_ _17"&gt; &lt;/span&gt;A&lt;span class="_ _7"&gt;&lt;/span&gt;s&lt;span class="_ _7"&gt;&lt;/span&gt;su&lt;span class="_ _7"&gt;&lt;/span&gt;mpti&lt;span class="_ _7"&gt;&lt;/span&gt;on&lt;span class="_ _7"&gt;&lt;/span&gt;s re&lt;span class="_ _7"&gt;&lt;/span&gt;ga&lt;span class="_ _7"&gt;&lt;/span&gt;rdi&lt;span class="_ _7"&gt;&lt;/span&gt;ng s&lt;span class="_ _7"&gt;&lt;/span&gt;al&lt;span class="_ _7"&gt;&lt;/span&gt;es vo&lt;span class="_ _7"&gt;&lt;/span&gt;lum&lt;span class="_ _7"&gt;&lt;/span&gt;e&lt;span class="_ _7"&gt;&lt;/span&gt;s, p&lt;span class="_ _7"&gt;&lt;/span&gt;ri&lt;span class="_ _7"&gt;&lt;/span&gt;cin&lt;span class="_ _7"&gt;&lt;/span&gt;g, a&lt;span class="_ _7"&gt;&lt;/span&gt;nd m&lt;span class="_ _7"&gt;&lt;/span&gt;arg&lt;span class="_ _7"&gt;&lt;/span&gt;in&lt;span class="_ _7"&gt;&lt;/span&gt;s&lt;span class="_ _7"&gt;&lt;/span&gt;, &lt;/span&gt;&lt;span style="display:inherit;clear:left;"&gt;inc&lt;span class="_ _7"&gt;&lt;/span&gt;lud&lt;span class="_ _7"&gt;&lt;/span&gt;ing t&lt;span class="_ _7"&gt;&lt;/span&gt;he an&lt;span class="_ _7"&gt;&lt;/span&gt;tic&lt;span class="_ _7"&gt;&lt;/span&gt;ip&lt;span class="_ _7"&gt;&lt;/span&gt;ate&lt;span class="_ _7"&gt;&lt;/span&gt;d imp&lt;span class="_ _7"&gt;&lt;/span&gt;ac&lt;span class="_ _7"&gt;&lt;/span&gt;t of t&lt;span class="_ _7"&gt;&lt;/span&gt;ar&lt;span class="_ _7"&gt;&lt;/span&gt;if&lt;span class="_ _9"&gt;&lt;/span&gt;fs&lt;span class="_ _7"&gt;&lt;/span&gt;, a&lt;span class="_ _7"&gt;&lt;/span&gt;s wel&lt;span class="_ _7"&gt;&lt;/span&gt;l as th&lt;span class="_ _7"&gt;&lt;/span&gt;e CG&lt;span class="_ _7"&gt;&lt;/span&gt;U’s &lt;/span&gt;&lt;span style="display:inherit;clear:left;"&gt;contribution&lt;span class="_ _2"&gt;&lt;/span&gt; toward int&lt;span class="_ _2"&gt;&lt;/span&gt;ernal netting of emission credits&lt;span class="_ _2"&gt;&lt;/span&gt; bet&lt;span class="_ _7"&gt;&lt;/span&gt;ween &lt;/span&gt;&lt;span style="display:inherit;clear:left;"&gt;BE&lt;span class="_ _7"&gt;&lt;/span&gt;V and I&lt;span class="_ _7"&gt;&lt;/span&gt;CE c&lt;span class="_ _7"&gt;&lt;/span&gt;ar&lt;span class="_ _7"&gt;&lt;/span&gt;s&lt;span class="_ _7"&gt;&lt;/span&gt;.&lt;/span&gt;&lt;span style="display:inherit;clear:left;"&gt;Th&lt;span class="_ _7"&gt;&lt;/span&gt;es&lt;span class="_ _7"&gt;&lt;/span&gt;e as&lt;span class="_ _7"&gt;&lt;/span&gt;s&lt;span class="_ _7"&gt;&lt;/span&gt;um&lt;span class="_ _7"&gt;&lt;/span&gt;pti&lt;span class="_ _7"&gt;&lt;/span&gt;on&lt;span class="_ _7"&gt;&lt;/span&gt;s re&lt;span class="_ _7"&gt;&lt;/span&gt;fle&lt;span class="_ _7"&gt;&lt;/span&gt;ct m&lt;span class="_ _7"&gt;&lt;/span&gt;an&lt;span class="_ _7"&gt;&lt;/span&gt;age&lt;span class="_ _7"&gt;&lt;/span&gt;me&lt;span class="_ _7"&gt;&lt;/span&gt;nt&lt;span class="_ _7"&gt;&lt;/span&gt;’s be&lt;span class="_ _7"&gt;&lt;/span&gt;st e&lt;span class="_ _7"&gt;&lt;/span&gt;s&lt;span class="_ _7"&gt;&lt;/span&gt;tim&lt;span class="_ _7"&gt;&lt;/span&gt;ate&lt;span class="_ _7"&gt;&lt;/span&gt;s o&lt;span class="_ _7"&gt;&lt;/span&gt;f ec&lt;span class="_ _7"&gt;&lt;/span&gt;o-&lt;/span&gt;&lt;span style="display:inherit;clear:left;"&gt;no&lt;span class="_ _7"&gt;&lt;/span&gt;mic c&lt;span class="_ _7"&gt;&lt;/span&gt;on&lt;span class="_ _7"&gt;&lt;/span&gt;di&lt;span class="_ _7"&gt;&lt;/span&gt;tio&lt;span class="_ _7"&gt;&lt;/span&gt;ns a&lt;span class="_ _7"&gt;&lt;/span&gt;nd f&lt;span class="_ _7"&gt;&lt;/span&gt;utu&lt;span class="_ _7"&gt;&lt;/span&gt;re p&lt;span class="_ _7"&gt;&lt;/span&gt;er&lt;span class="_ _9"&gt;&lt;/span&gt;for&lt;span class="_ _7"&gt;&lt;/span&gt;man&lt;span class="_ _7"&gt;&lt;/span&gt;ce a&lt;span class="_ _7"&gt;&lt;/span&gt;t the t&lt;span class="_ _7"&gt;&lt;/span&gt;im&lt;span class="_ _7"&gt;&lt;/span&gt;e of th&lt;span class="_ _7"&gt;&lt;/span&gt;e imp&lt;span class="_ _7"&gt;&lt;/span&gt;ai&lt;span class="_ _7"&gt;&lt;/span&gt;r&lt;span class="_ _2"&gt;&lt;/span&gt;-&lt;/span&gt;&lt;span style="display:inherit;clear:left;"&gt;ment asses&lt;span class="_ _7"&gt;&lt;/span&gt;sment, considering&lt;span class="_ _2"&gt;&lt;/span&gt; the market&lt;span class="_ _2"&gt;&lt;/span&gt; environment and futur&lt;span class="_ _2"&gt;&lt;/span&gt;e &lt;/span&gt;&lt;span style="display:inherit;clear:left;"&gt;developments.&lt;/span&gt;&lt;span style="display:inherit;clear:left;"&gt;Impairment l&lt;span class="_ _2"&gt;&lt;/span&gt;os&lt;span class="_ _7"&gt;&lt;/span&gt;s recognised&lt;/span&gt;&lt;span style="display:inherit;clear:left;"&gt;As a r&lt;span class="_ _7"&gt;&lt;/span&gt;es&lt;span class="_ _7"&gt;&lt;/span&gt;ult o&lt;span class="_ _7"&gt;&lt;/span&gt;f the i&lt;span class="_ _7"&gt;&lt;/span&gt;mp&lt;span class="_ _7"&gt;&lt;/span&gt;air&lt;span class="_ _7"&gt;&lt;/span&gt;me&lt;span class="_ _7"&gt;&lt;/span&gt;nt te&lt;span class="_ _7"&gt;&lt;/span&gt;s&lt;span class="_ _7"&gt;&lt;/span&gt;t, a&lt;span class="_ _7"&gt;&lt;/span&gt;n imp&lt;span class="_ _7"&gt;&lt;/span&gt;ai&lt;span class="_ _7"&gt;&lt;/span&gt;rm&lt;span class="_ _7"&gt;&lt;/span&gt;ent l&lt;span class="_ _7"&gt;&lt;/span&gt;os&lt;span class="_ _7"&gt;&lt;/span&gt;s o&lt;span class="_ _7"&gt;&lt;/span&gt;f SEK 11,4&lt;span class="_ _7"&gt;&lt;/span&gt;31 &lt;/span&gt;&lt;span style="display:inherit;clear:left;"&gt;m was r&lt;span class="_ _7"&gt;&lt;/span&gt;ec&lt;span class="_ _7"&gt;&lt;/span&gt;og&lt;span class="_ _7"&gt;&lt;/span&gt;ni&lt;span class="_ _7"&gt;&lt;/span&gt;se&lt;span class="_ _7"&gt;&lt;/span&gt;d in t&lt;span class="_ _7"&gt;&lt;/span&gt;he co&lt;span class="_ _7"&gt;&lt;/span&gt;ns&lt;span class="_ _7"&gt;&lt;/span&gt;o&lt;span class="_ _7"&gt;&lt;/span&gt;lid&lt;span class="_ _7"&gt;&lt;/span&gt;ate&lt;span class="_ _7"&gt;&lt;/span&gt;d in&lt;span class="_ _7"&gt;&lt;/span&gt;co&lt;span class="_ _7"&gt;&lt;/span&gt;me s&lt;span class="_ _7"&gt;&lt;/span&gt;ta&lt;span class="_ _7"&gt;&lt;/span&gt;tem&lt;span class="_ _7"&gt;&lt;/span&gt;ent d&lt;span class="_ _7"&gt;&lt;/span&gt;ur&lt;span class="_ _7"&gt;&lt;/span&gt;ing t&lt;span class="_ _7"&gt;&lt;/span&gt;he &lt;/span&gt;&lt;span style="display:inherit;clear:left;"&gt;se&lt;span class="_ _7"&gt;&lt;/span&gt;co&lt;span class="_ _7"&gt;&lt;/span&gt;nd q&lt;span class="_ _7"&gt;&lt;/span&gt;uar&lt;span class="_ _9"&gt;&lt;/span&gt;ter. The imp&lt;span class="_ _7"&gt;&lt;/span&gt;ai&lt;span class="_ _7"&gt;&lt;/span&gt;rm&lt;span class="_ _7"&gt;&lt;/span&gt;en&lt;span class="_ _7"&gt;&lt;/span&gt;t, w&lt;span class="_ _7"&gt;&lt;/span&gt;hic&lt;span class="_ _7"&gt;&lt;/span&gt;h inc&lt;span class="_ _7"&gt;&lt;/span&gt;lud&lt;span class="_ _7"&gt;&lt;/span&gt;ed t&lt;span class="_ _7"&gt;&lt;/span&gt;he f&lt;span class="_ _7"&gt;&lt;/span&gt;ul&lt;span class="_ _7"&gt;&lt;/span&gt;l wri&lt;span class="_ _7"&gt;&lt;/span&gt;te-d&lt;span class="_ _7"&gt;&lt;/span&gt;own &lt;/span&gt;&lt;span style="display:inherit;clear:left;"&gt;of go&lt;span class="_ _7"&gt;&lt;/span&gt;o&lt;span class="_ _7"&gt;&lt;/span&gt;dw&lt;span class="_ _7"&gt;&lt;/span&gt;ill a&lt;span class="_ _7"&gt;&lt;/span&gt;llo&lt;span class="_ _7"&gt;&lt;/span&gt;ca&lt;span class="_ _7"&gt;&lt;/span&gt;ted t&lt;span class="_ _7"&gt;&lt;/span&gt;o the C&lt;span class="_ _7"&gt;&lt;/span&gt;GU, wa&lt;span class="_ _7"&gt;&lt;/span&gt;s al&lt;span class="_ _7"&gt;&lt;/span&gt;loc&lt;span class="_ _7"&gt;&lt;/span&gt;at&lt;span class="_ _7"&gt;&lt;/span&gt;ed o&lt;span class="_ _7"&gt;&lt;/span&gt;n a pro-r&lt;span class="_ _7"&gt;&lt;/span&gt;at&lt;span class="_ _7"&gt;&lt;/span&gt;a ba&lt;span class="_ _7"&gt;&lt;/span&gt;si&lt;span class="_ _7"&gt;&lt;/span&gt;s &lt;/span&gt;&lt;span style="display:inherit;clear:left;"&gt;acr&lt;span class="_ _7"&gt;&lt;/span&gt;os&lt;span class="_ _7"&gt;&lt;/span&gt;s t&lt;span class="_ _7"&gt;&lt;/span&gt;he CG&lt;span class="_ _7"&gt;&lt;/span&gt;U’s as&lt;span class="_ _7"&gt;&lt;/span&gt;s&lt;span class="_ _7"&gt;&lt;/span&gt;et&lt;span class="_ _7"&gt;&lt;/span&gt;s b&lt;span class="_ _7"&gt;&lt;/span&gt;as&lt;span class="_ _7"&gt;&lt;/span&gt;ed o&lt;span class="_ _7"&gt;&lt;/span&gt;n the&lt;span class="_ _7"&gt;&lt;/span&gt;ir c&lt;span class="_ _7"&gt;&lt;/span&gt;ar&lt;span class="_ _7"&gt;&lt;/span&gt;r&lt;span class="_ _7"&gt;&lt;/span&gt;y&lt;span class="_ _7"&gt;&lt;/span&gt;ing a&lt;span class="_ _7"&gt;&lt;/span&gt;mou&lt;span class="_ _7"&gt;&lt;/span&gt;nt&lt;span class="_ _7"&gt;&lt;/span&gt;s&lt;span class="_ _7"&gt;&lt;/span&gt;. Th&lt;span class="_ _7"&gt;&lt;/span&gt;e &lt;/span&gt;&lt;span style="display:inherit;clear:left;"&gt;imp&lt;span class="_ _7"&gt;&lt;/span&gt;ai&lt;span class="_ _7"&gt;&lt;/span&gt;rm&lt;span class="_ _7"&gt;&lt;/span&gt;ent l&lt;span class="_ _7"&gt;&lt;/span&gt;os&lt;span class="_ _7"&gt;&lt;/span&gt;s w&lt;span class="_ _7"&gt;&lt;/span&gt;as di&lt;span class="_ _7"&gt;&lt;/span&gt;s&lt;span class="_ _7"&gt;&lt;/span&gt;tri&lt;span class="_ _7"&gt;&lt;/span&gt;bu&lt;span class="_ _7"&gt;&lt;/span&gt;ted a&lt;span class="_ _7"&gt;&lt;/span&gt;s fo&lt;span class="_ _7"&gt;&lt;/span&gt;llo&lt;span class="_ _7"&gt;&lt;/span&gt;ws&lt;span class="_ _7"&gt;&lt;/span&gt;: &lt;/span&gt;&lt;span style="display:inherit;clear:left;"&gt;• &lt;span class="_ _5a"&gt; &lt;/span&gt;&lt;span class="ws3"&gt;SEK 7&lt;span class="_ _2"&gt;&lt;/span&gt;,&lt;span class="_ _7"&gt;&lt;/span&gt;373 m was r&lt;span class="_ _7"&gt;&lt;/span&gt;ec&lt;span class="_ _7"&gt;&lt;/span&gt;og&lt;span class="_ _7"&gt;&lt;/span&gt;ni&lt;span class="_ _7"&gt;&lt;/span&gt;se&lt;span class="_ _7"&gt;&lt;/span&gt;d un&lt;span class="_ _7"&gt;&lt;/span&gt;de&lt;span class="_ _7"&gt;&lt;/span&gt;r Res&lt;span class="_ _7"&gt;&lt;/span&gt;e&lt;span class="_ _7"&gt;&lt;/span&gt;arc&lt;span class="_ _7"&gt;&lt;/span&gt;h an&lt;span class="_ _7"&gt;&lt;/span&gt;d dev&lt;span class="_ _7"&gt;&lt;/span&gt;elo&lt;span class="_ _7"&gt;&lt;/span&gt;pm&lt;span class="_ _7"&gt;&lt;/span&gt;ent&lt;span class="_ _7"&gt;&lt;/span&gt; &lt;/span&gt;&lt;/span&gt;&lt;span style="display:inherit;clear:left;"&gt;exp&lt;span class="_ _7"&gt;&lt;/span&gt;en&lt;span class="_ _7"&gt;&lt;/span&gt;se&lt;span class="_ _7"&gt;&lt;/span&gt;s&lt;span class="_ _7"&gt;&lt;/span&gt;, re&lt;span class="_ _7"&gt;&lt;/span&gt;l&lt;span class="_ _7"&gt;&lt;/span&gt;ate&lt;span class="_ _7"&gt;&lt;/span&gt;d to the i&lt;span class="_ _7"&gt;&lt;/span&gt;mp&lt;span class="_ _7"&gt;&lt;/span&gt;air&lt;span class="_ _7"&gt;&lt;/span&gt;me&lt;span class="_ _7"&gt;&lt;/span&gt;nt o&lt;span class="_ _7"&gt;&lt;/span&gt;f pr&lt;span class="_ _7"&gt;&lt;/span&gt;od&lt;span class="_ _7"&gt;&lt;/span&gt;uct  &lt;span class="_ _b3"&gt;&lt;/span&gt;d&lt;span class="_ _7"&gt;&lt;/span&gt;eve&lt;span class="_ _7"&gt;&lt;/span&gt;lo&lt;span class="_ _7"&gt;&lt;/span&gt;pme&lt;span class="_ _7"&gt;&lt;/span&gt;nt a&lt;span class="_ _7"&gt;&lt;/span&gt;s&lt;span class="_ _7"&gt;&lt;/span&gt;se&lt;span class="_ _7"&gt;&lt;/span&gt;ts&lt;span class="_ _7"&gt;&lt;/span&gt;.&lt;/span&gt;&lt;span style="display:inherit;clear:left;"&gt;• &lt;span class="_ _17"&gt; &lt;/span&gt;SEK 3&lt;span class="_ _7"&gt;&lt;/span&gt;,982 m w&lt;span class="_ _7"&gt;&lt;/span&gt;as r&lt;span class="_ _7"&gt;&lt;/span&gt;ec&lt;span class="_ _7"&gt;&lt;/span&gt;og&lt;span class="_ _7"&gt;&lt;/span&gt;nis&lt;span class="_ _7"&gt;&lt;/span&gt;e&lt;span class="_ _7"&gt;&lt;/span&gt;d un&lt;span class="_ _7"&gt;&lt;/span&gt;der C&lt;span class="_ _7"&gt;&lt;/span&gt;o&lt;span class="_ _7"&gt;&lt;/span&gt;st o&lt;span class="_ _7"&gt;&lt;/span&gt;f s&lt;span class="_ _7"&gt;&lt;/span&gt;ale&lt;span class="_ _7"&gt;&lt;/span&gt;s&lt;span class="_ _7"&gt;&lt;/span&gt;, re&lt;span class="_ _7"&gt;&lt;/span&gt;la&lt;span class="_ _7"&gt;&lt;/span&gt;ted t&lt;span class="_ _7"&gt;&lt;/span&gt;o the &lt;/span&gt;&lt;span style="display:inherit;clear:left;"&gt;impairment of allocated buildings, machiner&lt;span class="_ _7"&gt;&lt;/span&gt;y and equipment.&lt;/span&gt;&lt;span style="display:inherit;clear:left;"&gt;• &lt;span class="_ _17"&gt; &lt;/span&gt;SEK 76 m wa&lt;span class="_ _7"&gt;&lt;/span&gt;s re&lt;span class="_ _7"&gt;&lt;/span&gt;co&lt;span class="_ _7"&gt;&lt;/span&gt;gn&lt;span class="_ _7"&gt;&lt;/span&gt;is&lt;span class="_ _7"&gt;&lt;/span&gt;ed u&lt;span class="_ _7"&gt;&lt;/span&gt;nd&lt;span class="_ _7"&gt;&lt;/span&gt;er O&lt;span class="_ _7"&gt;&lt;/span&gt;th&lt;span class="_ _7"&gt;&lt;/span&gt;er op&lt;span class="_ _7"&gt;&lt;/span&gt;er&lt;span class="_ _7"&gt;&lt;/span&gt;at&lt;span class="_ _7"&gt;&lt;/span&gt;ing i&lt;span class="_ _7"&gt;&lt;/span&gt;nc&lt;span class="_ _7"&gt;&lt;/span&gt;ome a&lt;span class="_ _7"&gt;&lt;/span&gt;nd &lt;/span&gt;&lt;span style="display:inherit;clear:left;"&gt;exp&lt;span class="_ _7"&gt;&lt;/span&gt;en&lt;span class="_ _7"&gt;&lt;/span&gt;se&lt;span class="_ _7"&gt;&lt;/span&gt;s&lt;span class="_ _7"&gt;&lt;/span&gt;, re&lt;span class="_ _7"&gt;&lt;/span&gt;l&lt;span class="_ _7"&gt;&lt;/span&gt;ate&lt;span class="_ _7"&gt;&lt;/span&gt;d to the i&lt;span class="_ _7"&gt;&lt;/span&gt;mp&lt;span class="_ _7"&gt;&lt;/span&gt;air&lt;span class="_ _7"&gt;&lt;/span&gt;me&lt;span class="_ _7"&gt;&lt;/span&gt;nt o&lt;span class="_ _7"&gt;&lt;/span&gt;f all&lt;span class="_ _7"&gt;&lt;/span&gt;oc&lt;span class="_ _7"&gt;&lt;/span&gt;ate&lt;span class="_ _7"&gt;&lt;/span&gt;d go&lt;span class="_ _7"&gt;&lt;/span&gt;od&lt;span class="_ _7"&gt;&lt;/span&gt;wi&lt;span class="_ _7"&gt;&lt;/span&gt;ll&lt;span class="_ _7"&gt;&lt;/span&gt;.&lt;/span&gt;&lt;span style="display:inherit;clear:left;"&gt;At the re&lt;span class="_ _7"&gt;&lt;/span&gt;po&lt;span class="_ _7"&gt;&lt;/span&gt;r&lt;span class="_ _7"&gt;&lt;/span&gt;ti&lt;span class="_ _7"&gt;&lt;/span&gt;ng da&lt;span class="_ _7"&gt;&lt;/span&gt;te, m&lt;span class="_ _7"&gt;&lt;/span&gt;ana&lt;span class="_ _7"&gt;&lt;/span&gt;ge&lt;span class="_ _7"&gt;&lt;/span&gt;men&lt;span class="_ _7"&gt;&lt;/span&gt;t as&lt;span class="_ _7"&gt;&lt;/span&gt;s&lt;span class="_ _7"&gt;&lt;/span&gt;e&lt;span class="_ _7"&gt;&lt;/span&gt;s&lt;span class="_ _7"&gt;&lt;/span&gt;se&lt;span class="_ _7"&gt;&lt;/span&gt;d wh&lt;span class="_ _7"&gt;&lt;/span&gt;eth&lt;span class="_ _7"&gt;&lt;/span&gt;er a&lt;span class="_ _7"&gt;&lt;/span&gt;ny imp&lt;span class="_ _7"&gt;&lt;/span&gt;ai&lt;span class="_ _7"&gt;&lt;/span&gt;r&lt;span class="_ _2"&gt;&lt;/span&gt;-&lt;/span&gt;&lt;span style="display:inherit;clear:left;"&gt;me&lt;span class="_ _7"&gt;&lt;/span&gt;nt in&lt;span class="_ _7"&gt;&lt;/span&gt;di&lt;span class="_ _7"&gt;&lt;/span&gt;cat&lt;span class="_ _7"&gt;&lt;/span&gt;or&lt;span class="_ _7"&gt;&lt;/span&gt;s exi&lt;span class="_ _7"&gt;&lt;/span&gt;s&lt;span class="_ _7"&gt;&lt;/span&gt;ted f&lt;span class="_ _7"&gt;&lt;/span&gt;or th&lt;span class="_ _7"&gt;&lt;/span&gt;is C&lt;span class="_ _7"&gt;&lt;/span&gt;GU an&lt;span class="_ _7"&gt;&lt;/span&gt;d co&lt;span class="_ _7"&gt;&lt;/span&gt;nc&lt;span class="_ _7"&gt;&lt;/span&gt;lud&lt;span class="_ _7"&gt;&lt;/span&gt;ed th&lt;span class="_ _7"&gt;&lt;/span&gt;at n&lt;span class="_ _7"&gt;&lt;/span&gt;o fu&lt;span class="_ _7"&gt;&lt;/span&gt;r&lt;span class="_ _7"&gt;&lt;/span&gt;th&lt;span class="_ _7"&gt;&lt;/span&gt;er &lt;/span&gt;&lt;span style="display:inherit;clear:left;"&gt;imp&lt;span class="_ _7"&gt;&lt;/span&gt;ai&lt;span class="_ _7"&gt;&lt;/span&gt;rm&lt;span class="_ _7"&gt;&lt;/span&gt;ent o&lt;span class="_ _7"&gt;&lt;/span&gt;r rev&lt;span class="_ _7"&gt;&lt;/span&gt;er&lt;span class="_ _7"&gt;&lt;/span&gt;s&lt;span class="_ _7"&gt;&lt;/span&gt;al wa&lt;span class="_ _7"&gt;&lt;/span&gt;s re&lt;span class="_ _7"&gt;&lt;/span&gt;qu&lt;span class="_ _7"&gt;&lt;/span&gt;ire&lt;span class="_ _7"&gt;&lt;/span&gt;d&lt;span class="_ _7"&gt;&lt;/span&gt;. A Volvo Ca&lt;span class="_ _7"&gt;&lt;/span&gt;r Gro&lt;span class="_ _7"&gt;&lt;/span&gt;up le&lt;span class="_ _7"&gt;&lt;/span&gt;vel &lt;/span&gt;&lt;span style="display:inherit;clear:left;"&gt;imp&lt;span class="_ _7"&gt;&lt;/span&gt;ai&lt;span class="_ _7"&gt;&lt;/span&gt;rm&lt;span class="_ _7"&gt;&lt;/span&gt;ent t&lt;span class="_ _7"&gt;&lt;/span&gt;es&lt;span class="_ _7"&gt;&lt;/span&gt;t wa&lt;span class="_ _7"&gt;&lt;/span&gt;s al&lt;span class="_ _7"&gt;&lt;/span&gt;s&lt;span class="_ _7"&gt;&lt;/span&gt;o pe&lt;span class="_ _7"&gt;&lt;/span&gt;r&lt;span class="_ _7"&gt;&lt;/span&gt;fo&lt;span class="_ _7"&gt;&lt;/span&gt;rm&lt;span class="_ _7"&gt;&lt;/span&gt;ed fo&lt;span class="_ _7"&gt;&lt;/span&gt;r no&lt;span class="_ _7"&gt;&lt;/span&gt;n CGU s&lt;span class="_ _7"&gt;&lt;/span&gt;p&lt;span class="_ _7"&gt;&lt;/span&gt;eci&lt;span class="_ _7"&gt;&lt;/span&gt;f&lt;span class="_ _7"&gt;&lt;/span&gt;ic a&lt;span class="_ _7"&gt;&lt;/span&gt;s&lt;span class="_ _7"&gt;&lt;/span&gt;se&lt;span class="_ _7"&gt;&lt;/span&gt;ts&lt;span class="_ _7"&gt;&lt;/span&gt;, &lt;/span&gt;&lt;span style="display:inherit;clear:left;"&gt;inc&lt;span class="_ _7"&gt;&lt;/span&gt;lud&lt;span class="_ _7"&gt;&lt;/span&gt;ing r&lt;span class="_ _7"&gt;&lt;/span&gt;em&lt;span class="_ _7"&gt;&lt;/span&gt;ain&lt;span class="_ _7"&gt;&lt;/span&gt;ing g&lt;span class="_ _7"&gt;&lt;/span&gt;oo&lt;span class="_ _7"&gt;&lt;/span&gt;dw&lt;span class="_ _7"&gt;&lt;/span&gt;il&lt;span class="_ _7"&gt;&lt;/span&gt;l, t&lt;span class="_ _7"&gt;&lt;/span&gt;ra&lt;span class="_ _7"&gt;&lt;/span&gt;de&lt;span class="_ _7"&gt;&lt;/span&gt;mar&lt;span class="_ _7"&gt;&lt;/span&gt;k an&lt;span class="_ _7"&gt;&lt;/span&gt;d oth&lt;span class="_ _7"&gt;&lt;/span&gt;er a&lt;span class="_ _7"&gt;&lt;/span&gt;s&lt;span class="_ _7"&gt;&lt;/span&gt;se&lt;span class="_ _7"&gt;&lt;/span&gt;ts&lt;span class="_ _7"&gt;&lt;/span&gt;, a&lt;span class="_ _7"&gt;&lt;/span&gt;nd n&lt;span class="_ _7"&gt;&lt;/span&gt;o &lt;/span&gt;&lt;span style="display:inherit;clear:left;"&gt;impairment was&lt;span class="_ _2"&gt;&lt;/span&gt; identified.&lt;/span&gt;&lt;span style="display:inherit;clear:left;"&gt;Car&lt;span class="_ _7"&gt;&lt;/span&gt;r&lt;span class="_ _7"&gt;&lt;/span&gt;ying a&lt;span class="_ _7"&gt;&lt;/span&gt;mou&lt;span class="_ _7"&gt;&lt;/span&gt;nt of th&lt;span class="_ _7"&gt;&lt;/span&gt;e EX90/ES90 pl&lt;span class="_ _7"&gt;&lt;/span&gt;at&lt;span class="_ _7"&gt;&lt;/span&gt;for&lt;span class="_ _7"&gt;&lt;/span&gt;m CGU b&lt;span class="_ _7"&gt;&lt;/span&gt;efore &lt;/span&gt;&lt;span style="display:inherit;clear:left;"&gt;and after impairment&lt;/span&gt;&lt;span style="display:inherit;clear:left;position:relative;height:66.142578125px;"&gt;&lt;span class="pp-font-color-override-1" style="position: absolute; display: inline-block; left: 0px; top: 0.0078125px; width: 30.791px; white-space: pre; word-spacing: 0px; letter-spacing: 0.0315px; margin-left: 0px; font-size: 10.5px; font-family: ff89; -webkit-text-stroke: 0.1575px rgba(0, 0, 0, 0);"&gt;&lt;span style="display: inline-block;"&gt;SEK m&lt;/span&gt;&lt;/span&gt;&lt;span class="pp-font-color-override-1" style="position: absolute; display: inline-block; left: 0px; top: 22.6035px; width: 318.211px; white-space: pre; word-spacing: 0px; letter-spacing: 0.0315px; margin-left: 0px; font-size: 10.5px; font-family: ff8a; -webkit-text-stroke: 0.1575px rgba(0, 0, 0, 0);"&gt;&lt;span style="display: inline-block;"&gt;Ca&lt;/span&gt;&lt;span style="word-spacing: 0px; letter-spacing: 0.0315px; display: inline-block; margin-left: 0px; width: 0.410156px; font-size: 10.5px; font-family: ff8a; -webkit-text-stroke: 0.1575px rgba(0, 0, 0, 0);"&gt;&lt;/span&gt;&lt;span style="display: inline-block;"&gt;rr&lt;/span&gt;&lt;span style="word-spacing: 0px; letter-spacing: 0.0315px; display: inline-block; margin-left: 0px; width: 0.410156px; font-size: 10.5px; font-family: ff8a; -webkit-text-stroke: 0.1575px rgba(0, 0, 0, 0);"&gt;&lt;/span&gt;&lt;span style="display: inline-block;"&gt;y&lt;/span&gt;&lt;span style="word-spacing: 0px; letter-spacing: 0.0315px; display: inline-block; margin-left: 0px; width: 0.410156px; font-size: 10.5px; font-family: ff8a; -webkit-text-stroke: 0.1575px rgba(0, 0, 0, 0);"&gt;&lt;/span&gt;&lt;span style="display: inline-block;"&gt;ing a&lt;/span&gt;&lt;span style="word-spacing: 0px; letter-spacing: 0.0315px; display: inline-block; margin-left: 0px; width: 0.410156px; font-size: 10.5px; font-family: ff8a; -webkit-text-stroke: 0.1575px rgba(0, 0, 0, 0);"&gt;&lt;/span&gt;&lt;span style="display: inline-block;"&gt;mo&lt;/span&gt;&lt;span style="word-spacing: 0px; letter-spacing: 0.0315px; display: inline-block; margin-left: 0px; width: 0.410156px; font-size: 10.5px; font-family: ff8a; -webkit-text-stroke: 0.1575px rgba(0, 0, 0, 0);"&gt;&lt;/span&gt;&lt;span style="display: inline-block;"&gt;unt b&lt;/span&gt;&lt;span style="word-spacing: 0px; letter-spacing: 0.0315px; display: inline-block; margin-left: 0px; width: 0.410156px; font-size: 10.5px; font-family: ff8a; -webkit-text-stroke: 0.1575px rgba(0, 0, 0, 0);"&gt;&lt;/span&gt;&lt;span style="display: inline-block;"&gt;efo&lt;/span&gt;&lt;span style="word-spacing: 0px; letter-spacing: 0.0315px; display: inline-block; margin-left: 0px; width: 0.410156px; font-size: 10.5px; font-family: ff8a; -webkit-text-stroke: 0.1575px rgba(0, 0, 0, 0);"&gt;&lt;/span&gt;&lt;span style="display: inline-block;"&gt;re im&lt;/span&gt;&lt;span style="word-spacing: 0px; letter-spacing: 0.0315px; display: inline-block; margin-left: 0px; width: 0.410156px; font-size: 10.5px; font-family: ff8a; -webkit-text-stroke: 0.1575px rgba(0, 0, 0, 0);"&gt;&lt;/span&gt;&lt;span style="display: inline-block;"&gt;pa&lt;/span&gt;&lt;span style="word-spacing: 0px; letter-spacing: 0.0315px; display: inline-block; margin-left: 0px; width: 0.410156px; font-size: 10.5px; font-family: ff8a; -webkit-text-stroke: 0.1575px rgba(0, 0, 0, 0);"&gt;&lt;/span&gt;&lt;span style="display: inline-block;"&gt;irm&lt;/span&gt;&lt;span style="word-spacing: 0px; letter-spacing: 0.0315px; display: inline-block; margin-left: 0px; width: 0.410156px; font-size: 10.5px; font-family: ff8a; -webkit-text-stroke: 0.1575px rgba(0, 0, 0, 0);"&gt;&lt;/span&gt;&lt;span style="display: inline-block;"&gt;ent&lt;/span&gt;&lt;span style="word-spacing: 0px; letter-spacing: 0.0315px; display: inline-block; margin-left: 0px; width: 130.98px; font-size: 10.5px; font-family: ff8a; -webkit-text-stroke: 0.1575px rgba(0, 0, 0, 0);"&gt;&lt;span style="display: inline-block;"&gt; &lt;/span&gt;&lt;/span&gt;&lt;span class="pp-font-color-override-1" style="word-spacing: -0.21px; letter-spacing: 0.21px; display: inline-block; margin-left: 0px; font-size: 10.5px; font-family: ff8a; -webkit-text-stroke: 0.1575px rgba(0, 0, 0, 0);"&gt;&lt;span style="display: inline-block;"&gt;34,543&lt;/span&gt;&lt;/span&gt;&lt;/span&gt;&lt;span class="pp-font-color-override-1" style="position: absolute; display: inline-block; left: 0px; top: 38.5566px; width: 327.141px; white-space: pre; word-spacing: 0px; letter-spacing: 0.0315px; margin-left: 0px; font-size: 10.5px; font-family: ff8a; -webkit-text-stroke: 0.1575px rgba(0, 0, 0, 0);"&gt;&lt;span style="display: inline-block;"&gt;Imp&lt;/span&gt;&lt;span style="word-spacing: 0px; letter-spacing: 0.0315px; display: inline-block; margin-left: 0px; width: 0.410156px; font-size: 10.5px; font-family: ff8a; -webkit-text-stroke: 0.1575px rgba(0, 0, 0, 0);"&gt;&lt;/span&gt;&lt;span style="display: inline-block;"&gt;air&lt;/span&gt;&lt;span style="word-spacing: 0px; letter-spacing: 0.0315px; display: inline-block; margin-left: 0px; width: 0.410156px; font-size: 10.5px; font-family: ff8a; -webkit-text-stroke: 0.1575px rgba(0, 0, 0, 0);"&gt;&lt;/span&gt;&lt;span style="display: inline-block;"&gt;me&lt;/span&gt;&lt;span style="word-spacing: 0px; letter-spacing: 0.0315px; display: inline-block; margin-left: 0px; width: 0.410156px; font-size: 10.5px; font-family: ff8a; -webkit-text-stroke: 0.1575px rgba(0, 0, 0, 0);"&gt;&lt;/span&gt;&lt;span style="display: inline-block;"&gt;nt lo&lt;/span&gt;&lt;span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inline-block;"&gt;s rec&lt;/span&gt;&lt;span style="word-spacing: 0px; letter-spacing: 0.0315px; display: inline-block; margin-left: 0px; width: 0.410156px; font-size: 10.5px; font-family: ff8a; -webkit-text-stroke: 0.1575px rgba(0, 0, 0, 0);"&gt;&lt;/span&gt;&lt;span style="display: inline-block;"&gt;og&lt;/span&gt;&lt;span style="word-spacing: 0px; lette</t>
  </si>
  <si>
    <t>f1__s8__6__128-1</t>
  </si>
  <si>
    <t>ifrs-full:DescriptionOfAccountingPolicyForImpairmentOfAssetsExplanatory</t>
  </si>
  <si>
    <t>f1__s8__6__13</t>
  </si>
  <si>
    <t>ifrs-full:DescriptionOfNatureOfEntitysOperationsAndPrincipalActivities</t>
  </si>
  <si>
    <t>Volvo Car Corporation and its subsidiaries, operates in the automo-tive industry with business relating to design, development, manu-facturing, marketing and sale of cars and thereto related services.</t>
  </si>
  <si>
    <t>f1__s8__6__130-1</t>
  </si>
  <si>
    <t>ifrs-full:DisclosureOfReclassificationsOrChangesInPresentationExplanatory</t>
  </si>
  <si>
    <t>&lt;span style="display:inherit;clear:left;"&gt;CRITICAL A&lt;span class="_ _2"&gt;&lt;/span&gt;CC&lt;span class="_ _7"&gt;&lt;/span&gt;OUNTING ESTIMA&lt;span class="_ _6"&gt;&lt;/span&gt;TES AND JUDGEMENTS&lt;/span&gt;&lt;span style="display:inherit;clear:left;"&gt;Man&lt;span class="_ _7"&gt;&lt;/span&gt;ag&lt;span class="_ _7"&gt;&lt;/span&gt;eme&lt;span class="_ _7"&gt;&lt;/span&gt;nt r&lt;span class="_ _7"&gt;&lt;/span&gt;egu&lt;span class="_ _7"&gt;&lt;/span&gt;l&lt;span class="_ _7"&gt;&lt;/span&gt;arl&lt;span class="_ _7"&gt;&lt;/span&gt;y rea&lt;span class="_ _7"&gt;&lt;/span&gt;s&lt;span class="_ _7"&gt;&lt;/span&gt;s&lt;span class="_ _7"&gt;&lt;/span&gt;es&lt;span class="_ _7"&gt;&lt;/span&gt;s&lt;span class="_ _7"&gt;&lt;/span&gt;e&lt;span class="_ _7"&gt;&lt;/span&gt;s the u&lt;span class="_ _7"&gt;&lt;/span&gt;s&lt;span class="_ _7"&gt;&lt;/span&gt;ef&lt;span class="_ _7"&gt;&lt;/span&gt;ul li&lt;span class="_ _7"&gt;&lt;/span&gt;fe o&lt;span class="_ _7"&gt;&lt;/span&gt;f al&lt;span class="_ _7"&gt;&lt;/span&gt;l sig&lt;span class="_ _7"&gt;&lt;/span&gt;ni&lt;span class="_ _7"&gt;&lt;/span&gt;f&lt;span class="_ _7"&gt;&lt;/span&gt;ic&lt;span class="_ _7"&gt;&lt;/span&gt;ant &lt;/span&gt;&lt;span style="display:inherit;clear:left;"&gt;as&lt;span class="_ _7"&gt;&lt;/span&gt;s&lt;span class="_ _7"&gt;&lt;/span&gt;et&lt;span class="_ _7"&gt;&lt;/span&gt;s&lt;span class="_ _7"&gt;&lt;/span&gt;. Whe&lt;span class="_ _7"&gt;&lt;/span&gt;n th&lt;span class="_ _7"&gt;&lt;/span&gt;e us&lt;span class="_ _7"&gt;&lt;/span&gt;ef&lt;span class="_ _7"&gt;&lt;/span&gt;ul l&lt;span class="_ _7"&gt;&lt;/span&gt;if&lt;span class="_ _7"&gt;&lt;/span&gt;e of an i&lt;span class="_ _7"&gt;&lt;/span&gt;nt&lt;span class="_ _7"&gt;&lt;/span&gt;ang&lt;span class="_ _7"&gt;&lt;/span&gt;ib&lt;span class="_ _7"&gt;&lt;/span&gt;le as&lt;span class="_ _7"&gt;&lt;/span&gt;s&lt;span class="_ _7"&gt;&lt;/span&gt;et i&lt;span class="_ _7"&gt;&lt;/span&gt;s re&lt;span class="_ _7"&gt;&lt;/span&gt;du&lt;span class="_ _7"&gt;&lt;/span&gt;ce&lt;span class="_ _7"&gt;&lt;/span&gt;d, a&lt;span class="_ _7"&gt;&lt;/span&gt;mo&lt;span class="_ _7"&gt;&lt;/span&gt;r&lt;span class="_ _2"&gt;&lt;/span&gt;-&lt;/span&gt;&lt;span style="display:inherit;clear:left;"&gt;tis&lt;span class="_ _7"&gt;&lt;/span&gt;a&lt;span class="_ _7"&gt;&lt;/span&gt;tio&lt;span class="_ _7"&gt;&lt;/span&gt;n is a&lt;span class="_ _7"&gt;&lt;/span&gt;cc&lt;span class="_ _7"&gt;&lt;/span&gt;ele&lt;span class="_ _7"&gt;&lt;/span&gt;ra&lt;span class="_ _7"&gt;&lt;/span&gt;ted a&lt;span class="_ _7"&gt;&lt;/span&gt;nd i&lt;span class="_ _7"&gt;&lt;/span&gt;ncr&lt;span class="_ _7"&gt;&lt;/span&gt;ea&lt;span class="_ _7"&gt;&lt;/span&gt;se&lt;span class="_ _7"&gt;&lt;/span&gt;d in f&lt;span class="_ _7"&gt;&lt;/span&gt;ut&lt;span class="_ _7"&gt;&lt;/span&gt;ure p&lt;span class="_ _7"&gt;&lt;/span&gt;er&lt;span class="_ _7"&gt;&lt;/span&gt;io&lt;span class="_ _7"&gt;&lt;/span&gt;d&lt;span class="_ _7"&gt;&lt;/span&gt;s to re&lt;span class="_ _7"&gt;&lt;/span&gt;fle&lt;span class="_ _7"&gt;&lt;/span&gt;c&lt;span class="_ _7"&gt;&lt;/span&gt;t the &lt;/span&gt;&lt;span style="display:inherit;clear:left;"&gt;re&lt;span class="_ _7"&gt;&lt;/span&gt;duc&lt;span class="_ _7"&gt;&lt;/span&gt;ti&lt;span class="_ _7"&gt;&lt;/span&gt;on ove&lt;span class="_ _7"&gt;&lt;/span&gt;r tim&lt;span class="_ _7"&gt;&lt;/span&gt;e ove&lt;span class="_ _7"&gt;&lt;/span&gt;r wh&lt;span class="_ _7"&gt;&lt;/span&gt;ich t&lt;span class="_ _7"&gt;&lt;/span&gt;he Gr&lt;span class="_ _7"&gt;&lt;/span&gt;ou&lt;span class="_ _7"&gt;&lt;/span&gt;p wil&lt;span class="_ _7"&gt;&lt;/span&gt;l de&lt;span class="_ _7"&gt;&lt;/span&gt;ri&lt;span class="_ _7"&gt;&lt;/span&gt;ve be&lt;span class="_ _7"&gt;&lt;/span&gt;ne&lt;span class="_ _7"&gt;&lt;/span&gt;f&lt;span class="_ _7"&gt;&lt;/span&gt;it&lt;span class="_ _7"&gt;&lt;/span&gt;s fr&lt;span class="_ _7"&gt;&lt;/span&gt;om &lt;/span&gt;&lt;span style="display:inherit;clear:left;"&gt;the a&lt;span class="_ _7"&gt;&lt;/span&gt;s&lt;span class="_ _7"&gt;&lt;/span&gt;se&lt;span class="_ _7"&gt;&lt;/span&gt;t. A s&lt;span class="_ _7"&gt;&lt;/span&gt;ho&lt;span class="_ _7"&gt;&lt;/span&gt;r&lt;span class="_ _7"&gt;&lt;/span&gt;te&lt;span class="_ _7"&gt;&lt;/span&gt;r es&lt;span class="_ _7"&gt;&lt;/span&gt;ti&lt;span class="_ _7"&gt;&lt;/span&gt;mat&lt;span class="_ _7"&gt;&lt;/span&gt;ed u&lt;span class="_ _7"&gt;&lt;/span&gt;se&lt;span class="_ _7"&gt;&lt;/span&gt;fu&lt;span class="_ _7"&gt;&lt;/span&gt;l li&lt;span class="_ _7"&gt;&lt;/span&gt;fe i&lt;span class="_ _7"&gt;&lt;/span&gt;s not a&lt;span class="_ _7"&gt;&lt;/span&gt;lway&lt;span class="_ _7"&gt;&lt;/span&gt;s an in&lt;span class="_ _7"&gt;&lt;/span&gt;di&lt;span class="_ _7"&gt;&lt;/span&gt;ca&lt;span class="_ _7"&gt;&lt;/span&gt;tor &lt;/span&gt;&lt;span style="display:inherit;clear:left;"&gt;of im&lt;span class="_ _7"&gt;&lt;/span&gt;pa&lt;span class="_ _7"&gt;&lt;/span&gt;ir&lt;span class="_ _7"&gt;&lt;/span&gt;me&lt;span class="_ _7"&gt;&lt;/span&gt;nt, a&lt;span class="_ _7"&gt;&lt;/span&gt;s im&lt;span class="_ _7"&gt;&lt;/span&gt;pa&lt;span class="_ _7"&gt;&lt;/span&gt;irm&lt;span class="_ _7"&gt;&lt;/span&gt;en&lt;span class="_ _7"&gt;&lt;/span&gt;t is ch&lt;span class="_ _7"&gt;&lt;/span&gt;ar&lt;span class="_ _7"&gt;&lt;/span&gt;ac&lt;span class="_ _7"&gt;&lt;/span&gt;ter&lt;span class="_ _7"&gt;&lt;/span&gt;is&lt;span class="_ _7"&gt;&lt;/span&gt;e&lt;span class="_ _7"&gt;&lt;/span&gt;d by a ch&lt;span class="_ _7"&gt;&lt;/span&gt;ang&lt;span class="_ _7"&gt;&lt;/span&gt;e in th&lt;span class="_ _7"&gt;&lt;/span&gt;e &lt;/span&gt;&lt;span style="display:inherit;clear:left;"&gt;exp&lt;span class="_ _7"&gt;&lt;/span&gt;ec&lt;span class="_ _7"&gt;&lt;/span&gt;te&lt;span class="_ _7"&gt;&lt;/span&gt;d ca&lt;span class="_ _7"&gt;&lt;/span&gt;sh f&lt;span class="_ _7"&gt;&lt;/span&gt;low&lt;span class="_ _7"&gt;&lt;/span&gt;s to b&lt;span class="_ _7"&gt;&lt;/span&gt;e der&lt;span class="_ _7"&gt;&lt;/span&gt;iv&lt;span class="_ _7"&gt;&lt;/span&gt;ed f&lt;span class="_ _7"&gt;&lt;/span&gt;ro&lt;span class="_ _7"&gt;&lt;/span&gt;m the a&lt;span class="_ _7"&gt;&lt;/span&gt;s&lt;span class="_ _7"&gt;&lt;/span&gt;s&lt;span class="_ _7"&gt;&lt;/span&gt;et. W&lt;span class="_ _7"&gt;&lt;/span&gt;he&lt;span class="_ _7"&gt;&lt;/span&gt;n as&lt;span class="_ _7"&gt;&lt;/span&gt;s&lt;span class="_ _7"&gt;&lt;/span&gt;e&lt;span class="_ _7"&gt;&lt;/span&gt;s&lt;span class="_ _7"&gt;&lt;/span&gt;si&lt;span class="_ _7"&gt;&lt;/span&gt;ng &lt;/span&gt;&lt;span style="display:inherit;clear:left;"&gt;the u&lt;span class="_ _7"&gt;&lt;/span&gt;s&lt;span class="_ _7"&gt;&lt;/span&gt;ef&lt;span class="_ _7"&gt;&lt;/span&gt;ul li&lt;span class="_ _7"&gt;&lt;/span&gt;fe&lt;span class="_ _7"&gt;&lt;/span&gt;, cli&lt;span class="_ _7"&gt;&lt;/span&gt;mat&lt;span class="_ _7"&gt;&lt;/span&gt;e-rel&lt;span class="_ _7"&gt;&lt;/span&gt;ate&lt;span class="_ _7"&gt;&lt;/span&gt;d r&lt;span class="_ _7"&gt;&lt;/span&gt;is&lt;span class="_ _7"&gt;&lt;/span&gt;ks we&lt;span class="_ _7"&gt;&lt;/span&gt;re c&lt;span class="_ _7"&gt;&lt;/span&gt;on&lt;span class="_ _7"&gt;&lt;/span&gt;sid&lt;span class="_ _7"&gt;&lt;/span&gt;er&lt;span class="_ _7"&gt;&lt;/span&gt;ed a&lt;span class="_ _7"&gt;&lt;/span&gt;nd fo&lt;span class="_ _7"&gt;&lt;/span&gt;un&lt;span class="_ _7"&gt;&lt;/span&gt;d to &lt;/span&gt;&lt;span style="display:inherit;clear:left;"&gt;have n&lt;span class="_ _7"&gt;&lt;/span&gt;o ma&lt;span class="_ _7"&gt;&lt;/span&gt;ter&lt;span class="_ _7"&gt;&lt;/span&gt;ia&lt;span class="_ _7"&gt;&lt;/span&gt;l imp&lt;span class="_ _7"&gt;&lt;/span&gt;ac&lt;span class="_ _7"&gt;&lt;/span&gt;t. &lt;/span&gt;&lt;span style="display:inherit;clear:left;"&gt;Th&lt;span class="_ _7"&gt;&lt;/span&gt;e ca&lt;span class="_ _7"&gt;&lt;/span&gt;rr&lt;span class="_ _7"&gt;&lt;/span&gt;y&lt;span class="_ _7"&gt;&lt;/span&gt;ing a&lt;span class="_ _7"&gt;&lt;/span&gt;mo&lt;span class="_ _7"&gt;&lt;/span&gt;unt o&lt;span class="_ _7"&gt;&lt;/span&gt;f in&lt;span class="_ _7"&gt;&lt;/span&gt;ta&lt;span class="_ _7"&gt;&lt;/span&gt;ngi&lt;span class="_ _7"&gt;&lt;/span&gt;ble a&lt;span class="_ _7"&gt;&lt;/span&gt;s&lt;span class="_ _7"&gt;&lt;/span&gt;s&lt;span class="_ _7"&gt;&lt;/span&gt;et&lt;span class="_ _7"&gt;&lt;/span&gt;s wit&lt;span class="_ _7"&gt;&lt;/span&gt;h fi&lt;span class="_ _7"&gt;&lt;/span&gt;ni&lt;span class="_ _7"&gt;&lt;/span&gt;te us&lt;span class="_ _7"&gt;&lt;/span&gt;ef&lt;span class="_ _7"&gt;&lt;/span&gt;ul l&lt;span class="_ _7"&gt;&lt;/span&gt;ive&lt;span class="_ _7"&gt;&lt;/span&gt;s i&lt;span class="_ _7"&gt;&lt;/span&gt;s &lt;/span&gt;&lt;span style="display:inherit;clear:left;"&gt;tes&lt;span class="_ _7"&gt;&lt;/span&gt;te&lt;span class="_ _7"&gt;&lt;/span&gt;d fo&lt;span class="_ _7"&gt;&lt;/span&gt;r imp&lt;span class="_ _7"&gt;&lt;/span&gt;ai&lt;span class="_ _7"&gt;&lt;/span&gt;rm&lt;span class="_ _7"&gt;&lt;/span&gt;ent w&lt;span class="_ _7"&gt;&lt;/span&gt;he&lt;span class="_ _7"&gt;&lt;/span&gt;n the&lt;span class="_ _7"&gt;&lt;/span&gt;re a&lt;span class="_ _7"&gt;&lt;/span&gt;re in&lt;span class="_ _7"&gt;&lt;/span&gt;di&lt;span class="_ _7"&gt;&lt;/span&gt;ca&lt;span class="_ _7"&gt;&lt;/span&gt;tor&lt;span class="_ _7"&gt;&lt;/span&gt;s o&lt;span class="_ _7"&gt;&lt;/span&gt;f a de&lt;span class="_ _7"&gt;&lt;/span&gt;cli&lt;span class="_ _7"&gt;&lt;/span&gt;ne in t&lt;span class="_ _7"&gt;&lt;/span&gt;he &lt;/span&gt;&lt;span style="display:inherit;clear:left;"&gt;exp&lt;span class="_ _7"&gt;&lt;/span&gt;ec&lt;span class="_ _7"&gt;&lt;/span&gt;te&lt;span class="_ _7"&gt;&lt;/span&gt;d fu&lt;span class="_ _7"&gt;&lt;/span&gt;tur&lt;span class="_ _7"&gt;&lt;/span&gt;e ec&lt;span class="_ _7"&gt;&lt;/span&gt;on&lt;span class="_ _7"&gt;&lt;/span&gt;omi&lt;span class="_ _7"&gt;&lt;/span&gt;c be&lt;span class="_ _7"&gt;&lt;/span&gt;ne&lt;span class="_ _7"&gt;&lt;/span&gt;f&lt;span class="_ _7"&gt;&lt;/span&gt;it&lt;span class="_ _7"&gt;&lt;/span&gt;s re&lt;span class="_ _7"&gt;&lt;/span&gt;la&lt;span class="_ _7"&gt;&lt;/span&gt;ted to t&lt;span class="_ _7"&gt;&lt;/span&gt;he a&lt;span class="_ _7"&gt;&lt;/span&gt;s&lt;span class="_ _7"&gt;&lt;/span&gt;se&lt;span class="_ _7"&gt;&lt;/span&gt;t. Im&lt;span class="_ _7"&gt;&lt;/span&gt;pa&lt;span class="_ _7"&gt;&lt;/span&gt;ir&lt;span class="_ _7"&gt;&lt;/span&gt;me&lt;span class="_ _7"&gt;&lt;/span&gt;nt &lt;/span&gt;&lt;span style="display:inherit;clear:left;"&gt;tes&lt;span class="_ _7"&gt;&lt;/span&gt;ti&lt;span class="_ _7"&gt;&lt;/span&gt;ng o&lt;span class="_ _7"&gt;&lt;/span&gt;f as&lt;span class="_ _7"&gt;&lt;/span&gt;s&lt;span class="_ _7"&gt;&lt;/span&gt;et&lt;span class="_ _7"&gt;&lt;/span&gt;s tha&lt;span class="_ _7"&gt;&lt;/span&gt;t do n&lt;span class="_ _7"&gt;&lt;/span&gt;ot ge&lt;span class="_ _7"&gt;&lt;/span&gt;ne&lt;span class="_ _7"&gt;&lt;/span&gt;ra&lt;span class="_ _7"&gt;&lt;/span&gt;te la&lt;span class="_ _7"&gt;&lt;/span&gt;rg&lt;span class="_ _7"&gt;&lt;/span&gt;ely i&lt;span class="_ _7"&gt;&lt;/span&gt;nd&lt;span class="_ _7"&gt;&lt;/span&gt;ep&lt;span class="_ _7"&gt;&lt;/span&gt;en&lt;span class="_ _7"&gt;&lt;/span&gt;den&lt;span class="_ _7"&gt;&lt;/span&gt;t ca&lt;span class="_ _7"&gt;&lt;/span&gt;sh &lt;/span&gt;&lt;span style="display:inherit;clear:left;"&gt;inf&lt;span class="_ _7"&gt;&lt;/span&gt;lo&lt;span class="_ _7"&gt;&lt;/span&gt;ws i&lt;span class="_ _7"&gt;&lt;/span&gt;s pe&lt;span class="_ _7"&gt;&lt;/span&gt;r&lt;span class="_ _7"&gt;&lt;/span&gt;fo&lt;span class="_ _7"&gt;&lt;/span&gt;rm&lt;span class="_ _7"&gt;&lt;/span&gt;ed by g&lt;span class="_ _7"&gt;&lt;/span&gt;ro&lt;span class="_ _7"&gt;&lt;/span&gt;up&lt;span class="_ _7"&gt;&lt;/span&gt;ing a&lt;span class="_ _7"&gt;&lt;/span&gt;s&lt;span class="_ _7"&gt;&lt;/span&gt;se&lt;span class="_ _7"&gt;&lt;/span&gt;ts p&lt;span class="_ _7"&gt;&lt;/span&gt;er p&lt;span class="_ _7"&gt;&lt;/span&gt;l&lt;span class="_ _7"&gt;&lt;/span&gt;at&lt;span class="_ _7"&gt;&lt;/span&gt;fo&lt;span class="_ _7"&gt;&lt;/span&gt;rm&lt;span class="_ _7"&gt;&lt;/span&gt;, wh&lt;span class="_ _7"&gt;&lt;/span&gt;ich &lt;/span&gt;&lt;span style="display:inherit;clear:left;"&gt; &lt;span class="_ _1"&gt;&lt;/span&gt;c&lt;span class="_ _7"&gt;&lt;/span&gt;o&lt;span class="_ _7"&gt;&lt;/span&gt;ns&lt;span class="_ _7"&gt;&lt;/span&gt;t&lt;span class="_ _7"&gt;&lt;/span&gt;i&lt;span class="_ _7"&gt;&lt;/span&gt;tute t&lt;span class="_ _7"&gt;&lt;/span&gt;he c&lt;span class="_ _7"&gt;&lt;/span&gt;as&lt;span class="_ _7"&gt;&lt;/span&gt;h-gen&lt;span class="_ _7"&gt;&lt;/span&gt;er&lt;span class="_ _7"&gt;&lt;/span&gt;ati&lt;span class="_ _7"&gt;&lt;/span&gt;ng un&lt;span class="_ _7"&gt;&lt;/span&gt;it&lt;span class="_ _7"&gt;&lt;/span&gt;s (CGU&lt;span class="_ _7"&gt;&lt;/span&gt;s) of Volvo Ca&lt;span class="_ _7"&gt;&lt;/span&gt;r&lt;span class="_ _7"&gt;&lt;/span&gt;s. &lt;/span&gt;&lt;span style="display:inherit;clear:left;position:relative;height:550.25390625px;"&gt;&lt;span class="pp-font-color-override-1" style="position: absolute; display: inline-block; left: 502.109px; top: 0.0039062px; width: 28.7051px; white-space: pre; word-spacing: 0px; letter-spacing: 0px; margin-left: 0px; font-size: 9.6px; font-family: ff88; -webkit-text-stroke: 0.144px rgba(0, 0, 0, 0);"&gt;&lt;span style="display: inline-block;"&gt;As&lt;/span&gt;&lt;span style="word-spacing: 0px; letter-spacing: 0px; display: inline-block; margin-left: 0px; width: 0.410156px; font-size: 9.6px; font-family: ff88; -webkit-text-stroke: 0.144px rgba(0, 0, 0, 0);"&gt;&lt;/span&gt;&lt;span style="display: inline-block;"&gt;s&lt;/span&gt;&lt;span style="word-spacing: 0px; letter-spacing: 0px; display: inline-block; margin-left: 0px; width: 0.410156px; font-size: 9.6px; font-family: ff88; -webkit-text-stroke: 0.144px rgba(0, 0, 0, 0);"&gt;&lt;/span&gt;&lt;span style="display: inline-block;"&gt;et&lt;/span&gt;&lt;span style="word-spacing: 0px; letter-spacing: 0px; display: inline-block; margin-left: 0px; width: 0.410156px; font-size: 9.6px; font-family: ff88; -webkit-text-stroke: 0.144px rgba(0, 0, 0, 0);"&gt;&lt;/span&gt;&lt;span style="display: inline-block;"&gt;s &lt;/span&gt;&lt;/span&gt;&lt;span class="pp-font-color-override-1" style="position: absolute; display: inline-block; left: 553.109px; top: 0.0039062px; width: 45.5918px; white-space: pre; word-spacing: -0.2016px; letter-spacing: 0.2016px; margin-left: 0px; font-size: 9.6px; font-family: ff88; -webkit-text-stroke: 0.144px rgba(0, 0, 0, 0);"&gt;&lt;span style="display: inline-block;"&gt;T&lt;/span&gt;&lt;span style="word-spacing: -0.2016px; letter-spacing: 0.2016px; display: inline-block; margin-left: -1.13625px; width: 0px; font-size: 9.6px; font-family: ff88; -webkit-text-stroke: 0.144px rgba(0, 0, 0, 0);"&gt;&lt;/span&gt;&lt;span style="display: inline-block;"&gt;r&lt;/span&gt;&lt;span style="word-spacing: -0.2016px; letter-spacing: 0.2016px; display: inline-block; margin-left: 0px; width: 0.410156px; font-size: 9.6px; font-family: ff88; -webkit-text-stroke: 0.144px rgba(0, 0, 0, 0);"&gt;&lt;/span&gt;&lt;span style="display: inline-block;"&gt;ademark &lt;/span&gt;&lt;/span&gt;&lt;span class="pp-font-color-override-1" style="position: absolute; display: inline-block; left: 659.859px; top: 0.0039062px; width: 25.1543px; white-space: pre; word-spacing: 0px; letter-spacing: 0px; margin-left: 0px; font-size: 9.6px; font-family: ff88; -webkit-text-stroke: 0.144px rgba(0, 0, 0, 0);"&gt;&lt;span style="display: inline-block;"&gt;Ot&lt;/span&gt;&lt;span style="word-spacing: 0px; letter-spacing: 0px; display: inline-block; margin-left: 0px; width: 0.410156px; font-size: 9.6px; font-family: ff88; -webkit-text-stroke: 0.144px rgba(0, 0, 0, 0);"&gt;&lt;/span&gt;&lt;span style="display: inline-block;"&gt;he&lt;/span&gt;&lt;span style="word-spacing: 0px; letter-spacing: 0px; display: inline-block; margin-left: 0px; width: 0.410156px; font-size: 9.6px; font-family: ff88; -webkit-text-stroke: 0.144px rgba(0, 0, 0, 0);"&gt;&lt;/span&gt;&lt;span style="display: inline-block;"&gt;r &lt;/span&gt;&lt;span style="word-spacing: 0px; letter-spacing: 0px; display: inline-block; margin-left: -2.33175px; width: 0px; font-size: 9.6px; font-family: ff88; -webkit-text-stroke: 0.144px rgba(0, 0, 0, 0);"&gt;&lt;/span&gt;&lt;span style="display: inline-block;"&gt; &lt;/span&gt;&lt;/span&gt;&lt;span class="pp-font-color-override-1" style="position: absolute; display: inline-block; left: 359.812px; top: 10.5039px; width: 33.6797px; white-space: pre; word-spacing: -0.192px; letter-spacing: 0.192px; margin-left: 0px; font-size: 9.6px; font-family: ff88; -webkit-text-stroke: 0.144px rgba(0, 0, 0, 0);"&gt;&lt;span style="display: inline-block;"&gt;Product &lt;/span&gt;&lt;span style="word-spacing: -0.192px; letter-spacing: 0.192px; display: inline-block; margin-left: -2.33175px; width: 0px; font-size: 9.6px; font-family: ff88; -webkit-text-stroke: 0.144px rgba(0, 0, 0, 0);"&gt;&lt;/span&gt;&lt;span class="pp-font-color-override-1" style="word-spacing: 0px; letter-spacing: 0px; display: inline-block; margin-left: 0px; font-size: 9.6px; font-family: ff88; -webkit-text-stroke: 0.144px rgba(0, 0, 0, 0);"&gt;&lt;span style="display: inline-block;"&gt; &lt;/span&gt;&lt;/span&gt;&lt;/span&gt;&lt;span class="pp-font-color-override-1" style="position: absolute; display: inline-block; left: 482.812px; top: 10.5039px; width: 42.2461px; white-space: pre; word-spacing: -0.2016px; letter-spacing: 0.2016px; margin-left: 0px; font-size: 9.6px; font-family: ff88; -webkit-text-stroke: 0.144px rgba(0, 0, 0, 0);"&gt;&lt;span style="display: inline-block;"&gt;under con&lt;/span&gt;&lt;span style="word-spacing: -0.2016px; letter-spacing: 0.2016px; display: inline-block; margin-left: -0.684px; width: 0px; font-size: 9.6px; font-family: ff88; -webkit-text-stroke: 0.144px rgba(0, 0, 0, 0);"&gt;&lt;/span&gt;&lt;span class="pp-font-color-override-1" style="word-spacing: 0px; letter-spacing: 0px; display: inline-block; margin-left: 0px; font-size: 9.6px; font-family: ff88; -webkit-text-stroke: 0.144px rgba(0, 0, 0, 0);"&gt;&lt;span style="display: inline-block;"&gt;-&lt;/span&gt;&lt;/span&gt;&lt;/span&gt;&lt;span class="pp-font-color-override-1" style="position: absolute; display: inline-block; left: 583.469px; top: 10.5039px; width: 16.6758px; white-space: pre; word-spacing: 0px; letter-spacing: 0px; margin-left: 0px; font-size: 9.6px; font-family: ff88; -webkit-text-stroke: 0.144px rgba(0, 0, 0, 0);"&gt;&lt;span style="display: inline-block;"&gt;an&lt;/span&gt;&lt;span style="word-spacing: 0px; letter-spacing: 0px; display: inline-block; margin-left: 0px; width: 0.410156px; font-size: 9.6px; font-family: ff88; -webkit-text-stroke: 0.144px rgba(0, 0, 0, 0);"&gt;&lt;/span&gt;&lt;span style="display: inline-block;"&gt;d &lt;/span&gt;&lt;/span&gt;&lt;span class="pp-font-color-override-1" style="position: absolute; display: inline-block; left: 640.719px; top: 10.5039px; width: 42.5098px; white-space: pre; word-spacing: -0.1728px; letter-spacing: 0.1728px; margin-left: 0px; font-size: 9.6px; font-family: ff88; -webkit-text-stroke: 0.144px rgba(0, 0, 0, 0);"&gt;&lt;span style="display: inline-block;"&gt;intangible &lt;/span&gt;&lt;/span&gt;&lt;span class="pp-font-color-override-1" style="position: absolute; display: inline-block; left: 385.453px; top: 21.5957px; width: 10.4238px; white-space: pre; word-spacing: 0.0727582px; letter-spacing: -0.0727582px; margin-left: 0px; font-size: 5.5968px; font-family: ff88; -webkit-text-stroke: 0.083952px rgba(0, 0, 0, 0);"&gt;&lt;span style="display: inline-block;"&gt;1) 4)&lt;/span&gt;&lt;/span&gt;&lt;span class="pp-font-color-override-1" style="position: absolute; display: inline-block; left: 460.406px; top: 21.5957px; width: 4.51172px; white-space: pre; word-spacing: 0.0727582px; letter-spacing: -0.0727582px; margin-left: 0px; font-size: 5.5968px; font-family: ff88; -webkit-text-stroke: 0.083952px rgba(0, 0, 0, 0);"&gt;&lt;span style="display: inline-block;"&gt;4)&lt;/span&gt;&lt;/span&gt;&lt;span class="pp-font-color-override-1" style="position: absolute; display: inline-block; left: 595.703px; top: 21.5957px; width: 4.58203px; white-space: pre; word-spacing: 0.0391777px; letter-spacing: -0.0391777px; margin-left: 0px; font-size: 5.5968px; font-family: ff88; -webkit-text-stroke: 0.083952px rgba(0, 0, 0, 0);"&gt;&lt;span style="display: inline-block;"&gt;2)&lt;/span&gt;&lt;/span&gt;&lt;span class="pp-font-color-override-1" style="position: absolute; display: inline-block; left: 417.234px; top: 21.0039px; width: 36.4395px; white-space: pre; word-spacing: -0.1728px; letter-spacing: 0.1728px; margin-left: 0px; font-size: 9.6px; font-family: ff88; -webkit-text-stroke: 0.144px rgba(0, 0, 0, 0);"&gt;&lt;span style="display: inline-block;"&gt;Sof&lt;/span&gt;&lt;span style="word-spacing: -0.1728px; letter-spacing: 0.1728px; display: inline-block; margin-left: 0px; width: 0.410156px; font-size: 9.6px; font-family: ff88; -webkit-text-stroke: 0.144px rgba(0, 0, 0, 0);"&gt;&lt;/span&gt;&lt;span style="display: inline-block;"&gt;tware&lt;/span&gt;&lt;/span&gt;&lt;span class="pp-font-color-override-1" style="position: absolute; display: inline-block; left: 492.375px; top: 21.0039px; width: 35.4023px; white-space: pre; word-spacing: -0.2016px; letter-spacing: 0.2016px; margin-left: 0px; font-size: 9.6px; font-family: ff88; -webkit-text-stroke: 0.144px rgba(0, 0, 0, 0);"&gt;&lt;span style="display: inline-block;"&gt;struction&lt;/span&gt;&lt;/span&gt;&lt;span class="pp-font-color-override-1" style="position: absolute; display: inline-block; left: 556px; top: 21.0039px; width: 35.9121px; white-space: pre; word-spacing: -2.4288px; letter-spacing: 0.2016px; margin-left: 0px; font-size: 9.6px; font-family: ff88; -webkit-text-stroke: 0.144px rgba(0, 0, 0, 0);"&gt;&lt;span style="display: inline-block;"&gt; goodwill&lt;/span&gt;&lt;/span&gt;&lt;span class="pp-font-color-override-1" style="position: absolute; display: inline-block; left: 651.172px; top: 21.0039px; width: 23.8477px; white-space: pre; word-spacing: -0.1728px; letter-spacing: 0.1728px; margin-left: 0px; font-size: 9.6px; font-family: ff88; -webkit-text-stroke: 0.144px rgba(0, 0, 0, 0);"&gt;&lt;span style="display: inline-block;"&gt;ass&lt;/span&gt;&lt;span style="word-spacing: -0.1728px; letter-spacing: 0.1728px; display: inline-block; margin-left: 0px; width: 0.410156px; font-size: 9.6px; font-family: ff88; -webkit-text-stroke: 0.144px rgba(0, 0, 0, 0);"&gt;&lt;/span&gt;&lt;span style="display: inline-block;"&gt;ets&lt;/span&gt;&lt;/span&gt;&lt;span class="pp-font-color-override-1" style="position: absolute; display: inline-block; left: 680.766px; top: 21.5957px; width: 4.57031px; white-space: pre; word-spacing: 0.0447743px; letter-spacing: -0.0447743px; margin-left: 0px; font-size: 5.5968px; font-family: ff88; -webkit-text-stroke: 0.083952px rgba(0, 0, 0, 0);"&gt;&lt;span style="display: inline-block;"&gt;3)&lt;/span&gt;&lt;/span&gt;&lt;span class="pp-font-color-override-1" style="position: absolute; display: inline-block; left: 325.938px; top: 21.0039px; width: 51.791px; white-space: pre; word-spacing: -0.2016px; letter-spacing: 0.2016px; margin-left: 0px; font-size: 9.6px; font-family: ff88; -webkit-text-stroke: 0.144px rgba(0, 0, 0, 0);"&gt;&lt;span style="display: inline-block;"&gt;development&lt;/span&gt;&lt;/span&gt;&lt;span class="pp-font-color-override-1" style="position: absolute; display: inline-block; left: 718.25px; top: 21.748px; width: 20.4902px; white-space: pre; word-spacing: -0.1824px; letter-spacing: 0.1824px; margin-left: 0px; font-size: 9.6px; font-family: ff89; -webkit-text-stroke: 0.144px rgba(0, 0, 0, 0);"&gt;&lt;span style="display: inline-block;"&gt;T&lt;/span&gt;&lt;span style="word-spacing: -0.1824px; letter-spacing: 0.1824px; display: inline-block; margin-left: -0.684px; width: 0px; font-size: 9.6px; font-family: ff89; -webkit-text-stroke: 0.144px rgba(0, 0, 0, 0);"&gt;&lt;/span&gt;&lt;span style="display: inline-block;"&gt;otal&lt;/span&gt;&lt;/span&gt;&lt;span class="pp-font-color-override-1" style="position: absolute; display: inline-block; left: 0px; top: 43.5859px; width: 71.7188px; white-space: pre; word-spacing: -0.1785px; letter-spacing: 0.21px; margin-left: 0px; font-size: 10.5px; font-family: ff89; -webkit-text-stroke: 0.1575px rgba(0, 0, 0, 0);"&gt;&lt;span style="display: inline-block;"&gt;Acquisition cost&lt;/span&gt;&lt;/span&gt;&lt;span class="pp-font-color-override-1" style="position: absolute; display: inline-block; left: 0px; top: 59.7578px; width: 350.021px; white-space: pre; word-spacing: 0px; letter-spacing: 0.0315px; margin-left: 0px; font-size: 10.5px; font-family: ff8a; -webkit-text-stroke: 0.1575px rgba(0, 0, 0, 0);"&gt;&lt;span style="display: inline-block;"&gt;Ba&lt;/span&gt;&lt;span style="word-spacing: 0px; letter-spacing: 0.0315px; display: inline-block; margin-left: 0px; width: 0.410156px; font-size: 10.5px; font-family: ff8a; -webkit-text-stroke: 0.1575px rgba(0, 0, 0, 0);"&gt;&lt;/span&gt;&lt;span style="display: inline-block;"&gt;la&lt;/span&gt;&lt;span style="word-spacing: 0px; letter-spacing: 0.0315px; display: inline-block; margin-left: 0px; width: 0.410156px; font-size: 10.5px; font-family: ff8a; -webkit-text-stroke: 0.1575px rgba(0, 0, 0, 0);"&gt;&lt;/span&gt;&lt;span style="display: inline-block;"&gt;nc&lt;/span&gt;&lt;span style="word-spacing: 0px; letter-spacing: 0.0315px; display: inline-block; margin-left: 0px; width: 0.410156px; font-size: 10.5px; font-family: ff8a; -webkit-text-stroke: 0.1575px rgba(0, 0, 0, 0);"&gt;&lt;/span&gt;&lt;span style="display: inline-block;"&gt;e at 1 Ja&lt;/span&gt;&lt;span style="word-spacing: 0px; letter-spacing: 0.0315px; display: inline-block; margin-left: 0px; width: 0.410156px; font-size: 10.5px; font-family: ff8a; -webkit-text-stroke: 0.1575px rgba(0, 0, 0, 0);"&gt;&lt;/span&gt;&lt;span style="display: inline-block;"&gt;nua&lt;/span&gt;&lt;span style="word-spacing: 0px; letter-spacing: 0.0315px; display: inline-block; margin-left: 0px; width: 0.410156px; font-size: 10.5px; font-family: ff8a; -webkit-text-stroke: 0.1575px rgba(0, 0, 0, 0);"&gt;&lt;/span&gt;&lt;span style="display: inline-block;"&gt;r&lt;/span&gt;&lt;span style="word-spacing: 0px; letter-spacing: 0.0315px; display: inline-block; margin-left: 0px; width: 0.410156px; font-size: 10.5px; font-family: ff8a; -webkit-text-stroke: 0.1575px rgba(0, 0, 0, 0);"&gt;&lt;/span&gt;&lt;span style="display: inline-block;"&gt;y 2024&lt;/span&gt;&lt;span style="word-spacing: 0px; letter-spacing: 0.0315px; display: inline-block; margin-left: 0px; width: 235.951px; font-size: 10.5px; font-family: ff8a; -webkit-text-stroke: 0.1575px rgba(0, 0, 0, 0);"&gt;&lt;span style="display: inline-block;"&gt; &lt;/span&gt;&lt;/span&gt;&lt;/span&gt;&lt;span class="pp-font-color-override-1" style="position: absolute; display: inline-block; left: 350.021px; top: 59.7578px; width: 69.5039px; white-space: pre; word-spacing: 0.3465px; letter-spacing: -0.3465px; margin-left: 0px; font-size: 10.5px; font-family: ff8a; -webkit-text-stroke: 0.1575px rgba(0, 0, 0, 0);"&gt;&lt;span style="display: inline-block;"&gt;5&lt;/span&gt;&lt;span style="word-spacing: 0.3465px; letter-spacing: -0.3465px; display: inline-block; margin-left: 0px; width: 0.410156px; font-size: 10.5px; font-family: ff8a; -webkit-text-stroke: 0.1575px rgba(0, 0, 0, 0);"&gt;&lt;/span&gt;&lt;span style="display: inline-block;"&gt;1&lt;/span&gt;&lt;span style="word-spacing: 0.3465px; letter-spacing: -0.3465px; display: inline-block; margin-left: 0px; width: 0.410156px; font-size: 10.5px; font-family: ff8a; -webkit-text-stroke: 0.1575px rgba(0, 0, 0, 0);"&gt;&lt;/span&gt;&lt;span style="display: inline-block;"&gt;,&lt;/span&gt;&lt;span style="word-spacing: 0.3465px; letter-spacing: -0.3465px; display: inline-block; margin-left: 0px; width: 0.410156px; font-size: 10.5px; font-family: ff8a; -webkit-text-stroke: 0.1575px rgba(0, 0, 0, 0);"&gt;&lt;/span&gt;&lt;span style="display: inline-block;"&gt;4&lt;/span&gt;&lt;span style="word-spacing: 0.3465px; letter-spacing: -0.3465px; display: inline-block; margin-left: 0px; width: 0.925781px; font-size: 10.5px; font-family: ff8a; -webkit-text-stroke: 0.1575px rgba(0, 0, 0, 0);"&gt;&lt;/span&gt;&lt;span style="display: inline-block;"&gt;41&lt;/span&gt;&lt;span style="word-spacing: 0.3465px; letter-spacing: -0.3465px; display: inline-block; margin-left: 0px; width: 40.5469px; font-size: 10.5px; font-family: ff8a; -webkit-text-stroke: 0.1575px rgba(0, 0, 0, 0);"&gt;&lt;span style="display: inline-block;"&gt;&lt;span style="width: 2.625px; display: inline-block;"&gt; &lt;/span&gt;&lt;/span&gt;&lt;/span&gt;&lt;/span&gt;&lt;span class="pp-font-color-override-1" style="position: absolute; display: inline-block; left: 419.525px; top: 59.7578px; width: 57.2051px; white-space: pre; word-spacing: -0.0105px; letter-spacing: 0.0105px; margin-left: 0px; font-size: 10.5px; font-family: ff8a; -webkit-text-stroke: 0.1575px rgba(0, 0, 0, 0);"&gt;&lt;span style="display: inline-block;"&gt;8,031&lt;/span&gt;&lt;span style="word-spacing: -0.0105px; letter-spacing: 0.0105px; display: inline-block; margin-left: 0px; width: 33.5273px; font-size: 10.5px; font-family: ff8a; -webkit-text-stroke: 0.1575px rgba(0, 0, 0, 0);"&gt;&lt;span style="display: inline-block;"&gt; &lt;/span&gt;&lt;/span&gt;&lt;/span&gt;&lt;span class="pp-font-color-override-1" style="position: absolute; display: inline-block; left: 476.73px; top: 59.7578px; width: 142.793px; white-space: pre; word-spacing: 0.546px; letter-spacing: -0.546px; margin-left: 0px; font-size: 10.5px; font-family: ff8a; -webkit-text-stroke: 0.1575px rgba(0, 0, 0, 0);"&gt;&lt;span style="display: inline-block;"&gt;37,&lt;/span&gt;&lt;span style="word-spacing: 0.546px; letter-spacing: -0.546px; display: inline-block; margin-left: 0px; width: 0.925781px; font-size: 10.5px; font-family: ff8a; -webkit-text-stroke: 0.1575px rgba(0, 0, 0, 0);"&gt;&lt;/span&gt;&lt;span style="display: inline-block;"&gt;4&lt;/span&gt;&lt;span style="word-spacing: 0.546px; letter-spacing: -0.546px; display: inline-block; margin-left: 0px; width: 0.925781px; font-size: 10.5px; font-family: ff8a; -webkit-text-stroke: 0.1575px rgba(0, 0, 0, 0);"&gt;&lt;/span&gt;&lt;span style="display: inline-block;"&gt;6&lt;/span&gt;&lt;span style="word-spacing: 0.546px; letter-spacing: -0.546px; display: inline-block; margin-left: 0px; width: 0.410156px; font-size: 10.5px; font-family: ff8a; -webkit-text-stroke: 0.1575px rgba(0, 0, 0, 0);"&gt;&lt;/span&gt;&lt;span style="display: inline-block;"&gt;6&lt;/span&gt;&lt;span style="word-spacing: 0.546px; letter-spacing: -0.546px; display: inline-block; margin-left: 0px; width: 41.244px; font-size: 10.5px; font-family: ff8a; -webkit-text-stroke: 0.1575px rgba(0, 0, 0, 0);"&gt;&lt;span style="display: inline-block;"&gt;&lt;span style="width: 2.625px; display: inline-block;"&gt; &lt;/span&gt;&lt;/span&gt;&lt;/span&gt;&lt;span class="pp-font-color-override-1" style="word-spacing: 0.021px; letter-spacing: -0.021px; display: inline-block; margin-left: 0px; font-size: 10.5px; font-family: ff8a; -webkit-text-stroke: 0.1575px rgba(0, 0, 0, 0);"&gt;&lt;span style="display: inline-block;"&gt;4&lt;/span&gt;&lt;span style="word-spacing: 0.021px; letter-spacing: -0.021px; display: inline-block; margin-left: 0px; width: 0.410156px; font-size: 10.5px; font-family: ff8a; -webkit-text-stroke: 0.1575px rgba(0, 0, 0, 0);"&gt;&lt;/span&gt;&lt;span style="display: inline-block;"&gt;,&lt;/span&gt;&lt;span style="word-spacing: 0.021px; letter-spacing: -0.021px; display: inline-block; margin-left: 0px; width: 0.410156px; font-size: 10.5px; font-family: ff8a; -webkit-text-stroke: 0.1575px rgba(0, 0, 0, 0);"&gt;&lt;/span&gt;&lt;span style="display: inline-block;"&gt;218&lt;/span&gt;&lt;span style="word-spacing: 0.021px; letter-spacing: -0.021px; display: inline-block; margin-left: 0px; width: 49.3301px; font-size: 10.5px; font-family: ff8a; -webkit-text-stroke: 0.1575px rgba(0, 0, 0, 0);"&gt;&lt;span style="display: inline-block;"&gt;&lt;span style="width: 2.625px; display: inline-block;"&gt; &lt;/span&gt;&lt;/span&gt;&lt;/span&gt;&lt;/span&gt;&lt;/span&gt;&lt;span class="pp-font-color-override-1" style="position: absolute; display: inline-block; left: 619.523px; top: 59.7578px; width: 82.7402px; white-space: pre; word-spacing: 0px; letter-spacing: 0.0315px; margin-left: 0px; font-size: 10.5px; font-family: ff8a; -webkit-text-stroke: 0.1575px rgba(0, 0, 0, 0);"&gt;&lt;span class="pp-font-color-override-1" style="word-spacing: 0px; letter-spacing: 0px; display: inline-block; margin-left: 0px; font-size: 10.5px; font-family: ff8a; -webkit-text-stroke: 0.1575px rgba(0, 0, 0, 0);"&gt;&lt;span style="display: inline-block;"&gt;10,0&lt;/span&gt;&lt;span style="word-spacing: 0px; letter-spacing: 0px; display: inline-block; margin-left: 0px; width: 0.410156px; font-size: 10.5px; font-family: ff8a; -webkit-text-stroke: 0.1575px rgba(0, 0, 0, 0);"&gt;&lt;/span&gt;&lt;span style="display: inline-block;"&gt;08&lt;/span&gt;&lt;span style="word-spacing: 0px; letter-spacing: 0px; display: inline-block; margin-left: 0px; width: 20.748px; font-size: 10.5px; font-family: ff8a; -webkit-text-stroke: 0.1575px rgba(0, 0, 0, 0);"&gt;&lt;span style="display: inline-block;"&gt; &lt;/span&gt;&lt;/span&gt;&lt;span class="pp-font-color-override-1" style="word-spacing: 0.21px; letter-spacing: -0.21px; display: inline-block; margin-left: 0px; font-size: 10.5px; font-family: ff89; -webkit-text-stroke: 0.1575px rgba(0, 0, 0, 0);"&gt;&lt;span style="display: inline-block;"&gt;111&lt;/span&gt;&lt;span style="word-spacing: 0.21px; letter-spacing: -0.21px; display: inline-block; margin-left: 0px; width: 0.410156px; font-size: 10.5px; font-family: ff89; -webkit-text-stroke: 0.1575px rgba(0, 0, 0, 0);"&gt;&lt;/span&gt;&lt;span style="display: inline-block;"&gt;,16&lt;/span&gt;&lt;span style="word-spacing: 0.21px; letter-spacing: -0.21px; display: inline-block; margin-left: 0px; width: 0.410156px; font-size: 10.5px; font-family: ff89; -webkit-text-stroke: 0.1575px rgba(0, 0, 0, 0);"&gt;&lt;/span&gt;&lt;span style="display: inline-block;"&gt;4&lt;/span&gt;&lt;/span&gt;&lt;/span&gt;&lt;/span&gt;&lt;span class="pp-font-color-override-1" style="position: absolute; display: inline-block; left: 0px; top: 76.4453px; width: 362.918px; white-space: pre; word-spacing: -0.0735px; letter-spacing: 0.0735px; margin-left: 0px; font-size: 10.5px; font-family: ff8a; -webkit-text-stroke: 0.1575px rgba(0, 0, 0, 0);"&gt;&lt;span style="display: inline-block;"&gt;Additi&lt;/span&gt;&lt;span style="word-spacing: -0.0735px; letter-spacing: 0.0735px; display: inline-block; margin-left: 0px; width: 0.410156px; font-size: 10.5px; font-family: ff8a; -webkit-text-stroke: 0.1575px rgba(0, 0, 0, 0);"&gt;&lt;/span&gt;&lt;span style="display: inline-block;"&gt;on&lt;/span&gt;&lt;span style="word-spacing: -0.0735px; letter-spacing: 0.0735px; display: inline-block; margin-left: 0px; width: 0.410156px; font-size: 10.5px; font-family: ff8a; -webkit-text-stroke: 0.1575px rgba(0, 0, 0, 0);"&gt;&lt;/span&gt;&lt;span style="display: inline-block;"&gt;s&lt;/span&gt;&lt;span style="word-spacing: -0.0735px; letter-spacing: 0.0735px; display: inline-block; margin-left: 0px; width: 320.004px; font-size: 10.5px; font-family: ff8a; -webkit-text-stroke: 0.1575px rgba(0, 0, 0, 0);"&gt;&lt;span style="display: inline-block;"&gt; &lt;/span&gt;&lt;/span&gt;&lt;/span&gt;&lt;span class="pp-font-color-override-1" style="position: absolute; display: inline-block; left: 362.918px; top: 76.4453px; width: 79.4414px; white-space: pre; word-spacing: -0.147px; letter-spacing: 0.147px; margin-left: 0px; font-size: 10.5px; font-family: ff8a; -webkit-text-stroke: 0.1575px rgba(0, 0, 0, 0);"&gt;&lt;span style="display: inline-block;"&gt;6,306&lt;/span&gt;&lt;span style="word-spacing: -0.147px; letter-spacing: 0.147px; display: inline-block; margin-left: 0px; width: 55.0781px; font-size: 10.5px; font-family: ff8a; -webkit-text-stroke: 0.1575px rgba(0, 0, 0, 0);"&gt;&lt;span style="display: inline-block;"&gt; &lt;/span&gt;&lt;/span&gt;&lt;/span&gt;&lt;span class="pp-font-color-override-1" style="position: absolute; display: inline-block; left: 442.359px; top: 76.4453px; width: 45.4688px; white-space: pre; word-spacing: 0.063px; letter-spacing: -0.063px; margin-left: 0px; font-size: 10.5px; font-family: ff8a; -webkit-text-stroke: 0.1575px rgba(0, 0, 0, 0);"&gt;&lt;span style="display: inline-block;"&gt;25&lt;/span&gt;&lt;span style="word-spacing: 0.063px; letter-spacing: -0.063px; display: inline-block; margin-left: 0px; width: 35.0918px; font-size: 10.5px; font-family: ff8a; -webkit-text-stroke: 0.1575px rgba(0, 0, 0, 0);"&gt;&lt;span style="display: inline-block;"&gt;&lt;span style="width: 2.625px; display: inline-block;"&gt; &lt;/span&gt;&lt;/span&gt;&lt;/span&gt;&lt;/span&gt;&lt;span class="pp-font-color-override-1" style="position: absolute; display: inline-block; left: 487.828px; top: 76.4453px; width: 86.6309px; white-space: pre; word-spacing: 0.0735px; letter-spacing: -0.0735px; margin-left: 0px; font-size: 10.5px; font-family: ff8a; -webkit-text-stroke: 0.1575px rgba(0, 0, 0, 0);"&gt;&lt;span style="display: inline-block;"&gt;14,&lt;/span&gt;&lt;span style="word-spacing: 0.0735px; letter-spacing: -0.0735px; display: inline-block; margin-left: 0px; width: 0.410156px; font-size: 10.5px; font-family: ff8a; -webkit-text-stroke: 0.1575px rgba(0, 0, 0, 0);"&gt;&lt;/span&gt;&lt;span style="display: inline-block;"&gt;552&lt;/span&gt;&lt;span style="word-spacing: 0.0735px; letter-spacing: -0.0735px; display: inline-block; margin-left: 0px; width: 57.7792px; font-size: 10.5px; font-family: ff8a; -webkit-text-stroke: 0.1575px rgba(0, 0, 0, 0);"&gt;&lt;span style="display: inline-block;"&gt;&lt;span style="width: 2.625px; display: inline-block;"&gt; &lt;/span&gt;&lt;/span&gt;&lt;/span&gt;&lt;/span&gt;&lt;span class="pp-font-color-override-1" style="position: absolute; display: inline-block; left: 574.459px; top: 76.4453px; width: 141.035px; white-space: pre; word-spacing: 0px; letter-spacing: 0px; margin-left: 0px; font-size: 10.5px; font-family: ff8a; -webk</t>
  </si>
  <si>
    <t>f1__s8__6__133</t>
  </si>
  <si>
    <t>ifrs-full:DisclosureOfPropertyPlantAndEquipmentExplanatory</t>
  </si>
  <si>
    <t xml:space="preserve">&lt;span style="display:inherit;clear:left;"&gt;NOT&lt;span class="_ _7"&gt;&lt;/span&gt;E 16&lt;/span&gt;&lt;span style="display:inherit;clear:left;"&gt;T&lt;span class="_ _6"&gt;&lt;/span&gt;ANGIBLE A&lt;span class="_ _2"&gt;&lt;/span&gt;SSETS&lt;/span&gt;&lt;span style="display:inherit;clear:left;"&gt;ACCOUNTING&lt;span class="_ _2"&gt;&lt;/span&gt; POLICIES&lt;/span&gt;&lt;span style="display:inherit;clear:left;"&gt;Th&lt;span class="_ _7"&gt;&lt;/span&gt;e tan&lt;span class="_ _7"&gt;&lt;/span&gt;gi&lt;span class="_ _7"&gt;&lt;/span&gt;ble a&lt;span class="_ _7"&gt;&lt;/span&gt;s&lt;span class="_ _7"&gt;&lt;/span&gt;s&lt;span class="_ _7"&gt;&lt;/span&gt;et&lt;span class="_ _7"&gt;&lt;/span&gt;s he&lt;span class="_ _7"&gt;&lt;/span&gt;ld by Volvo C&lt;span class="_ _7"&gt;&lt;/span&gt;ar Gr&lt;span class="_ _7"&gt;&lt;/span&gt;ou&lt;span class="_ _7"&gt;&lt;/span&gt;p con&lt;span class="_ _7"&gt;&lt;/span&gt;s&lt;span class="_ _7"&gt;&lt;/span&gt;is&lt;span class="_ _7"&gt;&lt;/span&gt;t pr&lt;span class="_ _7"&gt;&lt;/span&gt;im&lt;span class="_ _7"&gt;&lt;/span&gt;ari&lt;span class="_ _7"&gt;&lt;/span&gt;ly of &lt;/span&gt;&lt;span style="display:inherit;clear:left;"&gt;bui&lt;span class="_ _7"&gt;&lt;/span&gt;ld&lt;span class="_ _7"&gt;&lt;/span&gt;ing&lt;span class="_ _7"&gt;&lt;/span&gt;s&lt;span class="_ _7"&gt;&lt;/span&gt;, la&lt;span class="_ _7"&gt;&lt;/span&gt;nd a&lt;span class="_ _7"&gt;&lt;/span&gt;nd l&lt;span class="_ _7"&gt;&lt;/span&gt;an&lt;span class="_ _7"&gt;&lt;/span&gt;d imp&lt;span class="_ _7"&gt;&lt;/span&gt;rov&lt;span class="_ _7"&gt;&lt;/span&gt;em&lt;span class="_ _7"&gt;&lt;/span&gt;ent&lt;span class="_ _7"&gt;&lt;/span&gt;s&lt;span class="_ _7"&gt;&lt;/span&gt;, ma&lt;span class="_ _7"&gt;&lt;/span&gt;chi&lt;span class="_ _7"&gt;&lt;/span&gt;ne&lt;span class="_ _7"&gt;&lt;/span&gt;r&lt;span class="_ _7"&gt;&lt;/span&gt;y an&lt;span class="_ _7"&gt;&lt;/span&gt;d eq&lt;span class="_ _7"&gt;&lt;/span&gt;uip&lt;span class="_ _7"&gt;&lt;/span&gt;me&lt;span class="_ _7"&gt;&lt;/span&gt;nt&lt;span class="_ _7"&gt;&lt;/span&gt;, &lt;/span&gt;&lt;span style="display:inherit;clear:left;"&gt;rig&lt;span class="_ _7"&gt;&lt;/span&gt;ht&lt;span class="_ _2"&gt;&lt;/span&gt;-o&lt;span class="_ _7"&gt;&lt;/span&gt;f-&lt;span class="_ _2"&gt;&lt;/span&gt;u&lt;span class="_ _7"&gt;&lt;/span&gt;s&lt;span class="_ _7"&gt;&lt;/span&gt;e as&lt;span class="_ _7"&gt;&lt;/span&gt;s&lt;span class="_ _7"&gt;&lt;/span&gt;et&lt;span class="_ _7"&gt;&lt;/span&gt;s (RoU&lt;span class="_ _7"&gt;&lt;/span&gt;), and a&lt;span class="_ _7"&gt;&lt;/span&gt;s&lt;span class="_ _7"&gt;&lt;/span&gt;se&lt;span class="_ _7"&gt;&lt;/span&gt;ts u&lt;span class="_ _7"&gt;&lt;/span&gt;nd&lt;span class="_ _7"&gt;&lt;/span&gt;er o&lt;span class="_ _7"&gt;&lt;/span&gt;pe&lt;span class="_ _7"&gt;&lt;/span&gt;ra&lt;span class="_ _7"&gt;&lt;/span&gt;ting l&lt;span class="_ _7"&gt;&lt;/span&gt;ea&lt;span class="_ _7"&gt;&lt;/span&gt;se&lt;span class="_ _7"&gt;&lt;/span&gt;s&lt;span class="_ _7"&gt;&lt;/span&gt;. Th&lt;span class="_ _7"&gt;&lt;/span&gt;e &lt;/span&gt;&lt;span style="display:inherit;clear:left;"&gt;co&lt;span class="_ _7"&gt;&lt;/span&gt;st m&lt;span class="_ _7"&gt;&lt;/span&gt;eth&lt;span class="_ _7"&gt;&lt;/span&gt;o&lt;span class="_ _7"&gt;&lt;/span&gt;d is ap&lt;span class="_ _7"&gt;&lt;/span&gt;pl&lt;span class="_ _7"&gt;&lt;/span&gt;ie&lt;span class="_ _7"&gt;&lt;/span&gt;d for t&lt;span class="_ _7"&gt;&lt;/span&gt;he m&lt;span class="_ _7"&gt;&lt;/span&gt;ea&lt;span class="_ _7"&gt;&lt;/span&gt;su&lt;span class="_ _7"&gt;&lt;/span&gt;rem&lt;span class="_ _7"&gt;&lt;/span&gt;en&lt;span class="_ _7"&gt;&lt;/span&gt;t of t&lt;span class="_ _7"&gt;&lt;/span&gt;ang&lt;span class="_ _7"&gt;&lt;/span&gt;ib&lt;span class="_ _7"&gt;&lt;/span&gt;le as&lt;span class="_ _7"&gt;&lt;/span&gt;s&lt;span class="_ _7"&gt;&lt;/span&gt;et&lt;span class="_ _7"&gt;&lt;/span&gt;s&lt;span class="_ _7"&gt;&lt;/span&gt;.&lt;/span&gt;&lt;span style="display:inherit;clear:left;"&gt;Bu&lt;span class="_ _7"&gt;&lt;/span&gt;ild&lt;span class="_ _7"&gt;&lt;/span&gt;ing&lt;span class="_ _7"&gt;&lt;/span&gt;s&lt;span class="_ _7"&gt;&lt;/span&gt;, la&lt;span class="_ _7"&gt;&lt;/span&gt;nd a&lt;span class="_ _7"&gt;&lt;/span&gt;nd l&lt;span class="_ _7"&gt;&lt;/span&gt;an&lt;span class="_ _7"&gt;&lt;/span&gt;d imp&lt;span class="_ _7"&gt;&lt;/span&gt;ro&lt;span class="_ _7"&gt;&lt;/span&gt;vem&lt;span class="_ _7"&gt;&lt;/span&gt;ent&lt;span class="_ _7"&gt;&lt;/span&gt;s in&lt;span class="_ _7"&gt;&lt;/span&gt;clu&lt;span class="_ _7"&gt;&lt;/span&gt;de a&lt;span class="_ _7"&gt;&lt;/span&gt;s&lt;span class="_ _7"&gt;&lt;/span&gt;se&lt;span class="_ _7"&gt;&lt;/span&gt;ts s&lt;span class="_ _7"&gt;&lt;/span&gt;uc&lt;span class="_ _7"&gt;&lt;/span&gt;h as o&lt;span class="_ _7"&gt;&lt;/span&gt;f&lt;span class="_ _7"&gt;&lt;/span&gt;f&lt;span class="_ _7"&gt;&lt;/span&gt;ice&lt;span class="_ _7"&gt;&lt;/span&gt; &lt;/span&gt;&lt;span style="display:inherit;clear:left;"&gt;buildings, production&lt;span class="_ _2"&gt;&lt;/span&gt; facilities, leasehold improvemen&lt;span class="_ _2"&gt;&lt;/span&gt;t&lt;span class="_ _7"&gt;&lt;/span&gt;s and&lt;span class="_ _2"&gt;&lt;/span&gt; struc&lt;span class="ls3 ws3"&gt;-&lt;/span&gt;&lt;/span&gt;&lt;span style="display:inherit;clear:left;"&gt;tur&lt;span class="_ _7"&gt;&lt;/span&gt;es b&lt;span class="_ _7"&gt;&lt;/span&gt;ui&lt;span class="_ _7"&gt;&lt;/span&gt;lt to ma&lt;span class="_ _7"&gt;&lt;/span&gt;ke la&lt;span class="_ _7"&gt;&lt;/span&gt;nd re&lt;span class="_ _7"&gt;&lt;/span&gt;ad&lt;span class="_ _7"&gt;&lt;/span&gt;y fo&lt;span class="_ _7"&gt;&lt;/span&gt;r us&lt;span class="_ _7"&gt;&lt;/span&gt;e, s&lt;span class="_ _7"&gt;&lt;/span&gt;uc&lt;span class="_ _7"&gt;&lt;/span&gt;h as dr&lt;span class="_ _7"&gt;&lt;/span&gt;ai&lt;span class="_ _7"&gt;&lt;/span&gt;nag&lt;span class="_ _7"&gt;&lt;/span&gt;e an&lt;span class="_ _7"&gt;&lt;/span&gt;d ro&lt;span class="_ _7"&gt;&lt;/span&gt;ad&lt;span class="_ _7"&gt;&lt;/span&gt;way&lt;span class="_ _7"&gt;&lt;/span&gt;s.&lt;span class="_ _7"&gt;&lt;/span&gt; &lt;/span&gt;&lt;span style="display:inherit;clear:left;"&gt;Machinery and equipment&lt;span class="_ _2"&gt;&lt;/span&gt; include production&lt;span class="_ _2"&gt;&lt;/span&gt; related ass&lt;span class="_ _7"&gt;&lt;/span&gt;ets, such as &lt;/span&gt;&lt;span style="display:inherit;clear:left;"&gt;t&lt;span class="_ _7"&gt;&lt;/span&gt;yp&lt;span class="_ _7"&gt;&lt;/span&gt;e-bo&lt;span class="_ _7"&gt;&lt;/span&gt;un&lt;span class="_ _7"&gt;&lt;/span&gt;d too&lt;span class="_ _7"&gt;&lt;/span&gt;lin&lt;span class="_ _7"&gt;&lt;/span&gt;g, r&lt;span class="_ _7"&gt;&lt;/span&gt;ob&lt;span class="_ _7"&gt;&lt;/span&gt;ots a&lt;span class="_ _7"&gt;&lt;/span&gt;nd a&lt;span class="_ _7"&gt;&lt;/span&gt;s&lt;span class="_ _7"&gt;&lt;/span&gt;s&lt;span class="_ _7"&gt;&lt;/span&gt;emb&lt;span class="_ _7"&gt;&lt;/span&gt;ly li&lt;span class="_ _7"&gt;&lt;/span&gt;ne&lt;span class="_ _7"&gt;&lt;/span&gt;s&lt;span class="_ _7"&gt;&lt;/span&gt;, as we&lt;span class="_ _7"&gt;&lt;/span&gt;ll a&lt;span class="_ _7"&gt;&lt;/span&gt;s of&lt;span class="_ _7"&gt;&lt;/span&gt;f&lt;span class="_ _7"&gt;&lt;/span&gt;i&lt;span class="_ _7"&gt;&lt;/span&gt;ce &lt;/span&gt;&lt;span style="display:inherit;clear:left;"&gt;equipment. &lt;/span&gt;&lt;span style="display:inherit;clear:left;"&gt;Depreciation&lt;span class="_ _2"&gt;&lt;/span&gt; methods for tan&lt;span class="_ _2"&gt;&lt;/span&gt;gible assets &lt;/span&gt;&lt;span style="display:inherit;clear:left;"&gt;T&lt;span class="_ _2"&gt;&lt;/span&gt;ang&lt;span class="_ _7"&gt;&lt;/span&gt;ib&lt;span class="_ _7"&gt;&lt;/span&gt;le as&lt;span class="_ _7"&gt;&lt;/span&gt;s&lt;span class="_ _7"&gt;&lt;/span&gt;et&lt;span class="_ _7"&gt;&lt;/span&gt;s ar&lt;span class="_ _7"&gt;&lt;/span&gt;e de&lt;span class="_ _7"&gt;&lt;/span&gt;pre&lt;span class="_ _7"&gt;&lt;/span&gt;ci&lt;span class="_ _7"&gt;&lt;/span&gt;ate&lt;span class="_ _7"&gt;&lt;/span&gt;d on a s&lt;span class="_ _7"&gt;&lt;/span&gt;tr&lt;span class="_ _7"&gt;&lt;/span&gt;aig&lt;span class="_ _7"&gt;&lt;/span&gt;ht-&lt;span class="_ _2"&gt;&lt;/span&gt;l&lt;span class="_ _7"&gt;&lt;/span&gt;ine b&lt;span class="_ _7"&gt;&lt;/span&gt;as&lt;span class="_ _7"&gt;&lt;/span&gt;i&lt;span class="_ _7"&gt;&lt;/span&gt;s over t&lt;span class="_ _7"&gt;&lt;/span&gt;he&lt;span class="_ _7"&gt;&lt;/span&gt;ir &lt;/span&gt;&lt;span style="display:inherit;clear:left;"&gt;es&lt;span class="_ _7"&gt;&lt;/span&gt;ti&lt;span class="_ _7"&gt;&lt;/span&gt;mat&lt;span class="_ _7"&gt;&lt;/span&gt;ed u&lt;span class="_ _7"&gt;&lt;/span&gt;se&lt;span class="_ _7"&gt;&lt;/span&gt;f&lt;span class="_ _7"&gt;&lt;/span&gt;ul li&lt;span class="_ _7"&gt;&lt;/span&gt;ve&lt;span class="_ _7"&gt;&lt;/span&gt;s. W&lt;span class="_ _7"&gt;&lt;/span&gt;he&lt;span class="_ _7"&gt;&lt;/span&gt;n a co&lt;span class="_ _7"&gt;&lt;/span&gt;mp&lt;span class="_ _7"&gt;&lt;/span&gt;on&lt;span class="_ _7"&gt;&lt;/span&gt;ent o&lt;span class="_ _7"&gt;&lt;/span&gt;f a ta&lt;span class="_ _7"&gt;&lt;/span&gt;ngi&lt;span class="_ _7"&gt;&lt;/span&gt;bl&lt;span class="_ _7"&gt;&lt;/span&gt;e as&lt;span class="_ _7"&gt;&lt;/span&gt;s&lt;span class="_ _7"&gt;&lt;/span&gt;et h&lt;span class="_ _7"&gt;&lt;/span&gt;as a &lt;/span&gt;&lt;span style="display:inherit;clear:left;"&gt;co&lt;span class="_ _7"&gt;&lt;/span&gt;st t&lt;span class="_ _7"&gt;&lt;/span&gt;hat i&lt;span class="_ _7"&gt;&lt;/span&gt;s si&lt;span class="_ _7"&gt;&lt;/span&gt;gn&lt;span class="_ _7"&gt;&lt;/span&gt;if&lt;span class="_ _7"&gt;&lt;/span&gt;ic&lt;span class="_ _7"&gt;&lt;/span&gt;an&lt;span class="_ _7"&gt;&lt;/span&gt;t in re&lt;span class="_ _7"&gt;&lt;/span&gt;l&lt;span class="_ _7"&gt;&lt;/span&gt;ati&lt;span class="_ _7"&gt;&lt;/span&gt;on to th&lt;span class="_ _7"&gt;&lt;/span&gt;e tot&lt;span class="_ _7"&gt;&lt;/span&gt;al c&lt;span class="_ _7"&gt;&lt;/span&gt;os&lt;span class="_ _7"&gt;&lt;/span&gt;t o&lt;span class="_ _7"&gt;&lt;/span&gt;f the i&lt;span class="_ _7"&gt;&lt;/span&gt;tem a&lt;span class="_ _7"&gt;&lt;/span&gt;nd a &lt;/span&gt;&lt;span style="display:inherit;clear:left;"&gt;us&lt;span class="_ _7"&gt;&lt;/span&gt;ef&lt;span class="_ _7"&gt;&lt;/span&gt;ul l&lt;span class="_ _7"&gt;&lt;/span&gt;if&lt;span class="_ _7"&gt;&lt;/span&gt;e tha&lt;span class="_ _7"&gt;&lt;/span&gt;t di&lt;span class="_ _7"&gt;&lt;/span&gt;f&lt;span class="_ _7"&gt;&lt;/span&gt;fe&lt;span class="_ _7"&gt;&lt;/span&gt;r&lt;span class="_ _7"&gt;&lt;/span&gt;s fr&lt;span class="_ _7"&gt;&lt;/span&gt;om th&lt;span class="_ _7"&gt;&lt;/span&gt;e us&lt;span class="_ _7"&gt;&lt;/span&gt;e&lt;span class="_ _7"&gt;&lt;/span&gt;fu&lt;span class="_ _7"&gt;&lt;/span&gt;l lif&lt;span class="_ _7"&gt;&lt;/span&gt;e of th&lt;span class="_ _7"&gt;&lt;/span&gt;e ot&lt;span class="_ _7"&gt;&lt;/span&gt;her c&lt;span class="_ _7"&gt;&lt;/span&gt;om&lt;span class="_ _7"&gt;&lt;/span&gt;po&lt;span class="_ _7"&gt;&lt;/span&gt;ne&lt;span class="_ _7"&gt;&lt;/span&gt;nt&lt;span class="_ _7"&gt;&lt;/span&gt;s &lt;/span&gt;&lt;span style="display:inherit;clear:left;"&gt;of the&lt;span class="_ _2"&gt;&lt;/span&gt; item, the components a&lt;span class="_ _2"&gt;&lt;/span&gt;re depreciated separatel&lt;span class="_ _2"&gt;&lt;/span&gt;y.&lt;span class="_ _2"&gt;&lt;/span&gt; &lt;/span&gt;&lt;span style="display:inherit;clear:left;"&gt;RoU a&lt;span class="_ _7"&gt;&lt;/span&gt;s&lt;span class="_ _7"&gt;&lt;/span&gt;se&lt;span class="_ _7"&gt;&lt;/span&gt;ts w&lt;span class="_ _7"&gt;&lt;/span&gt;he&lt;span class="_ _7"&gt;&lt;/span&gt;re Volvo C&lt;span class="_ _7"&gt;&lt;/span&gt;ar Gr&lt;span class="_ _7"&gt;&lt;/span&gt;ou&lt;span class="_ _7"&gt;&lt;/span&gt;p is a l&lt;span class="_ _7"&gt;&lt;/span&gt;es&lt;span class="_ _7"&gt;&lt;/span&gt;s&lt;span class="_ _7"&gt;&lt;/span&gt;ee a&lt;span class="_ _7"&gt;&lt;/span&gt;re d&lt;span class="_ _7"&gt;&lt;/span&gt;ep&lt;span class="_ _7"&gt;&lt;/span&gt;rec&lt;span class="_ _7"&gt;&lt;/span&gt;ia&lt;span class="_ _7"&gt;&lt;/span&gt;ted ov&lt;span class="_ _7"&gt;&lt;/span&gt;er &lt;/span&gt;&lt;span style="display:inherit;clear:left;"&gt;the l&lt;span class="_ _7"&gt;&lt;/span&gt;ea&lt;span class="_ _7"&gt;&lt;/span&gt;se c&lt;span class="_ _7"&gt;&lt;/span&gt;ont&lt;span class="_ _7"&gt;&lt;/span&gt;ra&lt;span class="_ _7"&gt;&lt;/span&gt;ct p&lt;span class="_ _7"&gt;&lt;/span&gt;er&lt;span class="_ _7"&gt;&lt;/span&gt;io&lt;span class="_ _7"&gt;&lt;/span&gt;d. W&lt;span class="_ _7"&gt;&lt;/span&gt;he&lt;span class="_ _7"&gt;&lt;/span&gt;n as&lt;span class="_ _7"&gt;&lt;/span&gt;s&lt;span class="_ _7"&gt;&lt;/span&gt;et&lt;span class="_ _7"&gt;&lt;/span&gt;s ar&lt;span class="_ _7"&gt;&lt;/span&gt;e us&lt;span class="_ _7"&gt;&lt;/span&gt;ed o&lt;span class="_ _7"&gt;&lt;/span&gt;nly i&lt;span class="_ _7"&gt;&lt;/span&gt;n the p&lt;span class="_ _7"&gt;&lt;/span&gt;ro&lt;span class="_ _7"&gt;&lt;/span&gt;du&lt;span class="_ _7"&gt;&lt;/span&gt;c&lt;span class="ls3"&gt;-&lt;/span&gt;&lt;/span&gt;&lt;span style="display:inherit;clear:left;"&gt;tio&lt;span class="_ _7"&gt;&lt;/span&gt;n of a s&lt;span class="_ _7"&gt;&lt;/span&gt;pe&lt;span class="_ _7"&gt;&lt;/span&gt;ci&lt;span class="_ _7"&gt;&lt;/span&gt;fi&lt;span class="_ _7"&gt;&lt;/span&gt;c veh&lt;span class="_ _7"&gt;&lt;/span&gt;ic&lt;span class="_ _7"&gt;&lt;/span&gt;le or p&lt;span class="_ _7"&gt;&lt;/span&gt;la&lt;span class="_ _7"&gt;&lt;/span&gt;t&lt;span class="_ _7"&gt;&lt;/span&gt;fo&lt;span class="_ _7"&gt;&lt;/span&gt;rm&lt;span class="_ _7"&gt;&lt;/span&gt;, the u&lt;span class="_ _7"&gt;&lt;/span&gt;s&lt;span class="_ _7"&gt;&lt;/span&gt;ef&lt;span class="_ _7"&gt;&lt;/span&gt;ul li&lt;span class="_ _7"&gt;&lt;/span&gt;fe o&lt;span class="_ _7"&gt;&lt;/span&gt;f th&lt;span class="_ _7"&gt;&lt;/span&gt;e as&lt;span class="_ _7"&gt;&lt;/span&gt;s&lt;span class="_ _7"&gt;&lt;/span&gt;et&lt;span class="_ _7"&gt;&lt;/span&gt;s is&lt;span class="_ _7"&gt;&lt;/span&gt; &lt;/span&gt;&lt;span style="display:inherit;clear:left;"&gt;aligned with&lt;span class="_ _2"&gt;&lt;/span&gt; the production period&lt;span class="_ _2"&gt;&lt;/span&gt; for that veh&lt;span class="_ _2"&gt;&lt;/span&gt;icle or platform.&lt;/span&gt;&lt;span style="display:inherit;clear:left;"&gt;Th&lt;span class="_ _7"&gt;&lt;/span&gt;e fol&lt;span class="_ _7"&gt;&lt;/span&gt;low&lt;span class="_ _7"&gt;&lt;/span&gt;ing u&lt;span class="_ _7"&gt;&lt;/span&gt;se&lt;span class="_ _7"&gt;&lt;/span&gt;f&lt;span class="_ _7"&gt;&lt;/span&gt;ul li&lt;span class="_ _7"&gt;&lt;/span&gt;ve&lt;span class="_ _7"&gt;&lt;/span&gt;s are a&lt;span class="_ _7"&gt;&lt;/span&gt;pp&lt;span class="_ _7"&gt;&lt;/span&gt;lie&lt;span class="_ _7"&gt;&lt;/span&gt;d in Volvo C&lt;span class="_ _7"&gt;&lt;/span&gt;ar G&lt;span class="_ _7"&gt;&lt;/span&gt;ro&lt;span class="_ _7"&gt;&lt;/span&gt;up:&lt;/span&gt;&lt;span style="display:inherit;clear:left;position:relative;height:75.453125px;"&gt;&lt;span class="pp-font-color-override-1" style="position: absolute; display: inline-block; left: 0px; top: 0.0097656px; width: 333.094px; white-space: pre; word-spacing: -0.147px; letter-spacing: 0.147px; margin-left: 0px; font-size: 10.5px; font-family: ff8a; -webkit-text-stroke: 0.1575px rgba(0, 0, 0, 0);"&gt;&lt;span style="display: inline-block;"&gt;Buildings&lt;/span&gt;&lt;span style="word-spacing: -0.147px; letter-spacing: 0.147px; display: inline-block; margin-left: 0px; width: 238.33px; font-size: 10.5px; font-family: ff8a; -webkit-text-stroke: 0.1575px rgba(0, 0, 0, 0);"&gt;&lt;span style="display: inline-block;"&gt; &lt;/span&gt;&lt;/span&gt;&lt;span class="pp-font-color-override-1" style="word-spacing: 0.126px; letter-spacing: -0.0945px; display: inline-block; margin-left: 0px; font-size: 10.5px; font-family: ff8a; -webkit-text-stroke: 0.1575px rgba(0, 0, 0, 0);"&gt;&lt;span style="display: inline-block;"&gt;15&lt;/span&gt;&lt;span style="word-spacing: 0.126px; letter-spacing: -0.0945px; display: inline-block; margin-left: 0px; width: 0.410156px; font-size: 10.5px; font-family: ff8a; -webkit-text-stroke: 0.1575px rgba(0, 0, 0, 0);"&gt;&lt;/span&gt;&lt;span style="display: inline-block;"&gt;–&lt;/span&gt;&lt;span style="word-spacing: 0.126px; letter-spacing: -0.0945px; display: inline-block; margin-left: 0px; width: 0.410156px; font-size: 10.5px; font-family: ff8a; -webkit-text-stroke: 0.1575px rgba(0, 0, 0, 0);"&gt;&lt;/span&gt;&lt;span style="display: inline-block;"&gt;5&lt;/span&gt;&lt;span style="word-spacing: 0.126px; letter-spacing: -0.0945px; display: inline-block; margin-left: 0px; width: 0.410156px; font-size: 10.5px; font-family: ff8a; -webkit-text-stroke: 0.1575px rgba(0, 0, 0, 0);"&gt;&lt;/span&gt;&lt;span style="display: inline-block;"&gt;0 ye&lt;/span&gt;&lt;span style="word-spacing: 0.126px; letter-spacing: -0.0945px; display: inline-block; margin-left: 0px; width: 0.410156px; font-size: 10.5px; font-family: ff8a; -webkit-text-stroke: 0.1575px rgba(0, 0, 0, 0);"&gt;&lt;/span&gt;&lt;span style="display: inline-block;"&gt;a&lt;/span&gt;&lt;span style="word-spacing: 0.126px; letter-spacing: -0.0945px; display: inline-block; margin-left: 0px; width: 0.410156px; font-size: 10.5px; font-family: ff8a; -webkit-text-stroke: 0.1575px rgba(0, 0, 0, 0);"&gt;&lt;/span&gt;&lt;span style="display: inline-block;"&gt;r&lt;/span&gt;&lt;span style="word-spacing: 0.126px; letter-spacing: -0.0945px;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15.9629px; width: 325.893px; white-space: pre; word-spacing: -0.0945px; letter-spacing: 0.126px; margin-left: 0px; font-size: 10.5px; font-family: ff8a; -webkit-text-stroke: 0.1575px rgba(0, 0, 0, 0);"&gt;&lt;span style="display: inline-block;"&gt;Lan&lt;/span&gt;&lt;span style="word-spacing: -0.0945px; letter-spacing: 0.126px; display: inline-block; margin-left: 0px; width: 0.410156px; font-size: 10.5px; font-family: ff8a; -webkit-text-stroke: 0.1575px rgba(0, 0, 0, 0);"&gt;&lt;/span&gt;&lt;span style="display: inline-block;"&gt;d improvement&lt;/span&gt;&lt;span style="word-spacing: -0.0945px; letter-spacing: 0.126px; display: inline-block; margin-left: 0px; width: 0.410156px; font-size: 10.5px; font-family: ff8a; -webkit-text-stroke: 0.1575px rgba(0, 0, 0, 0);"&gt;&lt;/span&gt;&lt;span style="display: inline-block;"&gt;s&lt;/span&gt;&lt;span style="word-spacing: -0.0945px; letter-spacing: 0.126px; display: inline-block; margin-left: 0px; width: 185.9px; font-size: 10.5px; font-family: ff8a; -webkit-text-stroke: 0.1575px rgba(0, 0, 0, 0);"&gt;&lt;span style="display: inline-block;"&gt; &lt;/span&gt;&lt;/span&gt;&lt;span class="pp-font-color-override-1" style="word-spacing: -0.147px; letter-spacing: 0.1785px; display: inline-block; margin-left: 0px; font-size: 10.5px; font-family: ff8a; -webkit-text-stroke: 0.1575px rgba(0, 0, 0, 0);"&gt;&lt;span style="display: inline-block;"&gt;15–30 years&lt;/span&gt;&lt;/span&gt;&lt;/span&gt;&lt;span class="pp-font-color-override-1" style="position: absolute; display: inline-block; left: 0px; top: 31.916px; width: 330.592px; white-space: pre; word-spacing: -0.147px; letter-spacing: 0.147px; margin-left: 0px; font-size: 10.5px; font-family: ff8a; -webkit-text-stroke: 0.1575px rgba(0, 0, 0, 0);"&gt;&lt;span style="display: inline-block;"&gt;Machiner&lt;/span&gt;&lt;span style="word-spacing: -0.147px; letter-spacing: 0.147px; display: inline-block; margin-left: 0px; width: 0.410156px; font-size: 10.5px; font-family: ff8a; -webkit-text-stroke: 0.1575px rgba(0, 0, 0, 0);"&gt;&lt;/span&gt;&lt;span style="display: inline-block;"&gt;y&lt;/span&gt;&lt;span style="word-spacing: -0.147px; letter-spacing: 0.147px; display: inline-block; margin-left: 0px; width: 235.951px; font-size: 10.5px; font-family: ff8a; -webkit-text-stroke: 0.1575px rgba(0, 0, 0, 0);"&gt;&lt;span style="display: inline-block;"&gt; &lt;/span&gt;&lt;/span&gt;&lt;span class="pp-font-color-override-1" style="word-spacing: -0.147px; letter-spacing: 0.1785px; display: inline-block; margin-left: 0px; font-size: 10.5px; font-family: ff8a; -webkit-text-stroke: 0.1575px rgba(0, 0, 0, 0);"&gt;&lt;span style="display: inline-block;"&gt;8–30 years&lt;/span&gt;&lt;/span&gt;&lt;/span&gt;&lt;span class="pp-font-color-override-1" style="position: absolute; display: inline-block; left: 0px; top: 47.8848px; width: 330.146px; white-space: pre; word-spacing: -0.063px; letter-spacing: 0.063px; margin-left: 0px; font-size: 10.5px; font-family: ff8a; -webkit-text-stroke: 0.1575px rgba(0, 0, 0, 0);"&gt;&lt;span style="display: inline-block;"&gt;Equip&lt;/span&gt;&lt;span style="word-spacing: -0.063px; letter-spacing: 0.063px; display: inline-block; margin-left: 0px; width: 0.410156px; font-size: 10.5px; font-family: ff8a; -webkit-text-stroke: 0.1575px rgba(0, 0, 0, 0);"&gt;&lt;/span&gt;&lt;span style="display: inline-block;"&gt;men&lt;/span&gt;&lt;span style="word-spacing: -0.063px; letter-spacing: 0.063px; display: inline-block; margin-left: 0px; width: 0.410156px; font-size: 10.5px; font-family: ff8a; -webkit-text-stroke: 0.1575px rgba(0, 0, 0, 0);"&gt;&lt;/span&gt;&lt;span style="display: inline-block;"&gt;t&lt;/span&gt;&lt;span style="word-spacing: -0.063px; letter-spacing: 0.063px; display: inline-block; margin-left: 0px; width: 235.951px; font-size: 10.5px; font-family: ff8a; -webkit-text-stroke: 0.1575px rgba(0, 0, 0, 0);"&gt;&lt;span style="display: inline-block;"&gt; &lt;/span&gt;&lt;/span&gt;&lt;span class="pp-font-color-override-1" style="word-spacing: 0.2625px; letter-spacing: -0.231px; display: inline-block; margin-left: 0px; font-size: 10.5px; font-family: ff8a; -webkit-text-stroke: 0.1575px rgba(0, 0, 0, 0);"&gt;&lt;span style="display: inline-block;"&gt;3&lt;/span&gt;&lt;span style="word-spacing: 0.2625px; letter-spacing: -0.231px; display: inline-block; margin-left: 0px; width: 0.410156px; font-size: 10.5px; font-family: ff8a; -webkit-text-stroke: 0.1575px rgba(0, 0, 0, 0);"&gt;&lt;/span&gt;&lt;span style="display: inline-block;"&gt;–2&lt;/span&gt;&lt;span style="word-spacing: 0.2625px; letter-spacing: -0.231px; display: inline-block; margin-left: 0px; width: 0.410156px; font-size: 10.5px; font-family: ff8a; -webkit-text-stroke: 0.1575px rgba(0, 0, 0, 0);"&gt;&lt;/span&gt;&lt;span style="display: inline-block;"&gt;0 y&lt;/span&gt;&lt;span style="word-spacing: 0.2625px; letter-spacing: -0.231px; display: inline-block; margin-left: 0px; width: 0.410156px; font-size: 10.5px; font-family: ff8a; -webkit-text-stroke: 0.1575px rgba(0, 0, 0, 0);"&gt;&lt;/span&gt;&lt;span style="display: inline-block;"&gt;e&lt;/span&gt;&lt;span style="word-spacing: 0.2625px; letter-spacing: -0.231px; display: inline-block; margin-left: 0px; width: 0.410156px; font-size: 10.5px; font-family: ff8a; -webkit-text-stroke: 0.1575px rgba(0, 0, 0, 0);"&gt;&lt;/span&gt;&lt;span style="display: inline-block;"&gt;a&lt;/span&gt;&lt;span style="word-spacing: 0.2625px; letter-spacing: -0.231px; display: inline-block; margin-left: 0px; width: 0.410156px; font-size: 10.5px; font-family: ff8a; -webkit-text-stroke: 0.1575px rgba(0, 0, 0, 0);"&gt;&lt;/span&gt;&lt;span style="display: inline-block;"&gt;r&lt;/span&gt;&lt;span style="word-spacing: 0.2625px; letter-spacing: -0.231px; display: inline-block; margin-left: 0px; width: 0.925781px; font-size: 10.5px; font-family: ff8a; -webkit-text-stroke: 0.1575px rgba(0, 0, 0, 0);"&gt;&lt;/span&gt;&lt;span style="display: inline-block;"&gt;s&lt;/span&gt;&lt;/span&gt;&lt;/span&gt;&lt;span class="pp-font-color-override-1" style="position: absolute; display: inline-block; left: 0px; top: 63.8379px; width: 336.926px; white-space: pre; word-spacing: -0.1785px; letter-spacing: 0.1785px; margin-left: 0px; font-size: 10.5px; font-family: ff8a; -webkit-text-stroke: 0.1575px rgba(0, 0, 0, 0);"&gt;&lt;span style="display: inline-block;"&gt;Land&lt;/span&gt;&lt;span style="word-spacing: -0.1785px; letter-spacing: 0.1785px; display: inline-block; margin-left: 0px; width: 272.162px; font-size: 10.5px; font-family: ff8a; -webkit-text-stroke: 0.1575px rgba(0, 0, 0, 0);"&gt;&lt;span style="display: inline-block;"&gt; &lt;/span&gt;&lt;/span&gt;&lt;span class="pp-font-color-override-1" style="word-spacing: -0.042px; letter-spacing: 0.042px; display: inline-block; margin-left: 0px; font-size: 10.5px; font-family: ff8a; -webkit-text-stroke: 0.1575px rgba(0, 0, 0, 0);"&gt;&lt;span style="display: inline-block;"&gt;In&lt;/span&gt;&lt;span style="word-spacing: -0.042px; letter-spacing: 0.042px; display: inline-block; margin-left: 0px; width: 0.410156px; font-size: 10.5px; font-family: ff8a; -webkit-text-stroke: 0.1575px rgba(0, 0, 0, 0);"&gt;&lt;/span&gt;&lt;span style="display: inline-block;"&gt;de&lt;/span&gt;&lt;span style="word-spacing: -0.042px; letter-spacing: 0.042px; display: inline-block; margin-left: 0px; width: 0.410156px; font-size: 10.5px; font-family: ff8a; -webkit-text-stroke: 0.1575px rgba(0, 0, 0, 0);"&gt;&lt;/span&gt;&lt;span style="display: inline-block;"&gt;fi&lt;/span&gt;&lt;span style="word-spacing: -0.042px; letter-spacing: 0.042px; display: inline-block; margin-left: 0px; width: 0.410156px; font-size: 10.5px; font-family: ff8a; -webkit-text-stroke: 0.1575px rgba(0, 0, 0, 0);"&gt;&lt;/span&gt;&lt;span style="display: inline-block;"&gt;nite&lt;/span&gt;&lt;/span&gt;&lt;/span&gt;&lt;/span&gt;&lt;span style="display:inherit;clear:left;"&gt;Depreciation is&lt;span class="_ _2"&gt;&lt;/span&gt; included in cost of&lt;span class="_ _2"&gt;&lt;/span&gt; sales&lt;span class="_ _7"&gt;&lt;/span&gt;, research and&lt;span class="_ _2"&gt;&lt;/span&gt; development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 de&lt;span class="_ _7"&gt;&lt;/span&gt;pe&lt;span class="_ _7"&gt;&lt;/span&gt;nd&lt;span class="_ _7"&gt;&lt;/span&gt;ing o&lt;span class="_ _7"&gt;&lt;/span&gt;n &lt;/span&gt;&lt;span style="display:inherit;clear:left;"&gt;how t&lt;span class="_ _7"&gt;&lt;/span&gt;he a&lt;span class="_ _7"&gt;&lt;/span&gt;s&lt;span class="_ _7"&gt;&lt;/span&gt;se&lt;span class="_ _7"&gt;&lt;/span&gt;ts h&lt;span class="_ _7"&gt;&lt;/span&gt;ave b&lt;span class="_ _7"&gt;&lt;/span&gt;ee&lt;span class="_ _7"&gt;&lt;/span&gt;n us&lt;span class="_ _7"&gt;&lt;/span&gt;ed&lt;span class="_ _7"&gt;&lt;/span&gt;. &lt;/span&gt;&lt;span style="display:inherit;clear:left;"&gt;For m&lt;span class="_ _7"&gt;&lt;/span&gt;ore i&lt;span class="_ _7"&gt;&lt;/span&gt;nf&lt;span class="_ _7"&gt;&lt;/span&gt;or&lt;span class="_ _7"&gt;&lt;/span&gt;mat&lt;span class="_ _7"&gt;&lt;/span&gt;io&lt;span class="_ _7"&gt;&lt;/span&gt;n on Ro&lt;span class="_ _7"&gt;&lt;/span&gt;U as&lt;span class="_ _7"&gt;&lt;/span&gt;s&lt;span class="_ _7"&gt;&lt;/span&gt;et&lt;span class="_ _7"&gt;&lt;/span&gt;s an&lt;span class="_ _7"&gt;&lt;/span&gt;d as&lt;span class="_ _7"&gt;&lt;/span&gt;s&lt;span class="_ _7"&gt;&lt;/span&gt;et&lt;span class="_ _7"&gt;&lt;/span&gt;s un&lt;span class="_ _7"&gt;&lt;/span&gt;de&lt;span class="_ _7"&gt;&lt;/span&gt;r op&lt;span class="_ _7"&gt;&lt;/span&gt;er&lt;span class="_ _7"&gt;&lt;/span&gt;ati&lt;span class="_ _7"&gt;&lt;/span&gt;ng &lt;/span&gt;&lt;span style="display:inherit;clear:left;"&gt;lea&lt;span class="_ _7"&gt;&lt;/span&gt;s&lt;span class="_ _7"&gt;&lt;/span&gt;es&lt;span class="_ _7"&gt;&lt;/span&gt;, s&lt;span class="_ _7"&gt;&lt;/span&gt;ee N&lt;span class="_ _7"&gt;&lt;/span&gt;ote 7 – Le&lt;span class="_ _7"&gt;&lt;/span&gt;as&lt;span class="_ _7"&gt;&lt;/span&gt;e&lt;span class="_ _7"&gt;&lt;/span&gt;s&lt;span class="_ _7"&gt;&lt;/span&gt;.&lt;/span&gt;&lt;span style="display:inherit;clear:left;"&gt;CRITICAL A&lt;span class="_ _2"&gt;&lt;/span&gt;CC&lt;span class="_ _7"&gt;&lt;/span&gt;OUNTING ESTIMA&lt;span class="_ _6"&gt;&lt;/span&gt;TES AND JUDGEMENTS&lt;/span&gt;&lt;span style="display:inherit;clear:left;"&gt;Man&lt;span class="_ _7"&gt;&lt;/span&gt;ag&lt;span class="_ _7"&gt;&lt;/span&gt;eme&lt;span class="_ _7"&gt;&lt;/span&gt;nt r&lt;span class="_ _7"&gt;&lt;/span&gt;egu&lt;span class="_ _7"&gt;&lt;/span&gt;l&lt;span class="_ _7"&gt;&lt;/span&gt;arl&lt;span class="_ _7"&gt;&lt;/span&gt;y rea&lt;span class="_ _7"&gt;&lt;/span&gt;s&lt;span class="_ _7"&gt;&lt;/span&gt;s&lt;span class="_ _7"&gt;&lt;/span&gt;es&lt;span class="_ _7"&gt;&lt;/span&gt;s&lt;span class="_ _7"&gt;&lt;/span&gt;e&lt;span class="_ _7"&gt;&lt;/span&gt;s the u&lt;span class="_ _7"&gt;&lt;/span&gt;s&lt;span class="_ _7"&gt;&lt;/span&gt;ef&lt;span class="_ _7"&gt;&lt;/span&gt;ul li&lt;span class="_ _7"&gt;&lt;/span&gt;fe a&lt;span class="_ _7"&gt;&lt;/span&gt;nd r&lt;span class="_ _7"&gt;&lt;/span&gt;es&lt;span class="_ _7"&gt;&lt;/span&gt;id&lt;span class="_ _7"&gt;&lt;/span&gt;ua&lt;span class="_ _7"&gt;&lt;/span&gt;l valu&lt;span class="_ _7"&gt;&lt;/span&gt;e &lt;/span&gt;&lt;span style="display:inherit;clear:left;"&gt;of al&lt;span class="_ _7"&gt;&lt;/span&gt;l si&lt;span class="_ _7"&gt;&lt;/span&gt;gni&lt;span class="_ _7"&gt;&lt;/span&gt;f&lt;span class="_ _7"&gt;&lt;/span&gt;ic&lt;span class="_ _7"&gt;&lt;/span&gt;ant a&lt;span class="_ _7"&gt;&lt;/span&gt;s&lt;span class="_ _7"&gt;&lt;/span&gt;s&lt;span class="_ _7"&gt;&lt;/span&gt;et&lt;span class="_ _7"&gt;&lt;/span&gt;s. W&lt;span class="_ _7"&gt;&lt;/span&gt;he&lt;span class="_ _7"&gt;&lt;/span&gt;n th&lt;span class="_ _7"&gt;&lt;/span&gt;e us&lt;span class="_ _7"&gt;&lt;/span&gt;ef&lt;span class="_ _7"&gt;&lt;/span&gt;ul l&lt;span class="_ _7"&gt;&lt;/span&gt;if&lt;span class="_ _7"&gt;&lt;/span&gt;e of a t&lt;span class="_ _7"&gt;&lt;/span&gt;ang&lt;span class="_ _7"&gt;&lt;/span&gt;ib&lt;span class="_ _7"&gt;&lt;/span&gt;le as&lt;span class="_ _7"&gt;&lt;/span&gt;s&lt;span class="_ _7"&gt;&lt;/span&gt;et i&lt;span class="_ _7"&gt;&lt;/span&gt;s &lt;/span&gt;&lt;span style="display:inherit;clear:left;"&gt;reduced, depreciation&lt;span class="_ _2"&gt;&lt;/span&gt; is accelerated and&lt;span class="_ _2"&gt;&lt;/span&gt; increased in future periods &lt;/span&gt;&lt;span style="display:inherit;clear:left;"&gt;to re&lt;span class="_ _7"&gt;&lt;/span&gt;fl&lt;span class="_ _7"&gt;&lt;/span&gt;ec&lt;span class="_ _7"&gt;&lt;/span&gt;t the r&lt;span class="_ _7"&gt;&lt;/span&gt;ed&lt;span class="_ _7"&gt;&lt;/span&gt;uc&lt;span class="_ _7"&gt;&lt;/span&gt;tio&lt;span class="_ _7"&gt;&lt;/span&gt;n of ti&lt;span class="_ _7"&gt;&lt;/span&gt;me o&lt;span class="_ _7"&gt;&lt;/span&gt;ver w&lt;span class="_ _7"&gt;&lt;/span&gt;hic&lt;span class="_ _7"&gt;&lt;/span&gt;h the G&lt;span class="_ _7"&gt;&lt;/span&gt;ro&lt;span class="_ _7"&gt;&lt;/span&gt;up wi&lt;span class="_ _7"&gt;&lt;/span&gt;ll d&lt;span class="_ _7"&gt;&lt;/span&gt;er&lt;span class="_ _7"&gt;&lt;/span&gt;ive &lt;/span&gt;&lt;span style="display:inherit;clear:left;"&gt;ec&lt;span class="_ _7"&gt;&lt;/span&gt;on&lt;span class="_ _7"&gt;&lt;/span&gt;omi&lt;span class="_ _7"&gt;&lt;/span&gt;c be&lt;span class="_ _7"&gt;&lt;/span&gt;ne&lt;span class="_ _7"&gt;&lt;/span&gt;fi&lt;span class="_ _7"&gt;&lt;/span&gt;t&lt;span class="_ _7"&gt;&lt;/span&gt;s fr&lt;span class="_ _7"&gt;&lt;/span&gt;om th&lt;span class="_ _7"&gt;&lt;/span&gt;e as&lt;span class="_ _7"&gt;&lt;/span&gt;s&lt;span class="_ _7"&gt;&lt;/span&gt;et&lt;span class="_ _7"&gt;&lt;/span&gt;s&lt;span class="_ _7"&gt;&lt;/span&gt;. A sh&lt;span class="_ _7"&gt;&lt;/span&gt;or&lt;span class="_ _7"&gt;&lt;/span&gt;te&lt;span class="_ _7"&gt;&lt;/span&gt;r e&lt;span class="_ _7"&gt;&lt;/span&gt;st&lt;span class="_ _7"&gt;&lt;/span&gt;ima&lt;span class="_ _7"&gt;&lt;/span&gt;ted u&lt;span class="_ _7"&gt;&lt;/span&gt;s&lt;span class="_ _7"&gt;&lt;/span&gt;ef&lt;span class="_ _7"&gt;&lt;/span&gt;ul li&lt;span class="_ _7"&gt;&lt;/span&gt;fe i&lt;span class="_ _7"&gt;&lt;/span&gt;s &lt;/span&gt;&lt;span style="display:inherit;clear:left;"&gt;not a&lt;span class="_ _7"&gt;&lt;/span&gt;lway&lt;span class="_ _7"&gt;&lt;/span&gt;s an in&lt;span class="_ _7"&gt;&lt;/span&gt;di&lt;span class="_ _7"&gt;&lt;/span&gt;ca&lt;span class="_ _7"&gt;&lt;/span&gt;tor o&lt;span class="_ _7"&gt;&lt;/span&gt;f im&lt;span class="_ _7"&gt;&lt;/span&gt;pai&lt;span class="_ _7"&gt;&lt;/span&gt;rm&lt;span class="_ _7"&gt;&lt;/span&gt;en&lt;span class="_ _7"&gt;&lt;/span&gt;t, a&lt;span class="_ _7"&gt;&lt;/span&gt;s imp&lt;span class="_ _7"&gt;&lt;/span&gt;ai&lt;span class="_ _7"&gt;&lt;/span&gt;rm&lt;span class="_ _7"&gt;&lt;/span&gt;ent i&lt;span class="_ _7"&gt;&lt;/span&gt;s ch&lt;span class="_ _7"&gt;&lt;/span&gt;ar&lt;span class="_ _7"&gt;&lt;/span&gt;ac&lt;span class="_ _7"&gt;&lt;/span&gt;ter-&lt;/span&gt;&lt;span style="display:inherit;clear:left;"&gt;is&lt;span class="_ _7"&gt;&lt;/span&gt;ed b&lt;span class="_ _7"&gt;&lt;/span&gt;y a cha&lt;span class="_ _7"&gt;&lt;/span&gt;nge i&lt;span class="_ _7"&gt;&lt;/span&gt;n the e&lt;span class="_ _7"&gt;&lt;/span&gt;xp&lt;span class="_ _7"&gt;&lt;/span&gt;ec&lt;span class="_ _7"&gt;&lt;/span&gt;ted c&lt;span class="_ _7"&gt;&lt;/span&gt;a&lt;span class="_ _7"&gt;&lt;/span&gt;sh f&lt;span class="_ _7"&gt;&lt;/span&gt;low&lt;span class="_ _7"&gt;&lt;/span&gt;s to be d&lt;span class="_ _7"&gt;&lt;/span&gt;er&lt;span class="_ _7"&gt;&lt;/span&gt;ive&lt;span class="_ _7"&gt;&lt;/span&gt;d f&lt;span class="_ _7"&gt;&lt;/span&gt;ro&lt;span class="_ _7"&gt;&lt;/span&gt;m the &lt;/span&gt;&lt;span style="display:inherit;clear:left;"&gt;ass&lt;span class="_ _7"&gt;&lt;/span&gt;et.&lt;/span&gt;&lt;span style="display:inherit;clear:left;"&gt;Whe&lt;span class="_ _7"&gt;&lt;/span&gt;n as&lt;span class="_ _7"&gt;&lt;/span&gt;s&lt;span class="_ _7"&gt;&lt;/span&gt;e&lt;span class="_ _7"&gt;&lt;/span&gt;s&lt;span class="_ _7"&gt;&lt;/span&gt;si&lt;span class="_ _7"&gt;&lt;/span&gt;ng th&lt;span class="_ _7"&gt;&lt;/span&gt;e us&lt;span class="_ _7"&gt;&lt;/span&gt;ef&lt;span class="_ _7"&gt;&lt;/span&gt;ul l&lt;span class="_ _7"&gt;&lt;/span&gt;if&lt;span class="_ _7"&gt;&lt;/span&gt;e, cl&lt;span class="_ _7"&gt;&lt;/span&gt;ima&lt;span class="_ _7"&gt;&lt;/span&gt;te-re&lt;span class="_ _7"&gt;&lt;/span&gt;la&lt;span class="_ _7"&gt;&lt;/span&gt;ted r&lt;span class="_ _7"&gt;&lt;/span&gt;is&lt;span class="_ _7"&gt;&lt;/span&gt;ks w&lt;span class="_ _7"&gt;&lt;/span&gt;ere c&lt;span class="_ _7"&gt;&lt;/span&gt;on&lt;span class="_ _7"&gt;&lt;/span&gt;si&lt;span class="_ _7"&gt;&lt;/span&gt;d-&lt;/span&gt;&lt;span style="display:inherit;clear:left;"&gt;ere&lt;span class="_ _7"&gt;&lt;/span&gt;d an&lt;span class="_ _7"&gt;&lt;/span&gt;d fo&lt;span class="_ _7"&gt;&lt;/span&gt;un&lt;span class="_ _7"&gt;&lt;/span&gt;d to hav&lt;span class="_ _7"&gt;&lt;/span&gt;e no m&lt;span class="_ _7"&gt;&lt;/span&gt;ater&lt;span class="_ _7"&gt;&lt;/span&gt;ia&lt;span class="_ _7"&gt;&lt;/span&gt;l im&lt;span class="_ _7"&gt;&lt;/span&gt;pac&lt;span class="_ _7"&gt;&lt;/span&gt;t&lt;span class="_ _7"&gt;&lt;/span&gt;. Thi&lt;span class="_ _7"&gt;&lt;/span&gt;s is b&lt;span class="_ _7"&gt;&lt;/span&gt;e&lt;span class="_ _7"&gt;&lt;/span&gt;ca&lt;span class="_ _7"&gt;&lt;/span&gt;us&lt;span class="_ _7"&gt;&lt;/span&gt;e ma&lt;span class="_ _7"&gt;&lt;/span&gt;nag&lt;span class="_ _7"&gt;&lt;/span&gt;e-&lt;/span&gt;&lt;span style="display:inherit;clear:left;"&gt;me&lt;span class="_ _7"&gt;&lt;/span&gt;nt ta&lt;span class="_ _7"&gt;&lt;/span&gt;kes c&lt;span class="_ _7"&gt;&lt;/span&gt;er&lt;span class="_ _7"&gt;&lt;/span&gt;t&lt;span class="_ _7"&gt;&lt;/span&gt;ai&lt;span class="_ _7"&gt;&lt;/span&gt;n mit&lt;span class="_ _7"&gt;&lt;/span&gt;ig&lt;span class="_ _7"&gt;&lt;/span&gt;ati&lt;span class="_ _7"&gt;&lt;/span&gt;on e&lt;span class="_ _7"&gt;&lt;/span&gt;f&lt;span class="_ _7"&gt;&lt;/span&gt;fo&lt;span class="_ _7"&gt;&lt;/span&gt;r&lt;span class="_ _7"&gt;&lt;/span&gt;ts a&lt;span class="_ _7"&gt;&lt;/span&gt;ga&lt;span class="_ _7"&gt;&lt;/span&gt;ins&lt;span class="_ _7"&gt;&lt;/span&gt;t p&lt;span class="_ _7"&gt;&lt;/span&gt;hys&lt;span class="_ _7"&gt;&lt;/span&gt;ic&lt;span class="_ _7"&gt;&lt;/span&gt;al r&lt;span class="_ _7"&gt;&lt;/span&gt;is&lt;span class="_ _7"&gt;&lt;/span&gt;ks&lt;span class="_ _7"&gt;&lt;/span&gt;, am&lt;span class="_ _7"&gt;&lt;/span&gt;on&lt;span class="_ _7"&gt;&lt;/span&gt;g &lt;/span&gt;&lt;span style="display:inherit;clear:left;"&gt;other things, considering potential impacts of climate c&lt;span class="_ _2"&gt;&lt;/span&gt;hange during &lt;/span&gt;&lt;span style="display:inherit;clear:left;"&gt;ini&lt;span class="_ _7"&gt;&lt;/span&gt;ti&lt;span class="_ _7"&gt;&lt;/span&gt;al de&lt;span class="_ _7"&gt;&lt;/span&gt;s&lt;span class="_ _7"&gt;&lt;/span&gt;ign a&lt;span class="_ _7"&gt;&lt;/span&gt;nd c&lt;span class="_ _7"&gt;&lt;/span&gt;on&lt;span class="_ _7"&gt;&lt;/span&gt;st&lt;span class="_ _7"&gt;&lt;/span&gt;ru&lt;span class="_ _7"&gt;&lt;/span&gt;cti&lt;span class="_ _7"&gt;&lt;/span&gt;on o&lt;span class="_ _7"&gt;&lt;/span&gt;f ta&lt;span class="_ _7"&gt;&lt;/span&gt;ngi&lt;span class="_ _7"&gt;&lt;/span&gt;bl&lt;span class="_ _7"&gt;&lt;/span&gt;e as&lt;span class="_ _7"&gt;&lt;/span&gt;s&lt;span class="_ _7"&gt;&lt;/span&gt;et&lt;span class="_ _7"&gt;&lt;/span&gt;s as we&lt;span class="_ _7"&gt;&lt;/span&gt;ll a&lt;span class="_ _7"&gt;&lt;/span&gt;s ma&lt;span class="_ _7"&gt;&lt;/span&gt;in-&lt;/span&gt;&lt;span style="display:inherit;clear:left;"&gt;taining insurance in case signific&lt;span class="_ _7"&gt;&lt;/span&gt;ant damage or disruption does &lt;/span&gt;&lt;span style="display:inherit;clear:left;"&gt;o&lt;span class="_ _7"&gt;&lt;/span&gt;c&lt;span class="_ _9"&gt;&lt;/span&gt;c&lt;span class="_ _7"&gt;&lt;/span&gt;u&lt;span class="_ _7"&gt;&lt;/span&gt;r.&lt;/span&gt;&lt;span style="display:inherit;clear:left;position:relative;height:600.42578125px;"&gt;&lt;span class="pp-font-color-override-1" style="position: absolute; display: inline-block; left: 622.141px; top: 0.0039062px; width: 53.7832px; white-space: pre; word-spacing: 0px; letter-spacing: 0px; margin-left: 0px; font-size: 9.6px; font-family: ff88; -webkit-text-stroke: 0.144px rgba(0, 0, 0, 0);"&gt;&lt;span style="display: inline-block;"&gt;As&lt;/span&gt;&lt;span style="word-spacing: 0px; letter-spacing: 0px; display: inline-block; margin-left: 0px; width: 0.410156px; font-size: 9.6px; font-family: ff88; -webkit-text-stroke: 0.144px rgba(0, 0, 0, 0);"&gt;&lt;/span&gt;&lt;span style="display: inline-block;"&gt;s&lt;/span&gt;&lt;span style="word-spacing: 0px; letter-spacing: 0px; display: inline-block; margin-left: 0px; width: 0.410156px; font-size: 9.6px; font-family: ff88; -webkit-text-stroke: 0.144px rgba(0, 0, 0, 0);"&gt;&lt;/span&gt;&lt;span style="display: inline-block;"&gt;et&lt;/span&gt;&lt;span style="word-spacing: 0px; letter-spacing: 0px; display: inline-block; margin-left: 0px; width: 0.410156px; font-size: 9.6px; font-family: ff88; -webkit-text-stroke: 0.144px rgba(0, 0, 0, 0);"&gt;&lt;/span&gt;&lt;span style="display: inline-block;"&gt;s un&lt;/span&gt;&lt;span style="word-spacing: 0px; letter-spacing: 0px; display: inline-block; margin-left: 0px; width: 0.410156px; font-size: 9.6px; font-family: ff88; -webkit-text-stroke: 0.144px rgba(0, 0, 0, 0);"&gt;&lt;/span&gt;&lt;span style="display: inline-block;"&gt;de&lt;/span&gt;&lt;span style="word-spacing: 0px; letter-spacing: 0px; display: inline-block; margin-left: 0px; width: 0.410156px; font-size: 9.6px; font-family: ff88; -webkit-text-stroke: 0.144px rgba(0, 0, 0, 0);"&gt;&lt;/span&gt;&lt;span style="display: inline-block;"&gt;r &lt;/span&gt;&lt;/span&gt;&lt;span class="pp-font-color-override-1" style="position: absolute; display: inline-block; left: 315.562px; top: 10.5039px; width: 41.3555px; white-space: pre; word-spacing: -0.1344px; letter-spacing: 0.1344px; margin-left: 0px; font-size: 9.6px; font-family: ff88; -webkit-text-stroke: 0.144px rgba(0, 0, 0, 0);"&gt;&lt;span style="display: inline-block;"&gt;Building&lt;/span&gt;&lt;span style="word-spacing: -0.1344px; letter-spacing: 0.1344px; display: inline-block; margin-left: 0px; width: 0.410156px; font-size: 9.6px; font-family: ff88; -webkit-text-stroke: 0.144px rgba(0, 0, 0, 0);"&gt;&lt;/span&gt;&lt;span style="display: inline-block;"&gt;s &lt;/span&gt;&lt;/span&gt;&lt;span class="pp-font-color-override-1" style="position: absolute; display: inline-block; left: 377.828px; top: 10.5039px; width: 62.7129px; white-space: pre; word-spacing: -0.1728px; letter-spacing: 0.1728px; margin-left: 0px; font-size: 9.6px; font-family: ff88; -webkit-text-stroke: 0.144px rgba(0, 0, 0, </t>
  </si>
  <si>
    <t>f1__s8__6__134</t>
  </si>
  <si>
    <t>ifrs-full:DescriptionOfAccountingPolicyForPropertyPlantAndEquipmentExplanatory</t>
  </si>
  <si>
    <t>&lt;span style="display:inherit;clear:left;"&gt;ACCOUNTING&lt;span class="_ _2"&gt;&lt;/span&gt; POLICIES&lt;/span&gt;&lt;span style="display:inherit;clear:left;"&gt;Th&lt;span class="_ _7"&gt;&lt;/span&gt;e tan&lt;span class="_ _7"&gt;&lt;/span&gt;gi&lt;span class="_ _7"&gt;&lt;/span&gt;ble a&lt;span class="_ _7"&gt;&lt;/span&gt;s&lt;span class="_ _7"&gt;&lt;/span&gt;s&lt;span class="_ _7"&gt;&lt;/span&gt;et&lt;span class="_ _7"&gt;&lt;/span&gt;s he&lt;span class="_ _7"&gt;&lt;/span&gt;ld by Volvo C&lt;span class="_ _7"&gt;&lt;/span&gt;ar Gr&lt;span class="_ _7"&gt;&lt;/span&gt;ou&lt;span class="_ _7"&gt;&lt;/span&gt;p con&lt;span class="_ _7"&gt;&lt;/span&gt;s&lt;span class="_ _7"&gt;&lt;/span&gt;is&lt;span class="_ _7"&gt;&lt;/span&gt;t pr&lt;span class="_ _7"&gt;&lt;/span&gt;im&lt;span class="_ _7"&gt;&lt;/span&gt;ari&lt;span class="_ _7"&gt;&lt;/span&gt;ly of &lt;/span&gt;&lt;span style="display:inherit;clear:left;"&gt;bui&lt;span class="_ _7"&gt;&lt;/span&gt;ld&lt;span class="_ _7"&gt;&lt;/span&gt;ing&lt;span class="_ _7"&gt;&lt;/span&gt;s&lt;span class="_ _7"&gt;&lt;/span&gt;, la&lt;span class="_ _7"&gt;&lt;/span&gt;nd a&lt;span class="_ _7"&gt;&lt;/span&gt;nd l&lt;span class="_ _7"&gt;&lt;/span&gt;an&lt;span class="_ _7"&gt;&lt;/span&gt;d imp&lt;span class="_ _7"&gt;&lt;/span&gt;rov&lt;span class="_ _7"&gt;&lt;/span&gt;em&lt;span class="_ _7"&gt;&lt;/span&gt;ent&lt;span class="_ _7"&gt;&lt;/span&gt;s&lt;span class="_ _7"&gt;&lt;/span&gt;, ma&lt;span class="_ _7"&gt;&lt;/span&gt;chi&lt;span class="_ _7"&gt;&lt;/span&gt;ne&lt;span class="_ _7"&gt;&lt;/span&gt;r&lt;span class="_ _7"&gt;&lt;/span&gt;y an&lt;span class="_ _7"&gt;&lt;/span&gt;d eq&lt;span class="_ _7"&gt;&lt;/span&gt;uip&lt;span class="_ _7"&gt;&lt;/span&gt;me&lt;span class="_ _7"&gt;&lt;/span&gt;nt&lt;span class="_ _7"&gt;&lt;/span&gt;, &lt;/span&gt;&lt;span style="display:inherit;clear:left;"&gt;rig&lt;span class="_ _7"&gt;&lt;/span&gt;ht&lt;span class="_ _2"&gt;&lt;/span&gt;-o&lt;span class="_ _7"&gt;&lt;/span&gt;f-&lt;span class="_ _2"&gt;&lt;/span&gt;u&lt;span class="_ _7"&gt;&lt;/span&gt;s&lt;span class="_ _7"&gt;&lt;/span&gt;e as&lt;span class="_ _7"&gt;&lt;/span&gt;s&lt;span class="_ _7"&gt;&lt;/span&gt;et&lt;span class="_ _7"&gt;&lt;/span&gt;s (RoU&lt;span class="_ _7"&gt;&lt;/span&gt;), and a&lt;span class="_ _7"&gt;&lt;/span&gt;s&lt;span class="_ _7"&gt;&lt;/span&gt;se&lt;span class="_ _7"&gt;&lt;/span&gt;ts u&lt;span class="_ _7"&gt;&lt;/span&gt;nd&lt;span class="_ _7"&gt;&lt;/span&gt;er o&lt;span class="_ _7"&gt;&lt;/span&gt;pe&lt;span class="_ _7"&gt;&lt;/span&gt;ra&lt;span class="_ _7"&gt;&lt;/span&gt;ting l&lt;span class="_ _7"&gt;&lt;/span&gt;ea&lt;span class="_ _7"&gt;&lt;/span&gt;se&lt;span class="_ _7"&gt;&lt;/span&gt;s&lt;span class="_ _7"&gt;&lt;/span&gt;. Th&lt;span class="_ _7"&gt;&lt;/span&gt;e &lt;/span&gt;&lt;span style="display:inherit;clear:left;"&gt;co&lt;span class="_ _7"&gt;&lt;/span&gt;st m&lt;span class="_ _7"&gt;&lt;/span&gt;eth&lt;span class="_ _7"&gt;&lt;/span&gt;o&lt;span class="_ _7"&gt;&lt;/span&gt;d is ap&lt;span class="_ _7"&gt;&lt;/span&gt;pl&lt;span class="_ _7"&gt;&lt;/span&gt;ie&lt;span class="_ _7"&gt;&lt;/span&gt;d for t&lt;span class="_ _7"&gt;&lt;/span&gt;he m&lt;span class="_ _7"&gt;&lt;/span&gt;ea&lt;span class="_ _7"&gt;&lt;/span&gt;su&lt;span class="_ _7"&gt;&lt;/span&gt;rem&lt;span class="_ _7"&gt;&lt;/span&gt;en&lt;span class="_ _7"&gt;&lt;/span&gt;t of t&lt;span class="_ _7"&gt;&lt;/span&gt;ang&lt;span class="_ _7"&gt;&lt;/span&gt;ib&lt;span class="_ _7"&gt;&lt;/span&gt;le as&lt;span class="_ _7"&gt;&lt;/span&gt;s&lt;span class="_ _7"&gt;&lt;/span&gt;et&lt;span class="_ _7"&gt;&lt;/span&gt;s&lt;span class="_ _7"&gt;&lt;/span&gt;.&lt;/span&gt;&lt;span style="display:inherit;clear:left;"&gt;Bu&lt;span class="_ _7"&gt;&lt;/span&gt;ild&lt;span class="_ _7"&gt;&lt;/span&gt;ing&lt;span class="_ _7"&gt;&lt;/span&gt;s&lt;span class="_ _7"&gt;&lt;/span&gt;, la&lt;span class="_ _7"&gt;&lt;/span&gt;nd a&lt;span class="_ _7"&gt;&lt;/span&gt;nd l&lt;span class="_ _7"&gt;&lt;/span&gt;an&lt;span class="_ _7"&gt;&lt;/span&gt;d imp&lt;span class="_ _7"&gt;&lt;/span&gt;ro&lt;span class="_ _7"&gt;&lt;/span&gt;vem&lt;span class="_ _7"&gt;&lt;/span&gt;ent&lt;span class="_ _7"&gt;&lt;/span&gt;s in&lt;span class="_ _7"&gt;&lt;/span&gt;clu&lt;span class="_ _7"&gt;&lt;/span&gt;de a&lt;span class="_ _7"&gt;&lt;/span&gt;s&lt;span class="_ _7"&gt;&lt;/span&gt;se&lt;span class="_ _7"&gt;&lt;/span&gt;ts s&lt;span class="_ _7"&gt;&lt;/span&gt;uc&lt;span class="_ _7"&gt;&lt;/span&gt;h as o&lt;span class="_ _7"&gt;&lt;/span&gt;f&lt;span class="_ _7"&gt;&lt;/span&gt;f&lt;span class="_ _7"&gt;&lt;/span&gt;ice&lt;span class="_ _7"&gt;&lt;/span&gt; &lt;/span&gt;&lt;span style="display:inherit;clear:left;"&gt;buildings, production&lt;span class="_ _2"&gt;&lt;/span&gt; facilities, leasehold improvemen&lt;span class="_ _2"&gt;&lt;/span&gt;t&lt;span class="_ _7"&gt;&lt;/span&gt;s and&lt;span class="_ _2"&gt;&lt;/span&gt; struc&lt;span class="ls3 ws3"&gt;-&lt;/span&gt;&lt;/span&gt;&lt;span style="display:inherit;clear:left;"&gt;tur&lt;span class="_ _7"&gt;&lt;/span&gt;es b&lt;span class="_ _7"&gt;&lt;/span&gt;ui&lt;span class="_ _7"&gt;&lt;/span&gt;lt to ma&lt;span class="_ _7"&gt;&lt;/span&gt;ke la&lt;span class="_ _7"&gt;&lt;/span&gt;nd re&lt;span class="_ _7"&gt;&lt;/span&gt;ad&lt;span class="_ _7"&gt;&lt;/span&gt;y fo&lt;span class="_ _7"&gt;&lt;/span&gt;r us&lt;span class="_ _7"&gt;&lt;/span&gt;e, s&lt;span class="_ _7"&gt;&lt;/span&gt;uc&lt;span class="_ _7"&gt;&lt;/span&gt;h as dr&lt;span class="_ _7"&gt;&lt;/span&gt;ai&lt;span class="_ _7"&gt;&lt;/span&gt;nag&lt;span class="_ _7"&gt;&lt;/span&gt;e an&lt;span class="_ _7"&gt;&lt;/span&gt;d ro&lt;span class="_ _7"&gt;&lt;/span&gt;ad&lt;span class="_ _7"&gt;&lt;/span&gt;way&lt;span class="_ _7"&gt;&lt;/span&gt;s.&lt;span class="_ _7"&gt;&lt;/span&gt; &lt;/span&gt;&lt;span style="display:inherit;clear:left;"&gt;Machinery and equipment&lt;span class="_ _2"&gt;&lt;/span&gt; include production&lt;span class="_ _2"&gt;&lt;/span&gt; related ass&lt;span class="_ _7"&gt;&lt;/span&gt;ets, such as &lt;/span&gt;&lt;span style="display:inherit;clear:left;"&gt;t&lt;span class="_ _7"&gt;&lt;/span&gt;yp&lt;span class="_ _7"&gt;&lt;/span&gt;e-bo&lt;span class="_ _7"&gt;&lt;/span&gt;un&lt;span class="_ _7"&gt;&lt;/span&gt;d too&lt;span class="_ _7"&gt;&lt;/span&gt;lin&lt;span class="_ _7"&gt;&lt;/span&gt;g, r&lt;span class="_ _7"&gt;&lt;/span&gt;ob&lt;span class="_ _7"&gt;&lt;/span&gt;ots a&lt;span class="_ _7"&gt;&lt;/span&gt;nd a&lt;span class="_ _7"&gt;&lt;/span&gt;s&lt;span class="_ _7"&gt;&lt;/span&gt;s&lt;span class="_ _7"&gt;&lt;/span&gt;emb&lt;span class="_ _7"&gt;&lt;/span&gt;ly li&lt;span class="_ _7"&gt;&lt;/span&gt;ne&lt;span class="_ _7"&gt;&lt;/span&gt;s&lt;span class="_ _7"&gt;&lt;/span&gt;, as we&lt;span class="_ _7"&gt;&lt;/span&gt;ll a&lt;span class="_ _7"&gt;&lt;/span&gt;s of&lt;span class="_ _7"&gt;&lt;/span&gt;f&lt;span class="_ _7"&gt;&lt;/span&gt;i&lt;span class="_ _7"&gt;&lt;/span&gt;ce &lt;/span&gt;&lt;span style="display:inherit;clear:left;"&gt;equipment. &lt;/span&gt;&lt;span style="display:inherit;clear:left;"&gt;Depreciation&lt;span class="_ _2"&gt;&lt;/span&gt; methods for tan&lt;span class="_ _2"&gt;&lt;/span&gt;gible assets &lt;/span&gt;&lt;span style="display:inherit;clear:left;"&gt;T&lt;span class="_ _2"&gt;&lt;/span&gt;ang&lt;span class="_ _7"&gt;&lt;/span&gt;ib&lt;span class="_ _7"&gt;&lt;/span&gt;le as&lt;span class="_ _7"&gt;&lt;/span&gt;s&lt;span class="_ _7"&gt;&lt;/span&gt;et&lt;span class="_ _7"&gt;&lt;/span&gt;s ar&lt;span class="_ _7"&gt;&lt;/span&gt;e de&lt;span class="_ _7"&gt;&lt;/span&gt;pre&lt;span class="_ _7"&gt;&lt;/span&gt;ci&lt;span class="_ _7"&gt;&lt;/span&gt;ate&lt;span class="_ _7"&gt;&lt;/span&gt;d on a s&lt;span class="_ _7"&gt;&lt;/span&gt;tr&lt;span class="_ _7"&gt;&lt;/span&gt;aig&lt;span class="_ _7"&gt;&lt;/span&gt;ht-&lt;span class="_ _2"&gt;&lt;/span&gt;l&lt;span class="_ _7"&gt;&lt;/span&gt;ine b&lt;span class="_ _7"&gt;&lt;/span&gt;as&lt;span class="_ _7"&gt;&lt;/span&gt;i&lt;span class="_ _7"&gt;&lt;/span&gt;s over t&lt;span class="_ _7"&gt;&lt;/span&gt;he&lt;span class="_ _7"&gt;&lt;/span&gt;ir &lt;/span&gt;&lt;span style="display:inherit;clear:left;"&gt;es&lt;span class="_ _7"&gt;&lt;/span&gt;ti&lt;span class="_ _7"&gt;&lt;/span&gt;mat&lt;span class="_ _7"&gt;&lt;/span&gt;ed u&lt;span class="_ _7"&gt;&lt;/span&gt;se&lt;span class="_ _7"&gt;&lt;/span&gt;f&lt;span class="_ _7"&gt;&lt;/span&gt;ul li&lt;span class="_ _7"&gt;&lt;/span&gt;ve&lt;span class="_ _7"&gt;&lt;/span&gt;s. W&lt;span class="_ _7"&gt;&lt;/span&gt;he&lt;span class="_ _7"&gt;&lt;/span&gt;n a co&lt;span class="_ _7"&gt;&lt;/span&gt;mp&lt;span class="_ _7"&gt;&lt;/span&gt;on&lt;span class="_ _7"&gt;&lt;/span&gt;ent o&lt;span class="_ _7"&gt;&lt;/span&gt;f a ta&lt;span class="_ _7"&gt;&lt;/span&gt;ngi&lt;span class="_ _7"&gt;&lt;/span&gt;bl&lt;span class="_ _7"&gt;&lt;/span&gt;e as&lt;span class="_ _7"&gt;&lt;/span&gt;s&lt;span class="_ _7"&gt;&lt;/span&gt;et h&lt;span class="_ _7"&gt;&lt;/span&gt;as a &lt;/span&gt;&lt;span style="display:inherit;clear:left;"&gt;co&lt;span class="_ _7"&gt;&lt;/span&gt;st t&lt;span class="_ _7"&gt;&lt;/span&gt;hat i&lt;span class="_ _7"&gt;&lt;/span&gt;s si&lt;span class="_ _7"&gt;&lt;/span&gt;gn&lt;span class="_ _7"&gt;&lt;/span&gt;if&lt;span class="_ _7"&gt;&lt;/span&gt;ic&lt;span class="_ _7"&gt;&lt;/span&gt;an&lt;span class="_ _7"&gt;&lt;/span&gt;t in re&lt;span class="_ _7"&gt;&lt;/span&gt;l&lt;span class="_ _7"&gt;&lt;/span&gt;ati&lt;span class="_ _7"&gt;&lt;/span&gt;on to th&lt;span class="_ _7"&gt;&lt;/span&gt;e tot&lt;span class="_ _7"&gt;&lt;/span&gt;al c&lt;span class="_ _7"&gt;&lt;/span&gt;os&lt;span class="_ _7"&gt;&lt;/span&gt;t o&lt;span class="_ _7"&gt;&lt;/span&gt;f the i&lt;span class="_ _7"&gt;&lt;/span&gt;tem a&lt;span class="_ _7"&gt;&lt;/span&gt;nd a &lt;/span&gt;&lt;span style="display:inherit;clear:left;"&gt;us&lt;span class="_ _7"&gt;&lt;/span&gt;ef&lt;span class="_ _7"&gt;&lt;/span&gt;ul l&lt;span class="_ _7"&gt;&lt;/span&gt;if&lt;span class="_ _7"&gt;&lt;/span&gt;e tha&lt;span class="_ _7"&gt;&lt;/span&gt;t di&lt;span class="_ _7"&gt;&lt;/span&gt;f&lt;span class="_ _7"&gt;&lt;/span&gt;fe&lt;span class="_ _7"&gt;&lt;/span&gt;r&lt;span class="_ _7"&gt;&lt;/span&gt;s fr&lt;span class="_ _7"&gt;&lt;/span&gt;om th&lt;span class="_ _7"&gt;&lt;/span&gt;e us&lt;span class="_ _7"&gt;&lt;/span&gt;e&lt;span class="_ _7"&gt;&lt;/span&gt;fu&lt;span class="_ _7"&gt;&lt;/span&gt;l lif&lt;span class="_ _7"&gt;&lt;/span&gt;e of th&lt;span class="_ _7"&gt;&lt;/span&gt;e ot&lt;span class="_ _7"&gt;&lt;/span&gt;her c&lt;span class="_ _7"&gt;&lt;/span&gt;om&lt;span class="_ _7"&gt;&lt;/span&gt;po&lt;span class="_ _7"&gt;&lt;/span&gt;ne&lt;span class="_ _7"&gt;&lt;/span&gt;nt&lt;span class="_ _7"&gt;&lt;/span&gt;s &lt;/span&gt;&lt;span style="display:inherit;clear:left;"&gt;of the&lt;span class="_ _2"&gt;&lt;/span&gt; item, the components a&lt;span class="_ _2"&gt;&lt;/span&gt;re depreciated separatel&lt;span class="_ _2"&gt;&lt;/span&gt;y.&lt;span class="_ _2"&gt;&lt;/span&gt; &lt;/span&gt;&lt;span style="display:inherit;clear:left;"&gt;RoU a&lt;span class="_ _7"&gt;&lt;/span&gt;s&lt;span class="_ _7"&gt;&lt;/span&gt;se&lt;span class="_ _7"&gt;&lt;/span&gt;ts w&lt;span class="_ _7"&gt;&lt;/span&gt;he&lt;span class="_ _7"&gt;&lt;/span&gt;re Volvo C&lt;span class="_ _7"&gt;&lt;/span&gt;ar Gr&lt;span class="_ _7"&gt;&lt;/span&gt;ou&lt;span class="_ _7"&gt;&lt;/span&gt;p is a l&lt;span class="_ _7"&gt;&lt;/span&gt;es&lt;span class="_ _7"&gt;&lt;/span&gt;s&lt;span class="_ _7"&gt;&lt;/span&gt;ee a&lt;span class="_ _7"&gt;&lt;/span&gt;re d&lt;span class="_ _7"&gt;&lt;/span&gt;ep&lt;span class="_ _7"&gt;&lt;/span&gt;rec&lt;span class="_ _7"&gt;&lt;/span&gt;ia&lt;span class="_ _7"&gt;&lt;/span&gt;ted ov&lt;span class="_ _7"&gt;&lt;/span&gt;er &lt;/span&gt;&lt;span style="display:inherit;clear:left;"&gt;the l&lt;span class="_ _7"&gt;&lt;/span&gt;ea&lt;span class="_ _7"&gt;&lt;/span&gt;se c&lt;span class="_ _7"&gt;&lt;/span&gt;ont&lt;span class="_ _7"&gt;&lt;/span&gt;ra&lt;span class="_ _7"&gt;&lt;/span&gt;ct p&lt;span class="_ _7"&gt;&lt;/span&gt;er&lt;span class="_ _7"&gt;&lt;/span&gt;io&lt;span class="_ _7"&gt;&lt;/span&gt;d. W&lt;span class="_ _7"&gt;&lt;/span&gt;he&lt;span class="_ _7"&gt;&lt;/span&gt;n as&lt;span class="_ _7"&gt;&lt;/span&gt;s&lt;span class="_ _7"&gt;&lt;/span&gt;et&lt;span class="_ _7"&gt;&lt;/span&gt;s ar&lt;span class="_ _7"&gt;&lt;/span&gt;e us&lt;span class="_ _7"&gt;&lt;/span&gt;ed o&lt;span class="_ _7"&gt;&lt;/span&gt;nly i&lt;span class="_ _7"&gt;&lt;/span&gt;n the p&lt;span class="_ _7"&gt;&lt;/span&gt;ro&lt;span class="_ _7"&gt;&lt;/span&gt;du&lt;span class="_ _7"&gt;&lt;/span&gt;c&lt;span class="ls3"&gt;-&lt;/span&gt;&lt;/span&gt;&lt;span style="display:inherit;clear:left;"&gt;tio&lt;span class="_ _7"&gt;&lt;/span&gt;n of a s&lt;span class="_ _7"&gt;&lt;/span&gt;pe&lt;span class="_ _7"&gt;&lt;/span&gt;ci&lt;span class="_ _7"&gt;&lt;/span&gt;fi&lt;span class="_ _7"&gt;&lt;/span&gt;c veh&lt;span class="_ _7"&gt;&lt;/span&gt;ic&lt;span class="_ _7"&gt;&lt;/span&gt;le or p&lt;span class="_ _7"&gt;&lt;/span&gt;la&lt;span class="_ _7"&gt;&lt;/span&gt;t&lt;span class="_ _7"&gt;&lt;/span&gt;fo&lt;span class="_ _7"&gt;&lt;/span&gt;rm&lt;span class="_ _7"&gt;&lt;/span&gt;, the u&lt;span class="_ _7"&gt;&lt;/span&gt;s&lt;span class="_ _7"&gt;&lt;/span&gt;ef&lt;span class="_ _7"&gt;&lt;/span&gt;ul li&lt;span class="_ _7"&gt;&lt;/span&gt;fe o&lt;span class="_ _7"&gt;&lt;/span&gt;f th&lt;span class="_ _7"&gt;&lt;/span&gt;e as&lt;span class="_ _7"&gt;&lt;/span&gt;s&lt;span class="_ _7"&gt;&lt;/span&gt;et&lt;span class="_ _7"&gt;&lt;/span&gt;s is&lt;span class="_ _7"&gt;&lt;/span&gt; &lt;/span&gt;&lt;span style="display:inherit;clear:left;"&gt;aligned with&lt;span class="_ _2"&gt;&lt;/span&gt; the production period&lt;span class="_ _2"&gt;&lt;/span&gt; for that veh&lt;span class="_ _2"&gt;&lt;/span&gt;icle or platform.&lt;/span&gt;&lt;span style="display:inherit;clear:left;"&gt;Th&lt;span class="_ _7"&gt;&lt;/span&gt;e fol&lt;span class="_ _7"&gt;&lt;/span&gt;low&lt;span class="_ _7"&gt;&lt;/span&gt;ing u&lt;span class="_ _7"&gt;&lt;/span&gt;se&lt;span class="_ _7"&gt;&lt;/span&gt;f&lt;span class="_ _7"&gt;&lt;/span&gt;ul li&lt;span class="_ _7"&gt;&lt;/span&gt;ve&lt;span class="_ _7"&gt;&lt;/span&gt;s are a&lt;span class="_ _7"&gt;&lt;/span&gt;pp&lt;span class="_ _7"&gt;&lt;/span&gt;lie&lt;span class="_ _7"&gt;&lt;/span&gt;d in Volvo C&lt;span class="_ _7"&gt;&lt;/span&gt;ar G&lt;span class="_ _7"&gt;&lt;/span&gt;ro&lt;span class="_ _7"&gt;&lt;/span&gt;up:&lt;/span&gt;&lt;span style="display:inherit;clear:left;position:relative;height:75.453125px;"&gt;&lt;span class="pp-font-color-override-1" style="position: absolute; display: inline-block; left: 0px; top: 0.0097656px; width: 333.094px; white-space: pre; word-spacing: -0.147px; letter-spacing: 0.147px; margin-left: 0px; font-size: 10.5px; font-family: ff8a; -webkit-text-stroke: 0.1575px rgba(0, 0, 0, 0);"&gt;&lt;span style="display: inline-block;"&gt;Buildings&lt;/span&gt;&lt;span style="word-spacing: -0.147px; letter-spacing: 0.147px; display: inline-block; margin-left: 0px; width: 238.33px; font-size: 10.5px; font-family: ff8a; -webkit-text-stroke: 0.1575px rgba(0, 0, 0, 0);"&gt;&lt;span style="display: inline-block;"&gt; &lt;/span&gt;&lt;/span&gt;&lt;span class="pp-font-color-override-1" style="word-spacing: 0.126px; letter-spacing: -0.0945px; display: inline-block; margin-left: 0px; font-size: 10.5px; font-family: ff8a; -webkit-text-stroke: 0.1575px rgba(0, 0, 0, 0);"&gt;&lt;span style="display: inline-block;"&gt;15&lt;/span&gt;&lt;span style="word-spacing: 0.126px; letter-spacing: -0.0945px; display: inline-block; margin-left: 0px; width: 0.410156px; font-size: 10.5px; font-family: ff8a; -webkit-text-stroke: 0.1575px rgba(0, 0, 0, 0);"&gt;&lt;/span&gt;&lt;span style="display: inline-block;"&gt;–&lt;/span&gt;&lt;span style="word-spacing: 0.126px; letter-spacing: -0.0945px; display: inline-block; margin-left: 0px; width: 0.410156px; font-size: 10.5px; font-family: ff8a; -webkit-text-stroke: 0.1575px rgba(0, 0, 0, 0);"&gt;&lt;/span&gt;&lt;span style="display: inline-block;"&gt;5&lt;/span&gt;&lt;span style="word-spacing: 0.126px; letter-spacing: -0.0945px; display: inline-block; margin-left: 0px; width: 0.410156px; font-size: 10.5px; font-family: ff8a; -webkit-text-stroke: 0.1575px rgba(0, 0, 0, 0);"&gt;&lt;/span&gt;&lt;span style="display: inline-block;"&gt;0 ye&lt;/span&gt;&lt;span style="word-spacing: 0.126px; letter-spacing: -0.0945px; display: inline-block; margin-left: 0px; width: 0.410156px; font-size: 10.5px; font-family: ff8a; -webkit-text-stroke: 0.1575px rgba(0, 0, 0, 0);"&gt;&lt;/span&gt;&lt;span style="display: inline-block;"&gt;a&lt;/span&gt;&lt;span style="word-spacing: 0.126px; letter-spacing: -0.0945px; display: inline-block; margin-left: 0px; width: 0.410156px; font-size: 10.5px; font-family: ff8a; -webkit-text-stroke: 0.1575px rgba(0, 0, 0, 0);"&gt;&lt;/span&gt;&lt;span style="display: inline-block;"&gt;r&lt;/span&gt;&lt;span style="word-spacing: 0.126px; letter-spacing: -0.0945px; display: inline-block; margin-left: 0px; width: 0.410156px; font-size: 10.5px; font-family: ff8a; -webkit-text-stroke: 0.1575px rgba(0, 0, 0, 0);"&gt;&lt;/span&gt;&lt;span style="display: inline-block;"&gt;s&lt;/span&gt;&lt;/span&gt;&lt;/span&gt;&lt;span class="pp-font-color-override-1" style="position: absolute; display: inline-block; left: 0px; top: 15.9629px; width: 325.893px; white-space: pre; word-spacing: -0.0945px; letter-spacing: 0.126px; margin-left: 0px; font-size: 10.5px; font-family: ff8a; -webkit-text-stroke: 0.1575px rgba(0, 0, 0, 0);"&gt;&lt;span style="display: inline-block;"&gt;Lan&lt;/span&gt;&lt;span style="word-spacing: -0.0945px; letter-spacing: 0.126px; display: inline-block; margin-left: 0px; width: 0.410156px; font-size: 10.5px; font-family: ff8a; -webkit-text-stroke: 0.1575px rgba(0, 0, 0, 0);"&gt;&lt;/span&gt;&lt;span style="display: inline-block;"&gt;d improvement&lt;/span&gt;&lt;span style="word-spacing: -0.0945px; letter-spacing: 0.126px; display: inline-block; margin-left: 0px; width: 0.410156px; font-size: 10.5px; font-family: ff8a; -webkit-text-stroke: 0.1575px rgba(0, 0, 0, 0);"&gt;&lt;/span&gt;&lt;span style="display: inline-block;"&gt;s&lt;/span&gt;&lt;span style="word-spacing: -0.0945px; letter-spacing: 0.126px; display: inline-block; margin-left: 0px; width: 185.9px; font-size: 10.5px; font-family: ff8a; -webkit-text-stroke: 0.1575px rgba(0, 0, 0, 0);"&gt;&lt;span style="display: inline-block;"&gt; &lt;/span&gt;&lt;/span&gt;&lt;span class="pp-font-color-override-1" style="word-spacing: -0.147px; letter-spacing: 0.1785px; display: inline-block; margin-left: 0px; font-size: 10.5px; font-family: ff8a; -webkit-text-stroke: 0.1575px rgba(0, 0, 0, 0);"&gt;&lt;span style="display: inline-block;"&gt;15–30 years&lt;/span&gt;&lt;/span&gt;&lt;/span&gt;&lt;span class="pp-font-color-override-1" style="position: absolute; display: inline-block; left: 0px; top: 31.916px; width: 330.592px; white-space: pre; word-spacing: -0.147px; letter-spacing: 0.147px; margin-left: 0px; font-size: 10.5px; font-family: ff8a; -webkit-text-stroke: 0.1575px rgba(0, 0, 0, 0);"&gt;&lt;span style="display: inline-block;"&gt;Machiner&lt;/span&gt;&lt;span style="word-spacing: -0.147px; letter-spacing: 0.147px; display: inline-block; margin-left: 0px; width: 0.410156px; font-size: 10.5px; font-family: ff8a; -webkit-text-stroke: 0.1575px rgba(0, 0, 0, 0);"&gt;&lt;/span&gt;&lt;span style="display: inline-block;"&gt;y&lt;/span&gt;&lt;span style="word-spacing: -0.147px; letter-spacing: 0.147px; display: inline-block; margin-left: 0px; width: 235.951px; font-size: 10.5px; font-family: ff8a; -webkit-text-stroke: 0.1575px rgba(0, 0, 0, 0);"&gt;&lt;span style="display: inline-block;"&gt; &lt;/span&gt;&lt;/span&gt;&lt;span class="pp-font-color-override-1" style="word-spacing: -0.147px; letter-spacing: 0.1785px; display: inline-block; margin-left: 0px; font-size: 10.5px; font-family: ff8a; -webkit-text-stroke: 0.1575px rgba(0, 0, 0, 0);"&gt;&lt;span style="display: inline-block;"&gt;8–30 years&lt;/span&gt;&lt;/span&gt;&lt;/span&gt;&lt;span class="pp-font-color-override-1" style="position: absolute; display: inline-block; left: 0px; top: 47.8848px; width: 330.146px; white-space: pre; word-spacing: -0.063px; letter-spacing: 0.063px; margin-left: 0px; font-size: 10.5px; font-family: ff8a; -webkit-text-stroke: 0.1575px rgba(0, 0, 0, 0);"&gt;&lt;span style="display: inline-block;"&gt;Equip&lt;/span&gt;&lt;span style="word-spacing: -0.063px; letter-spacing: 0.063px; display: inline-block; margin-left: 0px; width: 0.410156px; font-size: 10.5px; font-family: ff8a; -webkit-text-stroke: 0.1575px rgba(0, 0, 0, 0);"&gt;&lt;/span&gt;&lt;span style="display: inline-block;"&gt;men&lt;/span&gt;&lt;span style="word-spacing: -0.063px; letter-spacing: 0.063px; display: inline-block; margin-left: 0px; width: 0.410156px; font-size: 10.5px; font-family: ff8a; -webkit-text-stroke: 0.1575px rgba(0, 0, 0, 0);"&gt;&lt;/span&gt;&lt;span style="display: inline-block;"&gt;t&lt;/span&gt;&lt;span style="word-spacing: -0.063px; letter-spacing: 0.063px; display: inline-block; margin-left: 0px; width: 235.951px; font-size: 10.5px; font-family: ff8a; -webkit-text-stroke: 0.1575px rgba(0, 0, 0, 0);"&gt;&lt;span style="display: inline-block;"&gt; &lt;/span&gt;&lt;/span&gt;&lt;span class="pp-font-color-override-1" style="word-spacing: 0.2625px; letter-spacing: -0.231px; display: inline-block; margin-left: 0px; font-size: 10.5px; font-family: ff8a; -webkit-text-stroke: 0.1575px rgba(0, 0, 0, 0);"&gt;&lt;span style="display: inline-block;"&gt;3&lt;/span&gt;&lt;span style="word-spacing: 0.2625px; letter-spacing: -0.231px; display: inline-block; margin-left: 0px; width: 0.410156px; font-size: 10.5px; font-family: ff8a; -webkit-text-stroke: 0.1575px rgba(0, 0, 0, 0);"&gt;&lt;/span&gt;&lt;span style="display: inline-block;"&gt;–2&lt;/span&gt;&lt;span style="word-spacing: 0.2625px; letter-spacing: -0.231px; display: inline-block; margin-left: 0px; width: 0.410156px; font-size: 10.5px; font-family: ff8a; -webkit-text-stroke: 0.1575px rgba(0, 0, 0, 0);"&gt;&lt;/span&gt;&lt;span style="display: inline-block;"&gt;0 y&lt;/span&gt;&lt;span style="word-spacing: 0.2625px; letter-spacing: -0.231px; display: inline-block; margin-left: 0px; width: 0.410156px; font-size: 10.5px; font-family: ff8a; -webkit-text-stroke: 0.1575px rgba(0, 0, 0, 0);"&gt;&lt;/span&gt;&lt;span style="display: inline-block;"&gt;e&lt;/span&gt;&lt;span style="word-spacing: 0.2625px; letter-spacing: -0.231px; display: inline-block; margin-left: 0px; width: 0.410156px; font-size: 10.5px; font-family: ff8a; -webkit-text-stroke: 0.1575px rgba(0, 0, 0, 0);"&gt;&lt;/span&gt;&lt;span style="display: inline-block;"&gt;a&lt;/span&gt;&lt;span style="word-spacing: 0.2625px; letter-spacing: -0.231px; display: inline-block; margin-left: 0px; width: 0.410156px; font-size: 10.5px; font-family: ff8a; -webkit-text-stroke: 0.1575px rgba(0, 0, 0, 0);"&gt;&lt;/span&gt;&lt;span style="display: inline-block;"&gt;r&lt;/span&gt;&lt;span style="word-spacing: 0.2625px; letter-spacing: -0.231px; display: inline-block; margin-left: 0px; width: 0.925781px; font-size: 10.5px; font-family: ff8a; -webkit-text-stroke: 0.1575px rgba(0, 0, 0, 0);"&gt;&lt;/span&gt;&lt;span style="display: inline-block;"&gt;s&lt;/span&gt;&lt;/span&gt;&lt;/span&gt;&lt;span class="pp-font-color-override-1" style="position: absolute; display: inline-block; left: 0px; top: 63.8379px; width: 336.926px; white-space: pre; word-spacing: -0.1785px; letter-spacing: 0.1785px; margin-left: 0px; font-size: 10.5px; font-family: ff8a; -webkit-text-stroke: 0.1575px rgba(0, 0, 0, 0);"&gt;&lt;span style="display: inline-block;"&gt;Land&lt;/span&gt;&lt;span style="word-spacing: -0.1785px; letter-spacing: 0.1785px; display: inline-block; margin-left: 0px; width: 272.162px; font-size: 10.5px; font-family: ff8a; -webkit-text-stroke: 0.1575px rgba(0, 0, 0, 0);"&gt;&lt;span style="display: inline-block;"&gt; &lt;/span&gt;&lt;/span&gt;&lt;span class="pp-font-color-override-1" style="word-spacing: -0.042px; letter-spacing: 0.042px; display: inline-block; margin-left: 0px; font-size: 10.5px; font-family: ff8a; -webkit-text-stroke: 0.1575px rgba(0, 0, 0, 0);"&gt;&lt;span style="display: inline-block;"&gt;In&lt;/span&gt;&lt;span style="word-spacing: -0.042px; letter-spacing: 0.042px; display: inline-block; margin-left: 0px; width: 0.410156px; font-size: 10.5px; font-family: ff8a; -webkit-text-stroke: 0.1575px rgba(0, 0, 0, 0);"&gt;&lt;/span&gt;&lt;span style="display: inline-block;"&gt;de&lt;/span&gt;&lt;span style="word-spacing: -0.042px; letter-spacing: 0.042px; display: inline-block; margin-left: 0px; width: 0.410156px; font-size: 10.5px; font-family: ff8a; -webkit-text-stroke: 0.1575px rgba(0, 0, 0, 0);"&gt;&lt;/span&gt;&lt;span style="display: inline-block;"&gt;fi&lt;/span&gt;&lt;span style="word-spacing: -0.042px; letter-spacing: 0.042px; display: inline-block; margin-left: 0px; width: 0.410156px; font-size: 10.5px; font-family: ff8a; -webkit-text-stroke: 0.1575px rgba(0, 0, 0, 0);"&gt;&lt;/span&gt;&lt;span style="display: inline-block;"&gt;nite&lt;/span&gt;&lt;/span&gt;&lt;/span&gt;&lt;/span&gt;&lt;span style="display:inherit;clear:left;"&gt;Depreciation is&lt;span class="_ _2"&gt;&lt;/span&gt; included in cost of&lt;span class="_ _2"&gt;&lt;/span&gt; sales&lt;span class="_ _7"&gt;&lt;/span&gt;, research and&lt;span class="_ _2"&gt;&lt;/span&gt; development &lt;/span&gt;&lt;span style="display:inherit;clear:left;"&gt;exp&lt;span class="_ _7"&gt;&lt;/span&gt;en&lt;span class="_ _7"&gt;&lt;/span&gt;se&lt;span class="_ _7"&gt;&lt;/span&gt;s a&lt;span class="_ _7"&gt;&lt;/span&gt;s wel&lt;span class="_ _7"&gt;&lt;/span&gt;l as s&lt;span class="_ _7"&gt;&lt;/span&gt;el&lt;span class="_ _7"&gt;&lt;/span&gt;lin&lt;span class="_ _7"&gt;&lt;/span&gt;g or ad&lt;span class="_ _7"&gt;&lt;/span&gt;mi&lt;span class="_ _7"&gt;&lt;/span&gt;nis&lt;span class="_ _7"&gt;&lt;/span&gt;t&lt;span class="_ _7"&gt;&lt;/span&gt;rat&lt;span class="_ _7"&gt;&lt;/span&gt;ive ex&lt;span class="_ _7"&gt;&lt;/span&gt;p&lt;span class="_ _7"&gt;&lt;/span&gt;en&lt;span class="_ _7"&gt;&lt;/span&gt;se&lt;span class="_ _7"&gt;&lt;/span&gt;s de&lt;span class="_ _7"&gt;&lt;/span&gt;pe&lt;span class="_ _7"&gt;&lt;/span&gt;nd&lt;span class="_ _7"&gt;&lt;/span&gt;ing o&lt;span class="_ _7"&gt;&lt;/span&gt;n &lt;/span&gt;&lt;span style="display:inherit;clear:left;"&gt;how t&lt;span class="_ _7"&gt;&lt;/span&gt;he a&lt;span class="_ _7"&gt;&lt;/span&gt;s&lt;span class="_ _7"&gt;&lt;/span&gt;se&lt;span class="_ _7"&gt;&lt;/span&gt;ts h&lt;span class="_ _7"&gt;&lt;/span&gt;ave b&lt;span class="_ _7"&gt;&lt;/span&gt;ee&lt;span class="_ _7"&gt;&lt;/span&gt;n us&lt;span class="_ _7"&gt;&lt;/span&gt;ed&lt;span class="_ _7"&gt;&lt;/span&gt;. &lt;/span&gt;&lt;span style="display:inherit;clear:left;"&gt;For m&lt;span class="_ _7"&gt;&lt;/span&gt;ore i&lt;span class="_ _7"&gt;&lt;/span&gt;nf&lt;span class="_ _7"&gt;&lt;/span&gt;or&lt;span class="_ _7"&gt;&lt;/span&gt;mat&lt;span class="_ _7"&gt;&lt;/span&gt;io&lt;span class="_ _7"&gt;&lt;/span&gt;n on Ro&lt;span class="_ _7"&gt;&lt;/span&gt;U as&lt;span class="_ _7"&gt;&lt;/span&gt;s&lt;span class="_ _7"&gt;&lt;/span&gt;et&lt;span class="_ _7"&gt;&lt;/span&gt;s an&lt;span class="_ _7"&gt;&lt;/span&gt;d as&lt;span class="_ _7"&gt;&lt;/span&gt;s&lt;span class="_ _7"&gt;&lt;/span&gt;et&lt;span class="_ _7"&gt;&lt;/span&gt;s un&lt;span class="_ _7"&gt;&lt;/span&gt;de&lt;span class="_ _7"&gt;&lt;/span&gt;r op&lt;span class="_ _7"&gt;&lt;/span&gt;er&lt;span class="_ _7"&gt;&lt;/span&gt;ati&lt;span class="_ _7"&gt;&lt;/span&gt;ng &lt;/span&gt;&lt;span style="display:inherit;clear:left;"&gt;lea&lt;span class="_ _7"&gt;&lt;/span&gt;s&lt;span class="_ _7"&gt;&lt;/span&gt;es&lt;span class="_ _7"&gt;&lt;/span&gt;, s&lt;span class="_ _7"&gt;&lt;/span&gt;ee N&lt;span class="_ _7"&gt;&lt;/span&gt;ote 7 – Le&lt;span class="_ _7"&gt;&lt;/span&gt;as&lt;span class="_ _7"&gt;&lt;/span&gt;e&lt;span class="_ _7"&gt;&lt;/span&gt;s&lt;span class="_ _7"&gt;&lt;/span&gt;.&lt;/span&gt;</t>
  </si>
  <si>
    <t>f1__s8__6__142</t>
  </si>
  <si>
    <t>ifrs-full:DisclosureOfInventoriesExplanatory</t>
  </si>
  <si>
    <t>&lt;span style="display:inherit;clear:left;"&gt;NOT&lt;span class="_ _7"&gt;&lt;/span&gt;E 17&lt;/span&gt;&lt;span style="display:inherit;clear:left;"&gt;IN&lt;span class="_ _7"&gt;&lt;/span&gt;VENTO&lt;span class="_ _7"&gt;&lt;/span&gt;RI&lt;span class="_ _7"&gt;&lt;/span&gt;ES&lt;/span&gt;&lt;span style="display:inherit;clear:left;"&gt;ACCOUNTING&lt;span class="_ _2"&gt;&lt;/span&gt; POLICIES&lt;/span&gt;&lt;span style="display:inherit;clear:left;"&gt;Invent&lt;span class="_ _2"&gt;&lt;/span&gt;ories consist of raw mat&lt;span class="_ _2"&gt;&lt;/span&gt;erial and consumables, work i&lt;span class="_ _2"&gt;&lt;/span&gt;n pro&lt;span class="ls3 ws3"&gt;-&lt;/span&gt;&lt;/span&gt;&lt;span style="display:inherit;clear:left;"&gt;gr&lt;span class="_ _7"&gt;&lt;/span&gt;es&lt;span class="_ _7"&gt;&lt;/span&gt;s&lt;span class="_ _7"&gt;&lt;/span&gt;,  f&lt;span class="_ _7"&gt;&lt;/span&gt;ini&lt;span class="_ _7"&gt;&lt;/span&gt;s&lt;span class="_ _7"&gt;&lt;/span&gt;he&lt;span class="_ _7"&gt;&lt;/span&gt;d go&lt;span class="_ _7"&gt;&lt;/span&gt;od&lt;span class="_ _7"&gt;&lt;/span&gt;s an&lt;span class="_ _7"&gt;&lt;/span&gt;d goo&lt;span class="_ _7"&gt;&lt;/span&gt;d&lt;span class="_ _7"&gt;&lt;/span&gt;s for r&lt;span class="_ _7"&gt;&lt;/span&gt;es&lt;span class="_ _7"&gt;&lt;/span&gt;a&lt;span class="_ _7"&gt;&lt;/span&gt;le, a&lt;span class="_ _7"&gt;&lt;/span&gt;nd e&lt;span class="_ _7"&gt;&lt;/span&gt;mi&lt;span class="_ _7"&gt;&lt;/span&gt;s&lt;span class="_ _7"&gt;&lt;/span&gt;sio&lt;span class="_ _7"&gt;&lt;/span&gt;n cr&lt;span class="_ _7"&gt;&lt;/span&gt;ed&lt;span class="_ _7"&gt;&lt;/span&gt;it&lt;span class="_ _7"&gt;&lt;/span&gt;s.  &lt;/span&gt;&lt;span style="display:inherit;clear:left;"&gt;As&lt;span class="_ _7"&gt;&lt;/span&gt;s&lt;span class="_ _7"&gt;&lt;/span&gt;et&lt;span class="_ _7"&gt;&lt;/span&gt;s he&lt;span class="_ _7"&gt;&lt;/span&gt;ld un&lt;span class="_ _7"&gt;&lt;/span&gt;de&lt;span class="_ _7"&gt;&lt;/span&gt;r op&lt;span class="_ _7"&gt;&lt;/span&gt;er&lt;span class="_ _7"&gt;&lt;/span&gt;ati&lt;span class="_ _7"&gt;&lt;/span&gt;ng le&lt;span class="_ _7"&gt;&lt;/span&gt;as&lt;span class="_ _7"&gt;&lt;/span&gt;e, w&lt;span class="_ _7"&gt;&lt;/span&gt;it&lt;span class="_ _7"&gt;&lt;/span&gt;h a mat&lt;span class="_ _7"&gt;&lt;/span&gt;ur&lt;span class="_ _7"&gt;&lt;/span&gt;it&lt;span class="_ _7"&gt;&lt;/span&gt;y le&lt;span class="_ _7"&gt;&lt;/span&gt;s&lt;span class="_ _7"&gt;&lt;/span&gt;s or e&lt;span class="_ _7"&gt;&lt;/span&gt;qu&lt;span class="_ _7"&gt;&lt;/span&gt;al to &lt;/span&gt;&lt;span style="display:inherit;clear:left;"&gt;12 mont&lt;span class="_ _7"&gt;&lt;/span&gt;hs&lt;span class="_ _7"&gt;&lt;/span&gt;, ar&lt;span class="_ _7"&gt;&lt;/span&gt;e al&lt;span class="_ _7"&gt;&lt;/span&gt;s&lt;span class="_ _7"&gt;&lt;/span&gt;o re&lt;span class="_ _7"&gt;&lt;/span&gt;cog&lt;span class="_ _7"&gt;&lt;/span&gt;ni&lt;span class="_ _7"&gt;&lt;/span&gt;se&lt;span class="_ _7"&gt;&lt;/span&gt;d as i&lt;span class="_ _7"&gt;&lt;/span&gt;nve&lt;span class="_ _7"&gt;&lt;/span&gt;ntor&lt;span class="_ _9"&gt;&lt;/span&gt;y. Invento&lt;span class="_ _7"&gt;&lt;/span&gt;ri&lt;span class="_ _7"&gt;&lt;/span&gt;es a&lt;span class="_ _7"&gt;&lt;/span&gt;re m&lt;span class="_ _7"&gt;&lt;/span&gt;ea&lt;span class="_ _7"&gt;&lt;/span&gt;s-&lt;/span&gt;&lt;span style="display:inherit;clear:left;"&gt;ure&lt;span class="_ _7"&gt;&lt;/span&gt;d at th&lt;span class="_ _7"&gt;&lt;/span&gt;e low&lt;span class="_ _7"&gt;&lt;/span&gt;er o&lt;span class="_ _7"&gt;&lt;/span&gt;f co&lt;span class="_ _7"&gt;&lt;/span&gt;st a&lt;span class="_ _7"&gt;&lt;/span&gt;nd n&lt;span class="_ _7"&gt;&lt;/span&gt;et re&lt;span class="_ _7"&gt;&lt;/span&gt;al&lt;span class="_ _7"&gt;&lt;/span&gt;is&lt;span class="_ _7"&gt;&lt;/span&gt;ab&lt;span class="_ _7"&gt;&lt;/span&gt;le v&lt;span class="_ _7"&gt;&lt;/span&gt;alue&lt;span class="_ _7"&gt;&lt;/span&gt;. Co&lt;span class="_ _7"&gt;&lt;/span&gt;s&lt;span class="_ _7"&gt;&lt;/span&gt;t of i&lt;span class="_ _7"&gt;&lt;/span&gt;nven&lt;span class="_ _7"&gt;&lt;/span&gt;tor&lt;span class="_ _7"&gt;&lt;/span&gt;ie&lt;span class="_ _7"&gt;&lt;/span&gt;s &lt;/span&gt;&lt;span style="display:inherit;clear:left;"&gt;com&lt;span class="_ _7"&gt;&lt;/span&gt;pr&lt;span class="_ _7"&gt;&lt;/span&gt;is&lt;span class="_ _7"&gt;&lt;/span&gt;e of a&lt;span class="_ _7"&gt;&lt;/span&gt;ll c&lt;span class="_ _7"&gt;&lt;/span&gt;os&lt;span class="_ _7"&gt;&lt;/span&gt;t&lt;span class="_ _7"&gt;&lt;/span&gt;s of p&lt;span class="_ _7"&gt;&lt;/span&gt;urc&lt;span class="_ _7"&gt;&lt;/span&gt;ha&lt;span class="_ _7"&gt;&lt;/span&gt;se&lt;span class="_ _7"&gt;&lt;/span&gt;, pr&lt;span class="_ _7"&gt;&lt;/span&gt;od&lt;span class="_ _7"&gt;&lt;/span&gt;uc&lt;span class="_ _7"&gt;&lt;/span&gt;tio&lt;span class="_ _7"&gt;&lt;/span&gt;n ch&lt;span class="_ _7"&gt;&lt;/span&gt;arg&lt;span class="_ _7"&gt;&lt;/span&gt;es a&lt;span class="_ _7"&gt;&lt;/span&gt;nd o&lt;span class="_ _7"&gt;&lt;/span&gt;the&lt;span class="_ _7"&gt;&lt;/span&gt;r &lt;/span&gt;&lt;span style="display:inherit;clear:left;"&gt;exp&lt;span class="_ _7"&gt;&lt;/span&gt;en&lt;span class="_ _7"&gt;&lt;/span&gt;di&lt;span class="_ _7"&gt;&lt;/span&gt;tur&lt;span class="_ _7"&gt;&lt;/span&gt;es i&lt;span class="_ _7"&gt;&lt;/span&gt;ncu&lt;span class="_ _7"&gt;&lt;/span&gt;rr&lt;span class="_ _7"&gt;&lt;/span&gt;ed i&lt;span class="_ _7"&gt;&lt;/span&gt;n br&lt;span class="_ _7"&gt;&lt;/span&gt;ing&lt;span class="_ _7"&gt;&lt;/span&gt;ing t&lt;span class="_ _7"&gt;&lt;/span&gt;he i&lt;span class="_ _7"&gt;&lt;/span&gt;nven&lt;span class="_ _7"&gt;&lt;/span&gt;tor&lt;span class="_ _7"&gt;&lt;/span&gt;ie&lt;span class="_ _7"&gt;&lt;/span&gt;s to th&lt;span class="_ _7"&gt;&lt;/span&gt;eir p&lt;span class="_ _7"&gt;&lt;/span&gt;re&lt;span class="_ _7"&gt;&lt;/span&gt;s&lt;span class="_ _7"&gt;&lt;/span&gt;ent &lt;/span&gt;&lt;span style="display:inherit;clear:left;"&gt;location and&lt;span class="_ _2"&gt;&lt;/span&gt; condition. The initial&lt;span class="_ _2"&gt;&lt;/span&gt; value of&lt;span class="_ _2"&gt;&lt;/span&gt; emis&lt;span class="_ _7"&gt;&lt;/span&gt;sion credit in&lt;span class="_ _2"&gt;&lt;/span&gt;vento&lt;span class="ls3 ws3"&gt;-&lt;/span&gt;&lt;/span&gt;&lt;span style="display:inherit;clear:left;"&gt;ri&lt;span class="_ _7"&gt;&lt;/span&gt;es i&lt;span class="_ _7"&gt;&lt;/span&gt;s ba&lt;span class="_ _7"&gt;&lt;/span&gt;se&lt;span class="_ _7"&gt;&lt;/span&gt;d on t&lt;span class="_ _7"&gt;&lt;/span&gt;he f&lt;span class="_ _7"&gt;&lt;/span&gt;air v&lt;span class="_ _7"&gt;&lt;/span&gt;alu&lt;span class="_ _7"&gt;&lt;/span&gt;e on t&lt;span class="_ _7"&gt;&lt;/span&gt;he da&lt;span class="_ _7"&gt;&lt;/span&gt;te th&lt;span class="_ _7"&gt;&lt;/span&gt;ey ar&lt;span class="_ _7"&gt;&lt;/span&gt;e ea&lt;span class="_ _7"&gt;&lt;/span&gt;rn&lt;span class="_ _7"&gt;&lt;/span&gt;ed&lt;span class="_ _7"&gt;&lt;/span&gt;. &lt;/span&gt;&lt;span style="display:inherit;clear:left;"&gt;Th&lt;span class="_ _7"&gt;&lt;/span&gt;e co&lt;span class="_ _7"&gt;&lt;/span&gt;st o&lt;span class="_ _7"&gt;&lt;/span&gt;f inve&lt;span class="_ _7"&gt;&lt;/span&gt;nto&lt;span class="_ _7"&gt;&lt;/span&gt;ri&lt;span class="_ _7"&gt;&lt;/span&gt;es o&lt;span class="_ _7"&gt;&lt;/span&gt;f si&lt;span class="_ _7"&gt;&lt;/span&gt;mil&lt;span class="_ _7"&gt;&lt;/span&gt;ar a&lt;span class="_ _7"&gt;&lt;/span&gt;s&lt;span class="_ _7"&gt;&lt;/span&gt;s&lt;span class="_ _7"&gt;&lt;/span&gt;et&lt;span class="_ _7"&gt;&lt;/span&gt;s is e&lt;span class="_ _7"&gt;&lt;/span&gt;s&lt;span class="_ _7"&gt;&lt;/span&gt;ta&lt;span class="_ _7"&gt;&lt;/span&gt;bli&lt;span class="_ _7"&gt;&lt;/span&gt;sh&lt;span class="_ _7"&gt;&lt;/span&gt;ed u&lt;span class="_ _7"&gt;&lt;/span&gt;si&lt;span class="_ _7"&gt;&lt;/span&gt;ng th&lt;span class="_ _7"&gt;&lt;/span&gt;e &lt;/span&gt;&lt;span style="display:inherit;clear:left;"&gt;fi&lt;span class="_ _7"&gt;&lt;/span&gt;rs&lt;span class="_ _7"&gt;&lt;/span&gt;t&lt;span class="_ _2"&gt;&lt;/span&gt;-in&lt;span class="_ _7"&gt;&lt;/span&gt;, f&lt;span class="_ _7"&gt;&lt;/span&gt;ir&lt;span class="_ _7"&gt;&lt;/span&gt;st-out me&lt;span class="_ _7"&gt;&lt;/span&gt;th&lt;span class="_ _7"&gt;&lt;/span&gt;od (FI&lt;span class="_ _7"&gt;&lt;/span&gt;FO). Net re&lt;span class="_ _7"&gt;&lt;/span&gt;ali&lt;span class="_ _7"&gt;&lt;/span&gt;s&lt;span class="_ _7"&gt;&lt;/span&gt;ab&lt;span class="_ _7"&gt;&lt;/span&gt;le va&lt;span class="_ _7"&gt;&lt;/span&gt;lue i&lt;span class="_ _7"&gt;&lt;/span&gt;s c&lt;span class="_ _7"&gt;&lt;/span&gt;alcu&lt;span class="_ _7"&gt;&lt;/span&gt;la&lt;span class="_ _7"&gt;&lt;/span&gt;ted a&lt;span class="_ _7"&gt;&lt;/span&gt;s &lt;/span&gt;&lt;span style="display:inherit;clear:left;"&gt;the s&lt;span class="_ _7"&gt;&lt;/span&gt;e&lt;span class="_ _7"&gt;&lt;/span&gt;lli&lt;span class="_ _7"&gt;&lt;/span&gt;ng pr&lt;span class="_ _7"&gt;&lt;/span&gt;ic&lt;span class="_ _7"&gt;&lt;/span&gt;e in th&lt;span class="_ _7"&gt;&lt;/span&gt;e or&lt;span class="_ _7"&gt;&lt;/span&gt;din&lt;span class="_ _7"&gt;&lt;/span&gt;ar&lt;span class="_ _7"&gt;&lt;/span&gt;y c&lt;span class="_ _7"&gt;&lt;/span&gt;ou&lt;span class="_ _7"&gt;&lt;/span&gt;rs&lt;span class="_ _7"&gt;&lt;/span&gt;e o&lt;span class="_ _7"&gt;&lt;/span&gt;f bu&lt;span class="_ _7"&gt;&lt;/span&gt;si&lt;span class="_ _7"&gt;&lt;/span&gt;ne&lt;span class="_ _7"&gt;&lt;/span&gt;s&lt;span class="_ _7"&gt;&lt;/span&gt;s&lt;span class="_ _7"&gt;&lt;/span&gt;, les&lt;span class="_ _7"&gt;&lt;/span&gt;s e&lt;span class="_ _7"&gt;&lt;/span&gt;s&lt;span class="_ _7"&gt;&lt;/span&gt;tim&lt;span class="_ _7"&gt;&lt;/span&gt;ate&lt;span class="_ _7"&gt;&lt;/span&gt;d &lt;/span&gt;&lt;span style="display:inherit;clear:left;"&gt;co&lt;span class="_ _7"&gt;&lt;/span&gt;st&lt;span class="_ _7"&gt;&lt;/span&gt;s o&lt;span class="_ _7"&gt;&lt;/span&gt;f com&lt;span class="_ _7"&gt;&lt;/span&gt;pl&lt;span class="_ _7"&gt;&lt;/span&gt;eti&lt;span class="_ _7"&gt;&lt;/span&gt;on an&lt;span class="_ _7"&gt;&lt;/span&gt;d s&lt;span class="_ _7"&gt;&lt;/span&gt;ell&lt;span class="_ _7"&gt;&lt;/span&gt;ing c&lt;span class="_ _7"&gt;&lt;/span&gt;os&lt;span class="_ _7"&gt;&lt;/span&gt;t&lt;span class="_ _7"&gt;&lt;/span&gt;s&lt;span class="_ _7"&gt;&lt;/span&gt;. For g&lt;span class="_ _7"&gt;&lt;/span&gt;ro&lt;span class="_ _7"&gt;&lt;/span&gt;up&lt;span class="_ _7"&gt;&lt;/span&gt;s of s&lt;span class="_ _7"&gt;&lt;/span&gt;imi&lt;span class="_ _7"&gt;&lt;/span&gt;la&lt;span class="_ _7"&gt;&lt;/span&gt;r pr&lt;span class="_ _7"&gt;&lt;/span&gt;od-&lt;/span&gt;&lt;span style="display:inherit;clear:left;"&gt;uc&lt;span class="_ _7"&gt;&lt;/span&gt;ts&lt;span class="_ _7"&gt;&lt;/span&gt;, a Gr&lt;span class="_ _7"&gt;&lt;/span&gt;ou&lt;span class="_ _7"&gt;&lt;/span&gt;p val&lt;span class="_ _7"&gt;&lt;/span&gt;uat&lt;span class="_ _7"&gt;&lt;/span&gt;ion m&lt;span class="_ _7"&gt;&lt;/span&gt;et&lt;span class="_ _7"&gt;&lt;/span&gt;ho&lt;span class="_ _7"&gt;&lt;/span&gt;d is a&lt;span class="_ _7"&gt;&lt;/span&gt;pp&lt;span class="_ _7"&gt;&lt;/span&gt;lie&lt;span class="_ _7"&gt;&lt;/span&gt;d. P&lt;span class="_ _7"&gt;&lt;/span&gt;hys&lt;span class="_ _7"&gt;&lt;/span&gt;ic&lt;span class="_ _7"&gt;&lt;/span&gt;al s&lt;span class="_ _7"&gt;&lt;/span&gt;to&lt;span class="_ _7"&gt;&lt;/span&gt;ck co&lt;span class="_ _7"&gt;&lt;/span&gt;un&lt;span class="_ _7"&gt;&lt;/span&gt;ts a&lt;span class="_ _7"&gt;&lt;/span&gt;re &lt;/span&gt;&lt;span style="display:inherit;clear:left;"&gt;carried out annual&lt;span class="_ _2"&gt;&lt;/span&gt;ly or more&lt;span class="_ _2"&gt;&lt;/span&gt; of&lt;span class="_ _7"&gt;&lt;/span&gt;ten where a&lt;span class="_ _2"&gt;&lt;/span&gt;ppropriate in order&lt;span class="_ _2"&gt;&lt;/span&gt; to &lt;/span&gt;&lt;span style="display:inherit;clear:left;"&gt;verify the records.&lt;/span&gt;&lt;span style="display:inherit;clear:left;"&gt;CRITICAL A&lt;span class="_ _2"&gt;&lt;/span&gt;CC&lt;span class="_ _7"&gt;&lt;/span&gt;OUNTING ESTIMA&lt;span class="_ _6"&gt;&lt;/span&gt;TES AND JUDGEMENTS&lt;/span&gt;&lt;span style="display:inherit;clear:left;"&gt;Net r&lt;span class="_ _7"&gt;&lt;/span&gt;ea&lt;span class="_ _7"&gt;&lt;/span&gt;lis&lt;span class="_ _7"&gt;&lt;/span&gt;a&lt;span class="_ _7"&gt;&lt;/span&gt;ble v&lt;span class="_ _7"&gt;&lt;/span&gt;alu&lt;span class="_ _7"&gt;&lt;/span&gt;e is b&lt;span class="_ _7"&gt;&lt;/span&gt;as&lt;span class="_ _7"&gt;&lt;/span&gt;e&lt;span class="_ _7"&gt;&lt;/span&gt;d on th&lt;span class="_ _7"&gt;&lt;/span&gt;e mo&lt;span class="_ _7"&gt;&lt;/span&gt;s&lt;span class="_ _7"&gt;&lt;/span&gt;t rel&lt;span class="_ _7"&gt;&lt;/span&gt;ia&lt;span class="_ _7"&gt;&lt;/span&gt;ble e&lt;span class="_ _7"&gt;&lt;/span&gt;vi&lt;span class="_ _7"&gt;&lt;/span&gt;den&lt;span class="_ _7"&gt;&lt;/span&gt;ce o&lt;span class="_ _7"&gt;&lt;/span&gt;f th&lt;span class="_ _7"&gt;&lt;/span&gt;e &lt;/span&gt;&lt;span style="display:inherit;clear:left;"&gt;amo&lt;span class="_ _7"&gt;&lt;/span&gt;un&lt;span class="_ _7"&gt;&lt;/span&gt;t Volvo Ca&lt;span class="_ _7"&gt;&lt;/span&gt;r Gro&lt;span class="_ _7"&gt;&lt;/span&gt;up ex&lt;span class="_ _7"&gt;&lt;/span&gt;pe&lt;span class="_ _7"&gt;&lt;/span&gt;ct&lt;span class="_ _7"&gt;&lt;/span&gt;s to r&lt;span class="_ _7"&gt;&lt;/span&gt;ea&lt;span class="_ _7"&gt;&lt;/span&gt;lis&lt;span class="_ _7"&gt;&lt;/span&gt;e f&lt;span class="_ _7"&gt;&lt;/span&gt;ro&lt;span class="_ _7"&gt;&lt;/span&gt;m veh&lt;span class="_ _7"&gt;&lt;/span&gt;icl&lt;span class="_ _7"&gt;&lt;/span&gt;es a&lt;span class="_ _7"&gt;&lt;/span&gt;nd c&lt;span class="_ _7"&gt;&lt;/span&gt;om-&lt;/span&gt;&lt;span style="display:inherit;clear:left;"&gt;po&lt;span class="_ _7"&gt;&lt;/span&gt;ne&lt;span class="_ _7"&gt;&lt;/span&gt;nts o&lt;span class="_ _7"&gt;&lt;/span&gt;n f&lt;span class="_ _7"&gt;&lt;/span&gt;utu&lt;span class="_ _7"&gt;&lt;/span&gt;re s&lt;span class="_ _7"&gt;&lt;/span&gt;al&lt;span class="_ _7"&gt;&lt;/span&gt;es t&lt;span class="_ _7"&gt;&lt;/span&gt;ren&lt;span class="_ _7"&gt;&lt;/span&gt;ds o&lt;span class="_ _7"&gt;&lt;/span&gt;r ne&lt;span class="_ _7"&gt;&lt;/span&gt;ed&lt;span class="_ _7"&gt;&lt;/span&gt;s&lt;span class="_ _7"&gt;&lt;/span&gt;, fo&lt;span class="_ _7"&gt;&lt;/span&gt;r com&lt;span class="_ _7"&gt;&lt;/span&gt;po&lt;span class="_ _7"&gt;&lt;/span&gt;ne&lt;span class="_ _7"&gt;&lt;/span&gt;nt&lt;span class="_ _7"&gt;&lt;/span&gt;s&lt;span class="_ _7"&gt;&lt;/span&gt;, and t&lt;span class="_ _7"&gt;&lt;/span&gt;ake&lt;span class="_ _7"&gt;&lt;/span&gt;s &lt;/span&gt;&lt;span style="display:inherit;clear:left;"&gt;into a&lt;span class="_ _7"&gt;&lt;/span&gt;cc&lt;span class="_ _7"&gt;&lt;/span&gt;ou&lt;span class="_ _7"&gt;&lt;/span&gt;nt ite&lt;span class="_ _7"&gt;&lt;/span&gt;ms t&lt;span class="_ _7"&gt;&lt;/span&gt;hat a&lt;span class="_ _7"&gt;&lt;/span&gt;re w&lt;span class="_ _7"&gt;&lt;/span&gt;ho&lt;span class="_ _7"&gt;&lt;/span&gt;lly or p&lt;span class="_ _7"&gt;&lt;/span&gt;ar&lt;span class="_ _7"&gt;&lt;/span&gt;t&lt;span class="_ _7"&gt;&lt;/span&gt;ia&lt;span class="_ _7"&gt;&lt;/span&gt;lly ob&lt;span class="_ _7"&gt;&lt;/span&gt;s&lt;span class="_ _7"&gt;&lt;/span&gt;ol&lt;span class="_ _7"&gt;&lt;/span&gt;ete. &lt;/span&gt;&lt;span style="display:inherit;clear:left;"&gt;A fu&lt;span class="_ _7"&gt;&lt;/span&gt;tur&lt;span class="_ _7"&gt;&lt;/span&gt;e un&lt;span class="_ _7"&gt;&lt;/span&gt;exp&lt;span class="_ _7"&gt;&lt;/span&gt;ec&lt;span class="_ _7"&gt;&lt;/span&gt;te&lt;span class="_ _7"&gt;&lt;/span&gt;d de&lt;span class="_ _7"&gt;&lt;/span&gt;cli&lt;span class="_ _7"&gt;&lt;/span&gt;ne in m&lt;span class="_ _7"&gt;&lt;/span&gt;ar&lt;span class="_ _7"&gt;&lt;/span&gt;ket co&lt;span class="_ _7"&gt;&lt;/span&gt;nd&lt;span class="_ _7"&gt;&lt;/span&gt;iti&lt;span class="_ _7"&gt;&lt;/span&gt;on&lt;span class="_ _7"&gt;&lt;/span&gt;s co&lt;span class="_ _7"&gt;&lt;/span&gt;uld r&lt;span class="_ _7"&gt;&lt;/span&gt;e&lt;span class="_ _7"&gt;&lt;/span&gt;sult &lt;/span&gt;&lt;span style="display:inherit;clear:left;"&gt;in an a&lt;span class="_ _7"&gt;&lt;/span&gt;dju&lt;span class="_ _7"&gt;&lt;/span&gt;s&lt;span class="_ _7"&gt;&lt;/span&gt;tm&lt;span class="_ _7"&gt;&lt;/span&gt;ent i&lt;span class="_ _7"&gt;&lt;/span&gt;n fu&lt;span class="_ _7"&gt;&lt;/span&gt;tur&lt;span class="_ _7"&gt;&lt;/span&gt;e exp&lt;span class="_ _7"&gt;&lt;/span&gt;ec&lt;span class="_ _7"&gt;&lt;/span&gt;te&lt;span class="_ _7"&gt;&lt;/span&gt;d s&lt;span class="_ _7"&gt;&lt;/span&gt;ale&lt;span class="_ _7"&gt;&lt;/span&gt;s&lt;span class="_ _7"&gt;&lt;/span&gt;, re&lt;span class="_ _7"&gt;&lt;/span&gt;qui&lt;span class="_ _7"&gt;&lt;/span&gt;re&lt;span class="_ _7"&gt;&lt;/span&gt;me&lt;span class="_ _7"&gt;&lt;/span&gt;nts a&lt;span class="_ _7"&gt;&lt;/span&gt;nd i&lt;span class="_ _7"&gt;&lt;/span&gt;n es&lt;span class="_ _7"&gt;&lt;/span&gt;ti-&lt;/span&gt;&lt;span style="display:inherit;clear:left;"&gt;mat&lt;span class="_ _7"&gt;&lt;/span&gt;ed s&lt;span class="_ _7"&gt;&lt;/span&gt;el&lt;span class="_ _7"&gt;&lt;/span&gt;lin&lt;span class="_ _7"&gt;&lt;/span&gt;g pri&lt;span class="_ _7"&gt;&lt;/span&gt;ce&lt;span class="_ _7"&gt;&lt;/span&gt;s a&lt;span class="_ _7"&gt;&lt;/span&gt;s&lt;span class="_ _7"&gt;&lt;/span&gt;sum&lt;span class="_ _7"&gt;&lt;/span&gt;pti&lt;span class="_ _7"&gt;&lt;/span&gt;on&lt;span class="_ _7"&gt;&lt;/span&gt;s&lt;span class="_ _7"&gt;&lt;/span&gt;, whi&lt;span class="_ _7"&gt;&lt;/span&gt;ch m&lt;span class="_ _7"&gt;&lt;/span&gt;ay re&lt;span class="_ _7"&gt;&lt;/span&gt;qu&lt;span class="_ _7"&gt;&lt;/span&gt;ire a&lt;span class="_ _7"&gt;&lt;/span&gt;n adj&lt;span class="_ _7"&gt;&lt;/span&gt;us&lt;span class="_ _7"&gt;&lt;/span&gt;tm&lt;span class="_ _7"&gt;&lt;/span&gt;en&lt;span class="_ _7"&gt;&lt;/span&gt;t &lt;/span&gt;&lt;span style="display:inherit;clear:left;"&gt;to the c&lt;span class="_ _7"&gt;&lt;/span&gt;ar&lt;span class="_ _7"&gt;&lt;/span&gt;r&lt;span class="_ _7"&gt;&lt;/span&gt;y&lt;span class="_ _7"&gt;&lt;/span&gt;ing a&lt;span class="_ _7"&gt;&lt;/span&gt;mo&lt;span class="_ _7"&gt;&lt;/span&gt;unt o&lt;span class="_ _7"&gt;&lt;/span&gt;f inv&lt;span class="_ _7"&gt;&lt;/span&gt;ento&lt;span class="_ _7"&gt;&lt;/span&gt;ri&lt;span class="_ _7"&gt;&lt;/span&gt;es&lt;span class="_ _7"&gt;&lt;/span&gt;.&lt;/span&gt;&lt;span style="display:inherit;clear:left;position:relative;height:143.958984375px;"&gt;&lt;span class="pp-font-color-override-1" style="position: absolute; display: inline-block; left: 256.375px; top: 0.748047px; width: 30.2637px; white-space: pre; word-spacing: 0px; letter-spacing: 0px; margin-left: 0px; font-size: 9.6px; font-family: ff89; -webkit-text-stroke: 0.144px rgba(0, 0, 0, 0);"&gt;&lt;span style="display: inline-block;"&gt;31 De&lt;/span&gt;&lt;span style="word-spacing: 0px; letter-spacing: 0px; display: inline-block; margin-left: 0px; width: 0.410156px; font-size: 9.6px; font-family: ff89; -webkit-text-stroke: 0.144px rgba(0, 0, 0, 0);"&gt;&lt;/span&gt;&lt;span style="display: inline-block;"&gt;c &lt;/span&gt;&lt;/span&gt;&lt;span class="pp-font-color-override-1" style="position: absolute; display: inline-block; left: 311.734px; top: 0.0039062px; width: 30.2637px; white-space: pre; word-spacing: 0px; letter-spacing: 0px; margin-left: 0px; font-size: 9.6px; font-family: ff88; -webkit-text-stroke: 0.144px rgba(0, 0, 0, 0);"&gt;&lt;span style="display: inline-block;"&gt;31 De&lt;/span&gt;&lt;span style="word-spacing: 0px; letter-spacing: 0px; display: inline-block; margin-left: 0px; width: 0.410156px; font-size: 9.6px; font-family: ff88; -webkit-text-stroke: 0.144px rgba(0, 0, 0, 0);"&gt;&lt;/span&gt;&lt;span style="display: inline-block;"&gt;c &lt;/span&gt;&lt;/span&gt;&lt;span class="pp-font-color-override-1" style="position: absolute; display: inline-block; left: 262.469px; top: 11.248px; width: 19.3535px; white-space: pre; word-spacing: -0.0384px; letter-spacing: 0.0384px; margin-left: 0px; font-size: 9.6px; font-family: ff89; -webkit-text-stroke: 0.144px rgba(0, 0, 0, 0);"&gt;&lt;span style="display: inline-block;"&gt;2025&lt;/span&gt;&lt;/span&gt;&lt;span class="pp-font-color-override-1" style="position: absolute; display: inline-block; left: 318.5px; top: 10.5039px; width: 18.9668px; white-space: pre; word-spacing: 0.0576px; letter-spacing: -0.0576px; margin-left: 0px; font-size: 9.6px; font-family: ff88; -webkit-text-stroke: 0.144px rgba(0, 0, 0, 0);"&gt;&lt;span style="display: inline-block;"&gt;2024&lt;/span&gt;&lt;/span&gt;&lt;span class="pp-font-color-override-1" style="position: absolute; display: inline-block; left: 0px; top: 35.1035px; width: 321.475px; white-space: pre; word-spacing: -0.231px; letter-spacing: 0.2625px; margin-left: 0px; font-size: 10.5px; font-family: ff8a; -webkit-text-stroke: 0.1575px rgba(0, 0, 0, 0);"&gt;&lt;span style="display: inline-block;"&gt;Raw&lt;/span&gt;&lt;span style="word-spacing: -0.231px; letter-spacing: 0.2625px; display: inline-block; margin-left: -0.684px; width: 0px; font-size: 10.5px; font-family: ff8a; -webkit-text-stroke: 0.1575px rgba(0, 0, 0, 0);"&gt;&lt;/span&gt;&lt;span style="display: inline-block;"&gt; materi&lt;/span&gt;&lt;span style="word-spacing: -0.231px; letter-spacing: 0.2625px; display: inline-block; margin-left: -0.684px; width: 0px; font-size: 10.5px; font-family: ff8a; -webkit-text-stroke: 0.1575px rgba(0, 0, 0, 0);"&gt;&lt;/span&gt;&lt;span style="display: inline-block;"&gt;als and c&lt;/span&gt;&lt;span style="word-spacing: -0.231px; letter-spacing: 0.2625px; display: inline-block; margin-left: -0.684px; width: 0px; font-size: 10.5px; font-family: ff8a; -webkit-text-stroke: 0.1575px rgba(0, 0, 0, 0);"&gt;&lt;/span&gt;&lt;span style="display: inline-block;"&gt;onsumables&lt;/span&gt;&lt;span style="word-spacing: -0.231px; letter-spacing: 0.2625px; display: inline-block; margin-left: 0px; width: 119.736px; font-size: 10.5px; font-family: ff8a; -webkit-text-stroke: 0.1575px rgba(0, 0, 0, 0);"&gt;&lt;span style="display: inline-block;"&gt; &lt;/span&gt;&lt;/span&gt;&lt;span class="pp-font-color-override-1" style="word-spacing: -0.126px; letter-spacing: 0.126px; display: inline-block; margin-left: 0px; font-size: 10.5px; font-family: ff8a; -webkit-text-stroke: 0.1575px rgba(0, 0, 0, 0);"&gt;&lt;span style="display: inline-block;"&gt;71&lt;/span&gt;&lt;span style="word-spacing: -0.126px; letter-spacing: 0.126px; display: inline-block; margin-left: 0px; width: 34.4707px;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inline-block;"&gt;36&lt;/span&gt;&lt;span style="word-spacing: -0.147px; letter-spacing: 0.147px; display: inline-block; margin-left: 0px; width: 0.410156px; font-size: 10.5px; font-family: ff8a; -webkit-text-stroke: 0.1575px rgba(0, 0, 0, 0);"&gt;&lt;/span&gt;&lt;span style="display: inline-block;"&gt;4&lt;/span&gt;&lt;/span&gt;&lt;/span&gt;&lt;/span&gt;&lt;span class="pp-font-color-override-1" style="position: absolute; display: inline-block; left: 0px; top: 51.0723px; width: 332.273px; white-space: pre; word-spacing: 0px; letter-spacing: 0.0315px; margin-left: 0px; font-size: 10.5px; font-family: ff8a; -webkit-text-stroke: 0.1575px rgba(0, 0, 0, 0);"&gt;&lt;span style="display: inline-block;"&gt;Work i&lt;/span&gt;&lt;span style="word-spacing: 0px; letter-spacing: 0.0315px; display: inline-block; margin-left: 0px; width: 0.410156px; font-size: 10.5px; font-family: ff8a; -webkit-text-stroke: 0.1575px rgba(0, 0, 0, 0);"&gt;&lt;/span&gt;&lt;span style="display: inline-block;"&gt;n prog&lt;/span&gt;&lt;span style="word-spacing: 0px; letter-spacing: 0.0315px; display: inline-block; margin-left: 0px; width: 0.410156px; font-size: 10.5px; font-family: ff8a; -webkit-text-stroke: 0.1575px rgba(0, 0, 0, 0);"&gt;&lt;/span&gt;&lt;span style="display: inline-block;"&gt;re&lt;/span&gt;&lt;span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179.197px; font-size: 10.5px; font-family: ff8a; -webkit-text-stroke: 0.1575px rgba(0, 0, 0, 0);"&gt;&lt;span style="display: inline-block;"&gt; &lt;/span&gt;&lt;/span&gt;&lt;span class="pp-font-color-override-1" style="word-spacing: 0.3885px; letter-spacing: -0.3885px; display: inline-block; margin-left: 0px; font-size: 10.5px; font-family: ff8a; -webkit-text-stroke: 0.1575px rgba(0, 0, 0, 0);"&gt;&lt;span style="display: inline-block;"&gt;11&lt;/span&gt;&lt;span style="word-spacing: 0.3885px; letter-spacing: -0.3885px; display: inline-block; margin-left: 0px; width: 0.410156px; font-size: 10.5px; font-family: ff8a; -webkit-text-stroke: 0.1575px rgba(0, 0, 0, 0);"&gt;&lt;/span&gt;&lt;span style="display: inline-block;"&gt;,1&lt;/span&gt;&lt;span style="word-spacing: 0.3885px; letter-spacing: -0.3885px; display: inline-block; margin-left: 0px; width: 0.410156px; font-size: 10.5px; font-family: ff8a; -webkit-text-stroke: 0.1575px rgba(0, 0, 0, 0);"&gt;&lt;/span&gt;&lt;span style="display: inline-block;"&gt;6&lt;/span&gt;&lt;span style="word-spacing: 0.3885px; letter-spacing: -0.3885px; display: inline-block; margin-left: 0px; width: 0.410156px; font-size: 10.5px; font-family: ff8a; -webkit-text-stroke: 0.1575px rgba(0, 0, 0, 0);"&gt;&lt;/span&gt;&lt;span style="display: inline-block;"&gt;1&lt;/span&gt;&lt;span style="word-spacing: 0.3885px; letter-spacing: -0.3885px; display: inline-block; margin-left: 0px; width: 22.9922px; font-size: 10.5px; font-family: ff8a;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ff8a; -webkit-text-stroke: 0.1575px rgba(0, 0, 0, 0);"&gt;&lt;span style="display: inline-block;"&gt;13&lt;/span&gt;&lt;span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inline-block;"&gt;6&lt;/span&gt;&lt;span style="word-spacing: 0.273px; letter-spacing: -0.273px; display: inline-block; margin-left: 0px; width: 0.410156px; font-size: 10.5px; font-family: ff8a; -webkit-text-stroke: 0.1575px rgba(0, 0, 0, 0);"&gt;&lt;/span&gt;&lt;span style="display: inline-block;"&gt;8&lt;/span&gt;&lt;/span&gt;&lt;/span&gt;&lt;/span&gt;&lt;span class="pp-font-color-override-1" style="position: absolute; display: inline-block; left: 0px; top: 67.7598px; width: 306.762px; white-space: pre; word-spacing: 0px; letter-spacing: 0.0315px; margin-left: 0px; font-size: 10.5px; font-family: ff8a; -webkit-text-stroke: 0.1575px rgba(0, 0, 0, 0);"&gt;&lt;span style="display: inline-block;"&gt;Cur&lt;/span&gt;&lt;span style="word-spacing: 0px; letter-spacing: 0.0315px; display: inline-block; margin-left: 0px; width: 0.410156px; font-size: 10.5px; font-family: ff8a; -webkit-text-stroke: 0.1575px rgba(0, 0, 0, 0);"&gt;&lt;/span&gt;&lt;span style="display: inline-block;"&gt;rent a&lt;/span&gt;&lt;span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inline-block;"&gt;ets h&lt;/span&gt;&lt;span style="word-spacing: 0px; letter-spacing: 0.0315px; display: inline-block; margin-left: 0px; width: 0.410156px; font-size: 10.5px; font-family: ff8a; -webkit-text-stroke: 0.1575px rgba(0, 0, 0, 0);"&gt;&lt;/span&gt;&lt;span style="display: inline-block;"&gt;el&lt;/span&gt;&lt;span style="word-spacing: 0px; letter-spacing: 0.0315px; display: inline-block; margin-left: 0px; width: 0.410156px; font-size: 10.5px; font-family: ff8a; -webkit-text-stroke: 0.1575px rgba(0, 0, 0, 0);"&gt;&lt;/span&gt;&lt;span style="display: inline-block;"&gt;d und&lt;/span&gt;&lt;span style="word-spacing: 0px; letter-spacing: 0.0315px; display: inline-block; margin-left: 0px; width: 0.410156px; font-size: 10.5px; font-family: ff8a; -webkit-text-stroke: 0.1575px rgba(0, 0, 0, 0);"&gt;&lt;/span&gt;&lt;span style="display: inline-block;"&gt;er o&lt;/span&gt;&lt;span style="word-spacing: 0px; letter-spacing: 0.0315px; display: inline-block; margin-left: 0px; width: 0.410156px; font-size: 10.5px; font-family: ff8a; -webkit-text-stroke: 0.1575px rgba(0, 0, 0, 0);"&gt;&lt;/span&gt;&lt;span style="display: inline-block;"&gt;pe&lt;/span&gt;&lt;span style="word-spacing: 0px; letter-spacing: 0.0315px; display: inline-block; margin-left: 0px; width: 0.410156px; font-size: 10.5px; font-family: ff8a; -webkit-text-stroke: 0.1575px rgba(0, 0, 0, 0);"&gt;&lt;/span&gt;&lt;span style="display: inline-block;"&gt;rat&lt;/span&gt;&lt;span style="word-spacing: 0px; letter-spacing: 0.0315px; display: inline-block; margin-left: 0px; width: 0.410156px; font-size: 10.5px; font-family: ff8a; -webkit-text-stroke: 0.1575px rgba(0, 0, 0, 0);"&gt;&lt;/span&gt;&lt;span style="display: inline-block;"&gt;ing le&lt;/span&gt;&lt;span style="word-spacing: 0px; letter-spacing: 0.0315px; display: inline-block; margin-left: 0px; width: 0.410156px; font-size: 10.5px; font-family: ff8a; -webkit-text-stroke: 0.1575px rgba(0, 0, 0, 0);"&gt;&lt;/span&gt;&lt;span style="display: inline-block;"&gt;as&lt;/span&gt;&lt;span style="word-spacing: 0px; letter-spacing: 0.0315px; display: inline-block; margin-left: 0px; width: 0.410156px; font-size: 10.5px; font-family: ff8a; -webkit-text-stroke: 0.1575px rgba(0, 0, 0, 0);"&gt;&lt;/span&gt;&lt;span style="display: inline-block;"&gt;e&lt;/span&gt;&lt;span style="word-spacing: 0px; letter-spacing: 0.0315px; display: inline-block; margin-left: 0px; width: 48.867px; font-size: 10.5px; font-family: ff8a; -webkit-text-stroke: 0.1575px rgba(0, 0, 0, 0);"&gt;&lt;span style="display: inline-block;"&gt; &lt;/span&gt;&lt;/span&gt;&lt;span class="pp-font-color-override-1" style="word-spacing: 0px; letter-spacing: 0px; display: inline-block; margin-left: 0px; font-size: 10.5px; font-family: ff8a; -webkit-text-stroke: 0.1575px rgba(0, 0, 0, 0);"&gt;&lt;span style="display: inline-block;"&gt;10,685&lt;/span&gt;&lt;span style="word-spacing: 0px; letter-spacing: 0px; display: inline-block; margin-left: 0px; width: 20.3086px; font-size: 10.5px; font-family: ff8a; -webkit-text-stroke: 0.1575px rgba(0, 0, 0, 0);"&gt;&lt;span style="display: inline-block;"&gt; &lt;/span&gt;&lt;/span&gt;&lt;span class="pp-font-color-override-1" style="word-spacing: -0.21px; letter-spacing: 0.21px; display: inline-block; margin-left: 0px; font-size: 10.5px; font-family: ff8a; -webkit-text-stroke: 0.1575px rgba(0, 0, 0, 0);"&gt;&lt;span style="display: inline-block;"&gt;10,964&lt;/span&gt;&lt;/span&gt;&lt;/span&gt;&lt;/span&gt;&lt;span class="pp-font-color-override-1" style="position: absolute; display: inline-block; left: 0px; top: 83.7129px; width: 313.248px; white-space: pre; word-spacing: 0px; letter-spacing: 0.0315px; margin-left: 0px; font-size: 10.5px; font-family: ff8a; -webkit-text-stroke: 0.1575px rgba(0, 0, 0, 0);"&gt;&lt;span style="display: inline-block;"&gt;Fin&lt;/span&gt;&lt;span style="word-spacing: 0px; letter-spacing: 0.0315px; display: inline-block; margin-left: 0px; width: 0.410156px; font-size: 10.5px; font-family: ff8a; -webkit-text-stroke: 0.1575px rgba(0, 0, 0, 0);"&gt;&lt;/span&gt;&lt;span style="display: inline-block;"&gt;ish&lt;/span&gt;&lt;span style="word-spacing: 0px; letter-spacing: 0.0315px; display: inline-block; margin-left: 0px; width: 0.410156px; font-size: 10.5px; font-family: ff8a; -webkit-text-stroke: 0.1575px rgba(0, 0, 0, 0);"&gt;&lt;/span&gt;&lt;span style="display: inline-block;"&gt;e&lt;/span&gt;&lt;span style="word-spacing: 0px; letter-spacing: 0.0315px; display: inline-block; margin-left: 0px; width: 0.410156px; font-size: 10.5px; font-family: ff8a; -webkit-text-stroke: 0.1575px rgba(0, 0, 0, 0);"&gt;&lt;/span&gt;&lt;span style="display: inline-block;"&gt;d goo&lt;/span&gt;&lt;span style="word-spacing: 0px; letter-spacing: 0.0315px; display: inline-block; margin-left: 0px; width: 0.410156px; font-size: 10.5px; font-family: ff8a; -webkit-text-stroke: 0.1575px rgba(0, 0, 0, 0);"&gt;&lt;/span&gt;&lt;span style="display: inline-block;"&gt;d&lt;/span&gt;&lt;span style="word-spacing: 0px; letter-spacing: 0.0315px; display: inline-block; margin-left: 0px; width: 0.410156px; font-size: 10.5px; font-family: ff8a; -webkit-text-stroke: 0.1575px rgba(0, 0, 0, 0);"&gt;&lt;/span&gt;&lt;span style="display: inline-block;"&gt;s and g&lt;/span&gt;&lt;span style="word-spacing: 0px; letter-spacing: 0.0315px; display: inline-block; margin-left: 0px; width: 0.410156px; font-size: 10.5px; font-family: ff8a; -webkit-text-stroke: 0.1575px rgba(0, 0, 0, 0);"&gt;&lt;/span&gt;&lt;span style="display: inline-block;"&gt;oo&lt;/span&gt;&lt;span style="word-spacing: 0px; letter-spacing: 0.0315px; display: inline-block; margin-left: 0px; width: 0.410156px; font-size: 10.5px; font-family: ff8a; -webkit-text-stroke: 0.1575px rgba(0, 0, 0, 0);"&gt;&lt;/span&gt;&lt;span style="display: inline-block;"&gt;ds f&lt;/span&gt;&lt;span style="word-spacing: 0px; letter-spacing: 0.0315px; display: inline-block; margin-left: 0px; width: 0.410156px; font-size: 10.5px; font-family: ff8a; -webkit-text-stroke: 0.1575px rgba(0, 0, 0, 0);"&gt;&lt;/span&gt;&lt;span style="display: inline-block;"&gt;or re&lt;/span&gt;&lt;span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inline-block;"&gt;ale&lt;/span&gt;&lt;span style="word-spacing: 0px; letter-spacing: 0.0315px; display: inline-block; margin-left: 0px; width: 78.8906px; font-size: 10.5px; font-family: ff8a; -webkit-text-stroke: 0.1575px rgba(0, 0, 0, 0);"&gt;&lt;span style="display: inline-block;"&gt; &lt;/span&gt;&lt;/span&gt;&lt;span class="pp-font-color-override-1" style="word-spacing: -0.0105px; letter-spacing: 0.0105px; display: inline-block; margin-left: 0px; font-size: 10.5px; font-family: ff8a; -webkit-text-stroke: 0.1575px rgba(0, 0, 0, 0);"&gt;&lt;span style="display: inline-block;"&gt;31,&lt;/span&gt;&lt;span style="word-spacing: -0.0105px; letter-spacing: 0.0105px; display: inline-block; margin-left: 0px; width: 0.410156px; font-size: 10.5px; font-family: ff8a; -webkit-text-stroke: 0.1575px rgba(0, 0, 0, 0);"&gt;&lt;/span&gt;&lt;span style="display: inline-block;"&gt;857&lt;/span&gt;&lt;span style="word-spacing: -0.0105px; letter-spacing: 0.0105px; display: inline-block; margin-left: 0px; width: 18.6211px; font-size: 10.5px; font-family: ff8a; -webkit-text-stroke: 0.1575px rgba(0, 0, 0, 0);"&gt;&lt;span style="display: inline-block;"&gt; &lt;/span&gt;&lt;/span&gt;&lt;span class="pp-font-color-override-1" style="word-spacing: -0.084px; letter-spacing: 0.084px; display: inline-block; margin-left: 0px; font-size: 10.5px; font-family: ff8a; -webkit-text-stroke: 0.1575px rgba(0, 0, 0, 0);"&gt;&lt;span style="display: inline-block;"&gt;35,&lt;/span&gt;&lt;span style="word-spacing: -0.084px; letter-spacing: 0.084px; display: inline-block; margin-left: 0px; width: 0.410156px; font-size: 10.5px; font-family: ff8a; -webkit-text-stroke: 0.1575px rgba(0, 0, 0, 0);"&gt;&lt;/span&gt;&lt;span style="display: inline-block;"&gt;398&lt;/span&gt;&lt;/span&gt;&lt;/span&gt;&lt;/span&gt;&lt;span class="pp-font-color-override-1" style="position: absolute; display: inline-block; left: 0px; top: 99.6816px; width: 328.312px; white-space: pre; word-spacing: -0.1365px; letter-spacing: 0.168px; margin-left: 0px; font-size: 10.5px; font-family: ff8a; -webkit-text-stroke: 0.1575px rgba(0, 0, 0, 0);"&gt;&lt;span style="display: inline-block;"&gt;Emission&lt;/span&gt;&lt;span style="word-spacing: -0.1365px; letter-spacing: 0.168px; display: inline-block; margin-left: 0px; width: 0.410156px; font-size: 10.5px; font-family: ff8a; -webkit-text-stroke: 0.1575px rgba(0, 0, 0, 0);"&gt;&lt;/span&gt;&lt;span style="display: inline-block;"&gt;s credits&lt;/span&gt;&lt;span style="word-spacing: -0.1365px; letter-spacing: 0.168px; display: inline-block; margin-left: 0px; width: 172.582px; font-size: 10.5px; font-family: ff8a; -webkit-text-stroke: 0.1575px rgba(0, 0, 0, 0);"&gt;&lt;span style="display: inline-block;"&gt; &lt;/span&gt;&lt;/span&gt;&lt;span class="pp-font-color-override-1" style="word-spacing: 0.063px; letter-spacing: -0.063px; display: inline-block; margin-left: 0px; font-size: 10.5px; font-family: ff8a; -webkit-text-stroke: 0.1575px rgba(0, 0, 0, 0);"&gt;&lt;span style="display: inline-block;"&gt;5,&lt;/span&gt;&lt;span style="word-spacing: 0.063px; letter-spacing: -0.063px; display: inline-block; margin-left: 0px; width: 0.410156px; font-size: 10.5px; font-family: ff8a; -webkit-text-stroke: 0.1575px rgba(0, 0, 0, 0);"&gt;&lt;/span&gt;&lt;span style="display: inline-block;"&gt;25&lt;/span&gt;&lt;span style="word-spacing: 0.063px; letter-spacing: -0.063px; display: inline-block; margin-left: 0px; width: 0.410156px; font-size: 10.5px; font-family: ff8a; -webkit-text-stroke: 0.1575px rgba(0, 0, 0, 0);"&gt;&lt;/span&gt;&lt;span style="display: inline-block;"&gt;0&lt;/span&gt;&lt;span style="word-spacing: 0.06</t>
  </si>
  <si>
    <t>f1__s8__6__143</t>
  </si>
  <si>
    <t>ifrs-full:DescriptionOfAccountingPolicyForMeasuringInventories</t>
  </si>
  <si>
    <t>&lt;span style="display:inherit;clear:left;"&gt;ACCOUNTING&lt;span class="_ _2"&gt;&lt;/span&gt; POLICIES&lt;/span&gt;&lt;span style="display:inherit;clear:left;"&gt;Invent&lt;span class="_ _2"&gt;&lt;/span&gt;ories consist of raw mat&lt;span class="_ _2"&gt;&lt;/span&gt;erial and consumables, work i&lt;span class="_ _2"&gt;&lt;/span&gt;n pro&lt;span class="ls3 ws3"&gt;-&lt;/span&gt;&lt;/span&gt;&lt;span style="display:inherit;clear:left;"&gt;gr&lt;span class="_ _7"&gt;&lt;/span&gt;es&lt;span class="_ _7"&gt;&lt;/span&gt;s&lt;span class="_ _7"&gt;&lt;/span&gt;,  f&lt;span class="_ _7"&gt;&lt;/span&gt;ini&lt;span class="_ _7"&gt;&lt;/span&gt;s&lt;span class="_ _7"&gt;&lt;/span&gt;he&lt;span class="_ _7"&gt;&lt;/span&gt;d go&lt;span class="_ _7"&gt;&lt;/span&gt;od&lt;span class="_ _7"&gt;&lt;/span&gt;s an&lt;span class="_ _7"&gt;&lt;/span&gt;d goo&lt;span class="_ _7"&gt;&lt;/span&gt;d&lt;span class="_ _7"&gt;&lt;/span&gt;s for r&lt;span class="_ _7"&gt;&lt;/span&gt;es&lt;span class="_ _7"&gt;&lt;/span&gt;a&lt;span class="_ _7"&gt;&lt;/span&gt;le, a&lt;span class="_ _7"&gt;&lt;/span&gt;nd e&lt;span class="_ _7"&gt;&lt;/span&gt;mi&lt;span class="_ _7"&gt;&lt;/span&gt;s&lt;span class="_ _7"&gt;&lt;/span&gt;sio&lt;span class="_ _7"&gt;&lt;/span&gt;n cr&lt;span class="_ _7"&gt;&lt;/span&gt;ed&lt;span class="_ _7"&gt;&lt;/span&gt;it&lt;span class="_ _7"&gt;&lt;/span&gt;s.  &lt;/span&gt;&lt;span style="display:inherit;clear:left;"&gt;As&lt;span class="_ _7"&gt;&lt;/span&gt;s&lt;span class="_ _7"&gt;&lt;/span&gt;et&lt;span class="_ _7"&gt;&lt;/span&gt;s he&lt;span class="_ _7"&gt;&lt;/span&gt;ld un&lt;span class="_ _7"&gt;&lt;/span&gt;de&lt;span class="_ _7"&gt;&lt;/span&gt;r op&lt;span class="_ _7"&gt;&lt;/span&gt;er&lt;span class="_ _7"&gt;&lt;/span&gt;ati&lt;span class="_ _7"&gt;&lt;/span&gt;ng le&lt;span class="_ _7"&gt;&lt;/span&gt;as&lt;span class="_ _7"&gt;&lt;/span&gt;e, w&lt;span class="_ _7"&gt;&lt;/span&gt;it&lt;span class="_ _7"&gt;&lt;/span&gt;h a mat&lt;span class="_ _7"&gt;&lt;/span&gt;ur&lt;span class="_ _7"&gt;&lt;/span&gt;it&lt;span class="_ _7"&gt;&lt;/span&gt;y le&lt;span class="_ _7"&gt;&lt;/span&gt;s&lt;span class="_ _7"&gt;&lt;/span&gt;s or e&lt;span class="_ _7"&gt;&lt;/span&gt;qu&lt;span class="_ _7"&gt;&lt;/span&gt;al to &lt;/span&gt;&lt;span style="display:inherit;clear:left;"&gt;12 mont&lt;span class="_ _7"&gt;&lt;/span&gt;hs&lt;span class="_ _7"&gt;&lt;/span&gt;, ar&lt;span class="_ _7"&gt;&lt;/span&gt;e al&lt;span class="_ _7"&gt;&lt;/span&gt;s&lt;span class="_ _7"&gt;&lt;/span&gt;o re&lt;span class="_ _7"&gt;&lt;/span&gt;cog&lt;span class="_ _7"&gt;&lt;/span&gt;ni&lt;span class="_ _7"&gt;&lt;/span&gt;se&lt;span class="_ _7"&gt;&lt;/span&gt;d as i&lt;span class="_ _7"&gt;&lt;/span&gt;nve&lt;span class="_ _7"&gt;&lt;/span&gt;ntor&lt;span class="_ _9"&gt;&lt;/span&gt;y. Invento&lt;span class="_ _7"&gt;&lt;/span&gt;ri&lt;span class="_ _7"&gt;&lt;/span&gt;es a&lt;span class="_ _7"&gt;&lt;/span&gt;re m&lt;span class="_ _7"&gt;&lt;/span&gt;ea&lt;span class="_ _7"&gt;&lt;/span&gt;s-&lt;/span&gt;&lt;span style="display:inherit;clear:left;"&gt;ure&lt;span class="_ _7"&gt;&lt;/span&gt;d at th&lt;span class="_ _7"&gt;&lt;/span&gt;e low&lt;span class="_ _7"&gt;&lt;/span&gt;er o&lt;span class="_ _7"&gt;&lt;/span&gt;f co&lt;span class="_ _7"&gt;&lt;/span&gt;st a&lt;span class="_ _7"&gt;&lt;/span&gt;nd n&lt;span class="_ _7"&gt;&lt;/span&gt;et re&lt;span class="_ _7"&gt;&lt;/span&gt;al&lt;span class="_ _7"&gt;&lt;/span&gt;is&lt;span class="_ _7"&gt;&lt;/span&gt;ab&lt;span class="_ _7"&gt;&lt;/span&gt;le v&lt;span class="_ _7"&gt;&lt;/span&gt;alue&lt;span class="_ _7"&gt;&lt;/span&gt;. Co&lt;span class="_ _7"&gt;&lt;/span&gt;s&lt;span class="_ _7"&gt;&lt;/span&gt;t of i&lt;span class="_ _7"&gt;&lt;/span&gt;nven&lt;span class="_ _7"&gt;&lt;/span&gt;tor&lt;span class="_ _7"&gt;&lt;/span&gt;ie&lt;span class="_ _7"&gt;&lt;/span&gt;s &lt;/span&gt;&lt;span style="display:inherit;clear:left;"&gt;com&lt;span class="_ _7"&gt;&lt;/span&gt;pr&lt;span class="_ _7"&gt;&lt;/span&gt;is&lt;span class="_ _7"&gt;&lt;/span&gt;e of a&lt;span class="_ _7"&gt;&lt;/span&gt;ll c&lt;span class="_ _7"&gt;&lt;/span&gt;os&lt;span class="_ _7"&gt;&lt;/span&gt;t&lt;span class="_ _7"&gt;&lt;/span&gt;s of p&lt;span class="_ _7"&gt;&lt;/span&gt;urc&lt;span class="_ _7"&gt;&lt;/span&gt;ha&lt;span class="_ _7"&gt;&lt;/span&gt;se&lt;span class="_ _7"&gt;&lt;/span&gt;, pr&lt;span class="_ _7"&gt;&lt;/span&gt;od&lt;span class="_ _7"&gt;&lt;/span&gt;uc&lt;span class="_ _7"&gt;&lt;/span&gt;tio&lt;span class="_ _7"&gt;&lt;/span&gt;n ch&lt;span class="_ _7"&gt;&lt;/span&gt;arg&lt;span class="_ _7"&gt;&lt;/span&gt;es a&lt;span class="_ _7"&gt;&lt;/span&gt;nd o&lt;span class="_ _7"&gt;&lt;/span&gt;the&lt;span class="_ _7"&gt;&lt;/span&gt;r &lt;/span&gt;&lt;span style="display:inherit;clear:left;"&gt;exp&lt;span class="_ _7"&gt;&lt;/span&gt;en&lt;span class="_ _7"&gt;&lt;/span&gt;di&lt;span class="_ _7"&gt;&lt;/span&gt;tur&lt;span class="_ _7"&gt;&lt;/span&gt;es i&lt;span class="_ _7"&gt;&lt;/span&gt;ncu&lt;span class="_ _7"&gt;&lt;/span&gt;rr&lt;span class="_ _7"&gt;&lt;/span&gt;ed i&lt;span class="_ _7"&gt;&lt;/span&gt;n br&lt;span class="_ _7"&gt;&lt;/span&gt;ing&lt;span class="_ _7"&gt;&lt;/span&gt;ing t&lt;span class="_ _7"&gt;&lt;/span&gt;he i&lt;span class="_ _7"&gt;&lt;/span&gt;nven&lt;span class="_ _7"&gt;&lt;/span&gt;tor&lt;span class="_ _7"&gt;&lt;/span&gt;ie&lt;span class="_ _7"&gt;&lt;/span&gt;s to th&lt;span class="_ _7"&gt;&lt;/span&gt;eir p&lt;span class="_ _7"&gt;&lt;/span&gt;re&lt;span class="_ _7"&gt;&lt;/span&gt;s&lt;span class="_ _7"&gt;&lt;/span&gt;ent &lt;/span&gt;&lt;span style="display:inherit;clear:left;"&gt;location and&lt;span class="_ _2"&gt;&lt;/span&gt; condition. The initial&lt;span class="_ _2"&gt;&lt;/span&gt; value of&lt;span class="_ _2"&gt;&lt;/span&gt; emis&lt;span class="_ _7"&gt;&lt;/span&gt;sion credit in&lt;span class="_ _2"&gt;&lt;/span&gt;vento&lt;span class="ls3 ws3"&gt;-&lt;/span&gt;&lt;/span&gt;&lt;span style="display:inherit;clear:left;"&gt;ri&lt;span class="_ _7"&gt;&lt;/span&gt;es i&lt;span class="_ _7"&gt;&lt;/span&gt;s ba&lt;span class="_ _7"&gt;&lt;/span&gt;se&lt;span class="_ _7"&gt;&lt;/span&gt;d on t&lt;span class="_ _7"&gt;&lt;/span&gt;he f&lt;span class="_ _7"&gt;&lt;/span&gt;air v&lt;span class="_ _7"&gt;&lt;/span&gt;alu&lt;span class="_ _7"&gt;&lt;/span&gt;e on t&lt;span class="_ _7"&gt;&lt;/span&gt;he da&lt;span class="_ _7"&gt;&lt;/span&gt;te th&lt;span class="_ _7"&gt;&lt;/span&gt;ey ar&lt;span class="_ _7"&gt;&lt;/span&gt;e ea&lt;span class="_ _7"&gt;&lt;/span&gt;rn&lt;span class="_ _7"&gt;&lt;/span&gt;ed&lt;span class="_ _7"&gt;&lt;/span&gt;. &lt;/span&gt;&lt;span style="display:inherit;clear:left;"&gt;Th&lt;span class="_ _7"&gt;&lt;/span&gt;e co&lt;span class="_ _7"&gt;&lt;/span&gt;st o&lt;span class="_ _7"&gt;&lt;/span&gt;f inve&lt;span class="_ _7"&gt;&lt;/span&gt;nto&lt;span class="_ _7"&gt;&lt;/span&gt;ri&lt;span class="_ _7"&gt;&lt;/span&gt;es o&lt;span class="_ _7"&gt;&lt;/span&gt;f si&lt;span class="_ _7"&gt;&lt;/span&gt;mil&lt;span class="_ _7"&gt;&lt;/span&gt;ar a&lt;span class="_ _7"&gt;&lt;/span&gt;s&lt;span class="_ _7"&gt;&lt;/span&gt;s&lt;span class="_ _7"&gt;&lt;/span&gt;et&lt;span class="_ _7"&gt;&lt;/span&gt;s is e&lt;span class="_ _7"&gt;&lt;/span&gt;s&lt;span class="_ _7"&gt;&lt;/span&gt;ta&lt;span class="_ _7"&gt;&lt;/span&gt;bli&lt;span class="_ _7"&gt;&lt;/span&gt;sh&lt;span class="_ _7"&gt;&lt;/span&gt;ed u&lt;span class="_ _7"&gt;&lt;/span&gt;si&lt;span class="_ _7"&gt;&lt;/span&gt;ng th&lt;span class="_ _7"&gt;&lt;/span&gt;e &lt;/span&gt;&lt;span style="display:inherit;clear:left;"&gt;fi&lt;span class="_ _7"&gt;&lt;/span&gt;rs&lt;span class="_ _7"&gt;&lt;/span&gt;t&lt;span class="_ _2"&gt;&lt;/span&gt;-in&lt;span class="_ _7"&gt;&lt;/span&gt;, f&lt;span class="_ _7"&gt;&lt;/span&gt;ir&lt;span class="_ _7"&gt;&lt;/span&gt;st-out me&lt;span class="_ _7"&gt;&lt;/span&gt;th&lt;span class="_ _7"&gt;&lt;/span&gt;od (FI&lt;span class="_ _7"&gt;&lt;/span&gt;FO). Net re&lt;span class="_ _7"&gt;&lt;/span&gt;ali&lt;span class="_ _7"&gt;&lt;/span&gt;s&lt;span class="_ _7"&gt;&lt;/span&gt;ab&lt;span class="_ _7"&gt;&lt;/span&gt;le va&lt;span class="_ _7"&gt;&lt;/span&gt;lue i&lt;span class="_ _7"&gt;&lt;/span&gt;s c&lt;span class="_ _7"&gt;&lt;/span&gt;alcu&lt;span class="_ _7"&gt;&lt;/span&gt;la&lt;span class="_ _7"&gt;&lt;/span&gt;ted a&lt;span class="_ _7"&gt;&lt;/span&gt;s &lt;/span&gt;&lt;span style="display:inherit;clear:left;"&gt;the s&lt;span class="_ _7"&gt;&lt;/span&gt;e&lt;span class="_ _7"&gt;&lt;/span&gt;lli&lt;span class="_ _7"&gt;&lt;/span&gt;ng pr&lt;span class="_ _7"&gt;&lt;/span&gt;ic&lt;span class="_ _7"&gt;&lt;/span&gt;e in th&lt;span class="_ _7"&gt;&lt;/span&gt;e or&lt;span class="_ _7"&gt;&lt;/span&gt;din&lt;span class="_ _7"&gt;&lt;/span&gt;ar&lt;span class="_ _7"&gt;&lt;/span&gt;y c&lt;span class="_ _7"&gt;&lt;/span&gt;ou&lt;span class="_ _7"&gt;&lt;/span&gt;rs&lt;span class="_ _7"&gt;&lt;/span&gt;e o&lt;span class="_ _7"&gt;&lt;/span&gt;f bu&lt;span class="_ _7"&gt;&lt;/span&gt;si&lt;span class="_ _7"&gt;&lt;/span&gt;ne&lt;span class="_ _7"&gt;&lt;/span&gt;s&lt;span class="_ _7"&gt;&lt;/span&gt;s&lt;span class="_ _7"&gt;&lt;/span&gt;, les&lt;span class="_ _7"&gt;&lt;/span&gt;s e&lt;span class="_ _7"&gt;&lt;/span&gt;s&lt;span class="_ _7"&gt;&lt;/span&gt;tim&lt;span class="_ _7"&gt;&lt;/span&gt;ate&lt;span class="_ _7"&gt;&lt;/span&gt;d &lt;/span&gt;&lt;span style="display:inherit;clear:left;"&gt;co&lt;span class="_ _7"&gt;&lt;/span&gt;st&lt;span class="_ _7"&gt;&lt;/span&gt;s o&lt;span class="_ _7"&gt;&lt;/span&gt;f com&lt;span class="_ _7"&gt;&lt;/span&gt;pl&lt;span class="_ _7"&gt;&lt;/span&gt;eti&lt;span class="_ _7"&gt;&lt;/span&gt;on an&lt;span class="_ _7"&gt;&lt;/span&gt;d s&lt;span class="_ _7"&gt;&lt;/span&gt;ell&lt;span class="_ _7"&gt;&lt;/span&gt;ing c&lt;span class="_ _7"&gt;&lt;/span&gt;os&lt;span class="_ _7"&gt;&lt;/span&gt;t&lt;span class="_ _7"&gt;&lt;/span&gt;s&lt;span class="_ _7"&gt;&lt;/span&gt;. For g&lt;span class="_ _7"&gt;&lt;/span&gt;ro&lt;span class="_ _7"&gt;&lt;/span&gt;up&lt;span class="_ _7"&gt;&lt;/span&gt;s of s&lt;span class="_ _7"&gt;&lt;/span&gt;imi&lt;span class="_ _7"&gt;&lt;/span&gt;la&lt;span class="_ _7"&gt;&lt;/span&gt;r pr&lt;span class="_ _7"&gt;&lt;/span&gt;od-&lt;/span&gt;&lt;span style="display:inherit;clear:left;"&gt;uc&lt;span class="_ _7"&gt;&lt;/span&gt;ts&lt;span class="_ _7"&gt;&lt;/span&gt;, a Gr&lt;span class="_ _7"&gt;&lt;/span&gt;ou&lt;span class="_ _7"&gt;&lt;/span&gt;p val&lt;span class="_ _7"&gt;&lt;/span&gt;uat&lt;span class="_ _7"&gt;&lt;/span&gt;ion m&lt;span class="_ _7"&gt;&lt;/span&gt;et&lt;span class="_ _7"&gt;&lt;/span&gt;ho&lt;span class="_ _7"&gt;&lt;/span&gt;d is a&lt;span class="_ _7"&gt;&lt;/span&gt;pp&lt;span class="_ _7"&gt;&lt;/span&gt;lie&lt;span class="_ _7"&gt;&lt;/span&gt;d. P&lt;span class="_ _7"&gt;&lt;/span&gt;hys&lt;span class="_ _7"&gt;&lt;/span&gt;ic&lt;span class="_ _7"&gt;&lt;/span&gt;al s&lt;span class="_ _7"&gt;&lt;/span&gt;to&lt;span class="_ _7"&gt;&lt;/span&gt;ck co&lt;span class="_ _7"&gt;&lt;/span&gt;un&lt;span class="_ _7"&gt;&lt;/span&gt;ts a&lt;span class="_ _7"&gt;&lt;/span&gt;re &lt;/span&gt;&lt;span style="display:inherit;clear:left;"&gt;carried out annual&lt;span class="_ _2"&gt;&lt;/span&gt;ly or more&lt;span class="_ _2"&gt;&lt;/span&gt; of&lt;span class="_ _7"&gt;&lt;/span&gt;ten where a&lt;span class="_ _2"&gt;&lt;/span&gt;ppropriate in order&lt;span class="_ _2"&gt;&lt;/span&gt; to &lt;/span&gt;&lt;span style="display:inherit;clear:left;"&gt;verify the records.&lt;/span&gt;</t>
  </si>
  <si>
    <t>f1__s8__6__146</t>
  </si>
  <si>
    <t>ifrs-full:DisclosureOfAllowanceForCreditLossesExplanatory</t>
  </si>
  <si>
    <t>&lt;span style="display:inherit;clear:left;"&gt;NOT&lt;span class="_ _7"&gt;&lt;/span&gt;E 18&lt;/span&gt;&lt;span style="display:inherit;clear:left;"&gt;ACCO&lt;span class="_ _7"&gt;&lt;/span&gt;U&lt;span class="_ _7"&gt;&lt;/span&gt;NTS REC&lt;span class="_ _7"&gt;&lt;/span&gt;EIVABL&lt;span class="_ _7"&gt;&lt;/span&gt;E AND OT&lt;span class="_ _7"&gt;&lt;/span&gt;HER  &lt;span class="_ _b3"&gt;&lt;/span&gt; &lt;/span&gt;&lt;span style="display:inherit;clear:left;"&gt;CURRENT AND NON-CURRENT A&lt;span class="_ _2"&gt;&lt;/span&gt;SS&lt;span class="_ _7"&gt;&lt;/span&gt;ETS&lt;/span&gt;&lt;span style="display:inherit;clear:left;"&gt;ACCOUNTING&lt;span class="_ _2"&gt;&lt;/span&gt; POLICIES&lt;/span&gt;&lt;span style="display:inherit;clear:left;"&gt;Acc&lt;span class="_ _7"&gt;&lt;/span&gt;oun&lt;span class="_ _7"&gt;&lt;/span&gt;ts r&lt;span class="_ _7"&gt;&lt;/span&gt;ec&lt;span class="_ _7"&gt;&lt;/span&gt;ei&lt;span class="_ _7"&gt;&lt;/span&gt;vab&lt;span class="_ _7"&gt;&lt;/span&gt;le&lt;span class="_ _7"&gt;&lt;/span&gt;s ar&lt;span class="_ _7"&gt;&lt;/span&gt;e re&lt;span class="_ _7"&gt;&lt;/span&gt;cog&lt;span class="_ _7"&gt;&lt;/span&gt;ni&lt;span class="_ _7"&gt;&lt;/span&gt;s&lt;span class="_ _7"&gt;&lt;/span&gt;ed at a&lt;span class="_ _7"&gt;&lt;/span&gt;mo&lt;span class="_ _7"&gt;&lt;/span&gt;r&lt;span class="_ _7"&gt;&lt;/span&gt;ti&lt;span class="_ _7"&gt;&lt;/span&gt;se&lt;span class="_ _7"&gt;&lt;/span&gt;d co&lt;span class="_ _7"&gt;&lt;/span&gt;s&lt;span class="_ _7"&gt;&lt;/span&gt;t. A&lt;span class="_ _7"&gt;&lt;/span&gt;n all&lt;span class="_ _7"&gt;&lt;/span&gt;ow-&lt;/span&gt;&lt;span style="display:inherit;clear:left;"&gt;anc&lt;span class="_ _7"&gt;&lt;/span&gt;e fo&lt;span class="_ _7"&gt;&lt;/span&gt;r exp&lt;span class="_ _7"&gt;&lt;/span&gt;ec&lt;span class="_ _7"&gt;&lt;/span&gt;te&lt;span class="_ _7"&gt;&lt;/span&gt;d cre&lt;span class="_ _7"&gt;&lt;/span&gt;di&lt;span class="_ _7"&gt;&lt;/span&gt;t los&lt;span class="_ _7"&gt;&lt;/span&gt;s i&lt;span class="_ _7"&gt;&lt;/span&gt;s re&lt;span class="_ _7"&gt;&lt;/span&gt;co&lt;span class="_ _7"&gt;&lt;/span&gt;gn&lt;span class="_ _7"&gt;&lt;/span&gt;is&lt;span class="_ _7"&gt;&lt;/span&gt;ed w&lt;span class="_ _7"&gt;&lt;/span&gt;he&lt;span class="_ _7"&gt;&lt;/span&gt;n th&lt;span class="_ _7"&gt;&lt;/span&gt;e re&lt;span class="_ _7"&gt;&lt;/span&gt;cei&lt;span class="_ _7"&gt;&lt;/span&gt;va&lt;span class="_ _7"&gt;&lt;/span&gt;ble i&lt;span class="_ _7"&gt;&lt;/span&gt;s &lt;/span&gt;&lt;span style="display:inherit;clear:left;"&gt;ini&lt;span class="_ _7"&gt;&lt;/span&gt;ti&lt;span class="_ _7"&gt;&lt;/span&gt;ally r&lt;span class="_ _7"&gt;&lt;/span&gt;ec&lt;span class="_ _7"&gt;&lt;/span&gt;og&lt;span class="_ _7"&gt;&lt;/span&gt;ni&lt;span class="_ _7"&gt;&lt;/span&gt;se&lt;span class="_ _7"&gt;&lt;/span&gt;d. T&lt;span class="_ _7"&gt;&lt;/span&gt;he r&lt;span class="_ _7"&gt;&lt;/span&gt;ec&lt;span class="_ _7"&gt;&lt;/span&gt;og&lt;span class="_ _7"&gt;&lt;/span&gt;nis&lt;span class="_ _7"&gt;&lt;/span&gt;e&lt;span class="_ _7"&gt;&lt;/span&gt;d all&lt;span class="_ _7"&gt;&lt;/span&gt;owa&lt;span class="_ _7"&gt;&lt;/span&gt;nc&lt;span class="_ _7"&gt;&lt;/span&gt;e for c&lt;span class="_ _7"&gt;&lt;/span&gt;re&lt;span class="_ _7"&gt;&lt;/span&gt;dit l&lt;span class="_ _7"&gt;&lt;/span&gt;os&lt;span class="_ _7"&gt;&lt;/span&gt;s&lt;span class="_ _7"&gt;&lt;/span&gt;e&lt;span class="_ _7"&gt;&lt;/span&gt;s con-&lt;/span&gt;&lt;span style="display:inherit;clear:left;"&gt;si&lt;span class="_ _7"&gt;&lt;/span&gt;st&lt;span class="_ _7"&gt;&lt;/span&gt;s of i&lt;span class="_ _7"&gt;&lt;/span&gt;nc&lt;span class="_ _7"&gt;&lt;/span&gt;ur&lt;span class="_ _7"&gt;&lt;/span&gt;red a&lt;span class="_ _7"&gt;&lt;/span&gt;s we&lt;span class="_ _7"&gt;&lt;/span&gt;ll as o&lt;span class="_ _7"&gt;&lt;/span&gt;f ex&lt;span class="_ _7"&gt;&lt;/span&gt;pe&lt;span class="_ _7"&gt;&lt;/span&gt;cte&lt;span class="_ _7"&gt;&lt;/span&gt;d cr&lt;span class="_ _7"&gt;&lt;/span&gt;ed&lt;span class="_ _7"&gt;&lt;/span&gt;it lo&lt;span class="_ _7"&gt;&lt;/span&gt;s&lt;span class="_ _7"&gt;&lt;/span&gt;s&lt;span class="_ _7"&gt;&lt;/span&gt;es&lt;span class="_ _7"&gt;&lt;/span&gt;. A cr&lt;span class="_ _7"&gt;&lt;/span&gt;ed&lt;span class="_ _7"&gt;&lt;/span&gt;it lo&lt;span class="_ _7"&gt;&lt;/span&gt;s&lt;span class="_ _7"&gt;&lt;/span&gt;s &lt;/span&gt;&lt;span style="display:inherit;clear:left;"&gt;ha&lt;span class="_ _7"&gt;&lt;/span&gt;s be&lt;span class="_ _7"&gt;&lt;/span&gt;en i&lt;span class="_ _7"&gt;&lt;/span&gt;ncu&lt;span class="_ _7"&gt;&lt;/span&gt;rr&lt;span class="_ _7"&gt;&lt;/span&gt;ed w&lt;span class="_ _7"&gt;&lt;/span&gt;hen t&lt;span class="_ _7"&gt;&lt;/span&gt;he&lt;span class="_ _7"&gt;&lt;/span&gt;re h&lt;span class="_ _7"&gt;&lt;/span&gt;as b&lt;span class="_ _7"&gt;&lt;/span&gt;ee&lt;span class="_ _7"&gt;&lt;/span&gt;n an eve&lt;span class="_ _7"&gt;&lt;/span&gt;nt th&lt;span class="_ _7"&gt;&lt;/span&gt;at h&lt;span class="_ _7"&gt;&lt;/span&gt;as t&lt;span class="_ _7"&gt;&lt;/span&gt;rig&lt;span class="_ _7"&gt;&lt;/span&gt;ge&lt;span class="_ _7"&gt;&lt;/span&gt;re&lt;span class="_ _7"&gt;&lt;/span&gt;d &lt;/span&gt;&lt;span style="display:inherit;clear:left;"&gt;the c&lt;span class="_ _7"&gt;&lt;/span&gt;us&lt;span class="_ _7"&gt;&lt;/span&gt;tom&lt;span class="_ _7"&gt;&lt;/span&gt;er&lt;span class="_ _7"&gt;&lt;/span&gt;s in&lt;span class="_ _7"&gt;&lt;/span&gt;ab&lt;span class="_ _7"&gt;&lt;/span&gt;ili&lt;span class="_ _7"&gt;&lt;/span&gt;t&lt;span class="_ _7"&gt;&lt;/span&gt;y to p&lt;span class="_ _7"&gt;&lt;/span&gt;ay. The ex&lt;span class="_ _7"&gt;&lt;/span&gt;pe&lt;span class="_ _7"&gt;&lt;/span&gt;cte&lt;span class="_ _7"&gt;&lt;/span&gt;d cr&lt;span class="_ _7"&gt;&lt;/span&gt;ed&lt;span class="_ _7"&gt;&lt;/span&gt;it lo&lt;span class="_ _7"&gt;&lt;/span&gt;s&lt;span class="_ _7"&gt;&lt;/span&gt;s al&lt;span class="_ _7"&gt;&lt;/span&gt;lowa&lt;span class="_ _7"&gt;&lt;/span&gt;nc&lt;span class="_ _7"&gt;&lt;/span&gt;e is &lt;/span&gt;&lt;span style="display:inherit;clear:left;"&gt;ba&lt;span class="_ _7"&gt;&lt;/span&gt;se&lt;span class="_ _7"&gt;&lt;/span&gt;d on a m&lt;span class="_ _7"&gt;&lt;/span&gt;ulti&lt;span class="_ _7"&gt;&lt;/span&gt;pl&lt;span class="_ _7"&gt;&lt;/span&gt;ier c&lt;span class="_ _7"&gt;&lt;/span&gt;on&lt;span class="_ _7"&gt;&lt;/span&gt;si&lt;span class="_ _7"&gt;&lt;/span&gt;s&lt;span class="_ _7"&gt;&lt;/span&gt;ting o&lt;span class="_ _7"&gt;&lt;/span&gt;f ave&lt;span class="_ _7"&gt;&lt;/span&gt;ra&lt;span class="_ _7"&gt;&lt;/span&gt;ge hi&lt;span class="_ _7"&gt;&lt;/span&gt;s&lt;span class="_ _7"&gt;&lt;/span&gt;tor&lt;span class="_ _7"&gt;&lt;/span&gt;ic&lt;span class="_ _7"&gt;&lt;/span&gt;al w&lt;span class="_ _7"&gt;&lt;/span&gt;rit&lt;span class="_ _7"&gt;&lt;/span&gt;e-of&lt;span class="_ _9"&gt;&lt;/span&gt;fs an&lt;span class="_ _7"&gt;&lt;/span&gt;d &lt;/span&gt;&lt;span style="display:inherit;clear:left;"&gt;for&lt;span class="_ _7"&gt;&lt;/span&gt;w&lt;span class="_ _7"&gt;&lt;/span&gt;ar&lt;span class="_ _7"&gt;&lt;/span&gt;d-look&lt;span class="_ _7"&gt;&lt;/span&gt;in&lt;span class="_ _7"&gt;&lt;/span&gt;g ma&lt;span class="_ _7"&gt;&lt;/span&gt;cro&lt;span class="_ _7"&gt;&lt;/span&gt;ec&lt;span class="_ _7"&gt;&lt;/span&gt;on&lt;span class="_ _7"&gt;&lt;/span&gt;om&lt;span class="_ _7"&gt;&lt;/span&gt;ic da&lt;span class="_ _7"&gt;&lt;/span&gt;ta&lt;span class="_ _7"&gt;&lt;/span&gt;. In t&lt;span class="_ _7"&gt;&lt;/span&gt;he&lt;span class="_ _7"&gt;&lt;/span&gt;se c&lt;span class="_ _7"&gt;&lt;/span&gt;a&lt;span class="_ _7"&gt;&lt;/span&gt;se&lt;span class="_ _7"&gt;&lt;/span&gt;s&lt;span class="_ _7"&gt;&lt;/span&gt;, th&lt;span class="_ _7"&gt;&lt;/span&gt;ere h&lt;span class="_ _7"&gt;&lt;/span&gt;as n&lt;span class="_ _7"&gt;&lt;/span&gt;ot &lt;/span&gt;&lt;span style="display:inherit;clear:left;"&gt;yet b&lt;span class="_ _7"&gt;&lt;/span&gt;ee&lt;span class="_ _7"&gt;&lt;/span&gt;n any ev&lt;span class="_ _7"&gt;&lt;/span&gt;ent&lt;span class="_ _7"&gt;&lt;/span&gt;s in&lt;span class="_ _7"&gt;&lt;/span&gt;cur&lt;span class="_ _7"&gt;&lt;/span&gt;re&lt;span class="_ _7"&gt;&lt;/span&gt;d sh&lt;span class="_ _7"&gt;&lt;/span&gt;ow&lt;span class="_ _7"&gt;&lt;/span&gt;ing a&lt;span class="_ _7"&gt;&lt;/span&gt;ny in&lt;span class="_ _7"&gt;&lt;/span&gt;abi&lt;span class="_ _7"&gt;&lt;/span&gt;lit&lt;span class="_ _7"&gt;&lt;/span&gt;y t&lt;span class="_ _7"&gt;&lt;/span&gt;o pay.&lt;/span&gt;&lt;span style="display:inherit;clear:left;"&gt;If it h&lt;span class="_ _7"&gt;&lt;/span&gt;as b&lt;span class="_ _7"&gt;&lt;/span&gt;e&lt;span class="_ _7"&gt;&lt;/span&gt;en de&lt;span class="_ _7"&gt;&lt;/span&gt;ter&lt;span class="_ _7"&gt;&lt;/span&gt;mi&lt;span class="_ _7"&gt;&lt;/span&gt;ne&lt;span class="_ _7"&gt;&lt;/span&gt;d tha&lt;span class="_ _7"&gt;&lt;/span&gt;t an a&lt;span class="_ _7"&gt;&lt;/span&gt;cco&lt;span class="_ _7"&gt;&lt;/span&gt;un&lt;span class="_ _7"&gt;&lt;/span&gt;ts r&lt;span class="_ _7"&gt;&lt;/span&gt;ec&lt;span class="_ _7"&gt;&lt;/span&gt;ei&lt;span class="_ _7"&gt;&lt;/span&gt;vab&lt;span class="_ _7"&gt;&lt;/span&gt;le i&lt;span class="_ _7"&gt;&lt;/span&gt;s unc&lt;span class="_ _7"&gt;&lt;/span&gt;ol-&lt;/span&gt;&lt;span style="display:inherit;clear:left;"&gt;lec&lt;span class="_ _7"&gt;&lt;/span&gt;ti&lt;span class="_ _7"&gt;&lt;/span&gt;ble&lt;span class="_ _7"&gt;&lt;/span&gt;, it w&lt;span class="_ _7"&gt;&lt;/span&gt;ill b&lt;span class="_ _7"&gt;&lt;/span&gt;e wr&lt;span class="_ _7"&gt;&lt;/span&gt;it&lt;span class="_ _7"&gt;&lt;/span&gt;te&lt;span class="_ _7"&gt;&lt;/span&gt;n of&lt;span class="_ _9"&gt;&lt;/span&gt;f and d&lt;span class="_ _7"&gt;&lt;/span&gt;ere&lt;span class="_ _7"&gt;&lt;/span&gt;co&lt;span class="_ _7"&gt;&lt;/span&gt;gn&lt;span class="_ _7"&gt;&lt;/span&gt;is&lt;span class="_ _7"&gt;&lt;/span&gt;ed&lt;span class="_ _7"&gt;&lt;/span&gt;. It u&lt;span class="_ _7"&gt;&lt;/span&gt;su&lt;span class="_ _7"&gt;&lt;/span&gt;al&lt;span class="_ _7"&gt;&lt;/span&gt;ly me&lt;span class="_ _7"&gt;&lt;/span&gt;an&lt;span class="_ _7"&gt;&lt;/span&gt;s tha&lt;span class="_ _7"&gt;&lt;/span&gt;t &lt;/span&gt;&lt;span style="display:inherit;clear:left;"&gt;co&lt;span class="_ _7"&gt;&lt;/span&gt;lle&lt;span class="_ _7"&gt;&lt;/span&gt;cti&lt;span class="_ _7"&gt;&lt;/span&gt;on h&lt;span class="_ _7"&gt;&lt;/span&gt;as b&lt;span class="_ _7"&gt;&lt;/span&gt;ee&lt;span class="_ _7"&gt;&lt;/span&gt;n un&lt;span class="_ _7"&gt;&lt;/span&gt;su&lt;span class="_ _7"&gt;&lt;/span&gt;cc&lt;span class="_ _7"&gt;&lt;/span&gt;es&lt;span class="_ _7"&gt;&lt;/span&gt;s&lt;span class="_ _7"&gt;&lt;/span&gt;f&lt;span class="_ _7"&gt;&lt;/span&gt;ul a&lt;span class="_ _7"&gt;&lt;/span&gt;nd an e&lt;span class="_ _7"&gt;&lt;/span&gt;nti&lt;span class="_ _7"&gt;&lt;/span&gt;t&lt;span class="_ _7"&gt;&lt;/span&gt;y ha&lt;span class="_ _7"&gt;&lt;/span&gt;s no r&lt;span class="_ _7"&gt;&lt;/span&gt;ea&lt;span class="_ _7"&gt;&lt;/span&gt;so&lt;span class="_ _7"&gt;&lt;/span&gt;na&lt;span class="_ _7"&gt;&lt;/span&gt;bl&lt;span class="_ _7"&gt;&lt;/span&gt;e &lt;/span&gt;&lt;span style="display:inherit;clear:left;"&gt;exp&lt;span class="_ _7"&gt;&lt;/span&gt;ec&lt;span class="_ _7"&gt;&lt;/span&gt;ta&lt;span class="_ _7"&gt;&lt;/span&gt;tio&lt;span class="_ _7"&gt;&lt;/span&gt;ns o&lt;span class="_ _7"&gt;&lt;/span&gt;f re&lt;span class="_ _7"&gt;&lt;/span&gt;co&lt;span class="_ _7"&gt;&lt;/span&gt;ver&lt;span class="_ _7"&gt;&lt;/span&gt;ing th&lt;span class="_ _7"&gt;&lt;/span&gt;e co&lt;span class="_ _7"&gt;&lt;/span&gt;ntr&lt;span class="_ _7"&gt;&lt;/span&gt;ac&lt;span class="_ _7"&gt;&lt;/span&gt;tu&lt;span class="_ _7"&gt;&lt;/span&gt;al c&lt;span class="_ _7"&gt;&lt;/span&gt;as&lt;span class="_ _7"&gt;&lt;/span&gt;h fl&lt;span class="_ _7"&gt;&lt;/span&gt;ows o&lt;span class="_ _7"&gt;&lt;/span&gt;n th&lt;span class="_ _7"&gt;&lt;/span&gt;e  &lt;/span&gt;&lt;span style="display:inherit;clear:left;"&gt;receivable in&lt;span class="_ _2"&gt;&lt;/span&gt; its entirety or a&lt;span class="_ _2"&gt;&lt;/span&gt; por&lt;span class="_ _7"&gt;&lt;/span&gt;tion thereof&lt;span class="_ _2"&gt;&lt;/span&gt;.&lt;/span&gt;&lt;span style="display:inherit;clear:left;position:relative;height:92.37890625px;"&gt;&lt;span class="pp-font-color-override-1" style="position: absolute; display: inline-block; left: 257.484px; top: 0.748047px; width: 30.375px; white-space: pre; word-spacing: -0.24px; letter-spacing: 0.24px; margin-left: 0px; font-size: 9.6px; font-family: ff89; -webkit-text-stroke: 0.144px rgba(0, 0, 0, 0);"&gt;&lt;span style="display: inline-block;"&gt;31&lt;/span&gt;&lt;span style="word-spacing: -0.24px; letter-spacing: 0.24px; display: inline-block; margin-left: -0.684px; width: 0px; font-size: 9.6px; font-family: ff89; -webkit-text-stroke: 0.144px rgba(0, 0, 0, 0);"&gt;&lt;/span&gt;&lt;span style="display: inline-block;"&gt; Dec&lt;/span&gt;&lt;span class="pp-font-color-override-1" style="word-spacing: 0px; letter-spacing: 0px; display: inline-block; margin-left: 0px; font-size: 9.6px; font-family: ff89; -webkit-text-stroke: 0.144px rgba(0, 0, 0, 0);"&gt;&lt;span style="display: inline-block;"&gt; &lt;/span&gt;&lt;/span&gt;&lt;/span&gt;&lt;span class="pp-font-color-override-1" style="position: absolute; display: inline-block; left: 313.922px; top: 0.0039062px; width: 30.4277px; white-space: pre; word-spacing: -0.2496px; letter-spacing: 0.2496px; margin-left: 0px; font-size: 9.6px; font-family: ff88; -webkit-text-stroke: 0.144px rgba(0, 0, 0, 0);"&gt;&lt;span style="display: inline-block;"&gt;31&lt;/span&gt;&lt;span style="word-spacing: -0.2496px; letter-spacing: 0.2496px; display: inline-block; margin-left: -0.684px; width: 0px; font-size: 9.6px; font-family: ff88; -webkit-text-stroke: 0.144px rgba(0, 0, 0, 0);"&gt;&lt;/span&gt;&lt;span style="display: inline-block;"&gt; Dec&lt;/span&gt;&lt;span class="pp-font-color-override-1" style="word-spacing: 0px; letter-spacing: 0px; display: inline-block; margin-left: 0px; font-size: 9.6px; font-family: ff88; -webkit-text-stroke: 0.144px rgba(0, 0, 0, 0);"&gt;&lt;span style="display: inline-block;"&gt; &lt;/span&gt;&lt;/span&gt;&lt;/span&gt;&lt;span class="pp-font-color-override-1" style="position: absolute; display: inline-block; left: 0px; top: 11.248px; width: 97.7812px; white-space: pre; word-spacing: -0.2112px; letter-spacing: 0.2112px; margin-left: 0px; font-size: 9.6px; font-family: ff89; -webkit-text-stroke: 0.144px rgba(0, 0, 0, 0);"&gt;&lt;span style="display: inline-block;"&gt;Other non-&lt;/span&gt;&lt;span style="word-spacing: -0.2112px; letter-spacing: 0.2112px; display: inline-block; margin-left: -0.684px; width: 0px; font-size: 9.6px; font-family: ff89; -webkit-text-stroke: 0.144px rgba(0, 0, 0, 0);"&gt;&lt;/span&gt;&lt;span style="display: inline-block;"&gt;current assets&lt;/span&gt;&lt;/span&gt;&lt;span class="pp-font-color-override-1" style="position: absolute; display: inline-block; left: 263.203px; top: 11.248px; width: 19.3535px; white-space: pre; word-spacing: -0.0384px; letter-spacing: 0.0384px; margin-left: 0px; font-size: 9.6px; font-family: ff89; -webkit-text-stroke: 0.144px rgba(0, 0, 0, 0);"&gt;&lt;span style="display: inline-block;"&gt;2025&lt;/span&gt;&lt;/span&gt;&lt;span class="pp-font-color-override-1" style="position: absolute; display: inline-block; left: 319.594px; top: 10.5039px; width: 18.9668px; white-space: pre; word-spacing: 0.0576px; letter-spacing: -0.0576px; margin-left: 0px; font-size: 9.6px; font-family: ff88; -webkit-text-stroke: 0.144px rgba(0, 0, 0, 0);"&gt;&lt;span style="display: inline-block;"&gt;2024&lt;/span&gt;&lt;/span&gt;&lt;span class="pp-font-color-override-1" style="position: absolute; display: inline-block; left: 0px; top: 33.1348px; width: 316.658px; white-space: pre; word-spacing: -0.231px; letter-spacing: 0.2625px; margin-left: 0px; font-size: 10.5px; font-family: ff8a; -webkit-text-stroke: 0.1575px rgba(0, 0, 0, 0);"&gt;&lt;span style="display: inline-block;"&gt;Endowme&lt;/span&gt;&lt;span style="word-spacing: -0.231px; letter-spacing: 0.2625px; display: inline-block; margin-left: -0.684px; width: 0px; font-size: 10.5px; font-family: ff8a; -webkit-text-stroke: 0.1575px rgba(0, 0, 0, 0);"&gt;&lt;/span&gt;&lt;span style="display: inline-block;"&gt;nt insur&lt;/span&gt;&lt;span style="word-spacing: -0.231px; letter-spacing: 0.2625px; display: inline-block; margin-left: -0.684px; width: 0px; font-size: 10.5px; font-family: ff8a; -webkit-text-stroke: 0.1575px rgba(0, 0, 0, 0);"&gt;&lt;/span&gt;&lt;span style="display: inline-block;"&gt;ance for&lt;/span&gt;&lt;span style="word-spacing: -0.231px; letter-spacing: 0.2625px; display: inline-block; margin-left: -0.684px; width: 0px; font-size: 10.5px; font-family: ff8a; -webkit-text-stroke: 0.1575px rgba(0, 0, 0, 0);"&gt;&lt;/span&gt;&lt;span style="display: inline-block;"&gt; pensions&lt;/span&gt;&lt;span style="word-spacing: -0.231px; letter-spacing: 0.2625px; display: inline-block; margin-left: 0px; width: 96.0705px; font-size: 10.5px; font-family: ff8a; -webkit-text-stroke: 0.1575px rgba(0, 0, 0, 0);"&gt;&lt;span style="display: inline-block;"&gt; &lt;/span&gt;&lt;/span&gt;&lt;span class="pp-font-color-override-1" style="word-spacing: -0.0105px; letter-spacing: 0.0105px; display: inline-block; margin-left: 0px; font-size: 10.5px; font-family: ff8a; -webkit-text-stroke: 0.1575px rgba(0, 0, 0, 0);"&gt;&lt;span style="display: inline-block;"&gt;367&lt;/span&gt;&lt;span style="word-spacing: -0.0105px; letter-spacing: 0.0105px; display: inline-block; margin-left: 0px; width: 35.0918px;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inline-block;"&gt;363&lt;/span&gt;&lt;/span&gt;&lt;/span&gt;&lt;/span&gt;&lt;span class="pp-font-color-override-1" style="position: absolute; display: inline-block; left: 0px; top: 49.0879px; width: 328.488px; white-space: pre; word-spacing: -0.168px; letter-spacing: 0.1995px; margin-left: 0px; font-size: 10.5px; font-family: ff8a; -webkit-text-stroke: 0.1575px rgba(0, 0, 0, 0);"&gt;&lt;span style="display: inline-block;"&gt;Rental deposition&lt;/span&gt;&lt;span style="word-spacing: -0.168px; letter-spacing: 0.1995px; display: inline-block; margin-left: 0px; width: 188.578px;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inline-block;"&gt;29&lt;/span&gt;&lt;span style="word-spacing: -0.147px; letter-spacing: 0.147px; display: inline-block; margin-left: 0px; width: 41.244px; font-size: 10.5px; font-family: ff8a; -webkit-text-stroke: 0.1575px rgba(0, 0, 0, 0);"&gt;&lt;span style="display: inline-block;"&gt; &lt;/span&gt;&lt;/span&gt;&lt;span class="pp-font-color-override-1" style="word-spacing: -0.1785px; letter-spacing: 0.1785px; display: inline-block; margin-left: 0px; font-size: 10.5px; font-family: ff8a; -webkit-text-stroke: 0.1575px rgba(0, 0, 0, 0);"&gt;&lt;span style="display: inline-block;"&gt;38&lt;/span&gt;&lt;/span&gt;&lt;/span&gt;&lt;/span&gt;&lt;span class="pp-font-color-override-1" style="position: absolute; display: inline-block; left: 125.781px; top: 64.9023px; width: 5.10938px; white-space: pre; word-spacing: -0.0061215px; letter-spacing: 0.0061215px; margin-left: 0px; font-size: 6.1215px; font-family: ff8a; -webkit-text-stroke: 0.0918225px rgba(0, 0, 0, 0);"&gt;&lt;span style="display: inline-block;"&gt;1)&lt;/span&gt;&lt;/span&gt;&lt;span class="pp-font-color-override-1" style="position: absolute; display: inline-block; left: 0px; top: 65.0566px; width: 106.283px; white-space: pre; word-spacing: 0px; letter-spacing: 0.0315px; margin-left: 0px; font-size: 10.5px; font-family: ff8a; -webkit-text-stroke: 0.1575px rgba(0, 0, 0, 0);"&gt;&lt;span style="display: inline-block;"&gt;Ot&lt;/span&gt;&lt;span style="word-spacing: 0px; letter-spacing: 0.0315px; display: inline-block; margin-left: 0px; width: 0.410156px; font-size: 10.5px; font-family: ff8a; -webkit-text-stroke: 0.1575px rgba(0, 0, 0, 0);"&gt;&lt;/span&gt;&lt;span style="display: inline-block;"&gt;he&lt;/span&gt;&lt;span style="word-spacing: 0px; letter-spacing: 0.0315px; display: inline-block; margin-left: 0px; width: 0.410156px; font-size: 10.5px; font-family: ff8a; -webkit-text-stroke: 0.1575px rgba(0, 0, 0, 0);"&gt;&lt;/span&gt;&lt;span style="display: inline-block;"&gt;r no&lt;/span&gt;&lt;span style="word-spacing: 0px; letter-spacing: 0.0315px; display: inline-block; margin-left: 0px; width: 0.410156px; font-size: 10.5px; font-family: ff8a; -webkit-text-stroke: 0.1575px rgba(0, 0, 0, 0);"&gt;&lt;/span&gt;&lt;span style="display: inline-block;"&gt;n-cur&lt;/span&gt;&lt;span style="word-spacing: 0px; letter-spacing: 0.0315px; display: inline-block; margin-left: 0px; width: 0.410156px; font-size: 10.5px; font-family: ff8a; -webkit-text-stroke: 0.1575px rgba(0, 0, 0, 0);"&gt;&lt;/span&gt;&lt;span style="display: inline-block;"&gt;rent a&lt;/span&gt;&lt;span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inline-block;"&gt;se&lt;/span&gt;&lt;span style="word-spacing: 0px; letter-spacing: 0.0315px; display: inline-block; margin-left: 0px; width: 0.410156px; font-size: 10.5px; font-family: ff8a; -webkit-text-stroke: 0.1575px rgba(0, 0, 0, 0);"&gt;&lt;/span&gt;&lt;span style="display: inline-block;"&gt;ts&lt;/span&gt;&lt;/span&gt;&lt;span class="pp-font-color-override-1" style="position: absolute; display: inline-block; left: 259.734px; top: 65.0566px; width: 74.2969px; white-space: pre; word-spacing: -0.2415px; letter-spacing: 0.2415px; margin-left: 0px; font-size: 10.5px; font-family: ff8a; -webkit-text-stroke: 0.1575px rgba(0, 0, 0, 0);"&gt;&lt;span style="display: inline-block;"&gt;3,82&lt;/span&gt;&lt;span style="word-spacing: -0.2415px; letter-spacing: 0.2415px; display: inline-block; margin-left: -0.684px; width: 0px; font-size: 10.5px; font-family: ff8a; -webkit-text-stroke: 0.1575px rgba(0, 0, 0, 0);"&gt;&lt;/span&gt;&lt;span style="display: inline-block;"&gt;6&lt;/span&gt;&lt;span style="word-spacing: -0.2415px; letter-spacing: 0.2415px; display: inline-block; margin-left: 0px; width: 25.7227px; font-size: 10.5px; font-family: ff8a; -webkit-text-stroke: 0.1575px rgba(0, 0, 0, 0);"&gt;&lt;span style="display: inline-block;"&gt; &lt;/span&gt;&lt;/span&gt;&lt;span class="pp-font-color-override-1" style="word-spacing: -0.1575px; letter-spacing: 0.1575px; display: inline-block; margin-left: 0px; font-size: 10.5px; font-family: ff8a; -webkit-text-stroke: 0.1575px rgba(0, 0, 0, 0);"&gt;&lt;span style="display: inline-block;"&gt;2,583&lt;/span&gt;&lt;/span&gt;&lt;/span&gt;&lt;span class="pp-font-color-override-1" style="position: absolute; display: inline-block; left: 0px; top: 80.7578px; width: 326.045px; white-space: pre; word-spacing: -0.1995px; letter-spacing: 0.1995px; margin-left: 0px; font-size: 10.5px; font-family: ff89; -webkit-text-stroke: 0.1575px rgba(0, 0, 0, 0);"&gt;&lt;span style="display: inline-block;"&gt;T&lt;/span&gt;&lt;span style="word-spacing: -0.1995px; letter-spacing: 0.1995px; display: inline-block; margin-left: -1.13625px; width: 0px; font-size: 10.5px; font-family: ff89; -webkit-text-stroke: 0.1575px rgba(0, 0, 0, 0);"&gt;&lt;/span&gt;&lt;span style="display: inline-block;"&gt;ot&lt;/span&gt;&lt;span style="word-spacing: -0.1995px; letter-spacing: 0.1995px; display: inline-block; margin-left: 0px; width: 0.410156px; font-size: 10.5px; font-family: ff89; -webkit-text-stroke: 0.1575px rgba(0, 0, 0, 0);"&gt;&lt;/span&gt;&lt;span style="display: inline-block;"&gt;al&lt;/span&gt;&lt;span style="word-spacing: -0.1995px; letter-spacing: 0.1995px; display: inline-block; margin-left: 0px; width: 230.643px; font-size: 10.5px; font-family: ff89; -webkit-text-stroke: 0.1575px rgba(0, 0, 0, 0);"&gt;&lt;span style="display: inline-block;"&gt; &lt;/span&gt;&lt;/span&gt;&lt;span class="pp-font-color-override-1" style="word-spacing: -0.0735px; letter-spacing: 0.0735px; display: inline-block; margin-left: 0px; font-size: 10.5px; font-family: ff89; -webkit-text-stroke: 0.1575px rgba(0, 0, 0, 0);"&gt;&lt;span style="display: inline-block;"&gt;4,&lt;/span&gt;&lt;span style="word-spacing: -0.0735px; letter-spacing: 0.0735px; display: inline-block; margin-left: 0px; width: 0.410156px; font-size: 10.5px; font-family: ff89; -webkit-text-stroke: 0.1575px rgba(0, 0, 0, 0);"&gt;&lt;/span&gt;&lt;span style="display: inline-block;"&gt;222&lt;/span&gt;&lt;span style="word-spacing: -0.0735px; letter-spacing: 0.0735px; display: inline-block; margin-left: 0px; width: 23.7246px; font-size: 10.5px; font-family: ff89; -webkit-text-stroke: 0.1575px rgba(0, 0, 0, 0);"&gt;&lt;span style="display: inline-block;"&gt; &lt;/span&gt;&lt;/span&gt;&lt;span class="pp-font-color-override-1" style="word-spacing: -0.1575px; letter-spacing: 0.1575px; display: inline-block; margin-left: 0px; font-size: 10.5px; font-family: ff89; -webkit-text-stroke: 0.1575px rgba(0, 0, 0, 0);"&gt;&lt;span style="display: inline-block;"&gt;2&lt;/span&gt;&lt;span style="word-spacing: -0.1575px; letter-spacing: 0.1575px; display: inline-block; margin-left: 0px; width: 0.410156px; font-size: 10.5px; font-family: ff89; -webkit-text-stroke: 0.1575px rgba(0, 0, 0, 0);"&gt;&lt;/span&gt;&lt;span style="display: inline-block;"&gt;,984&lt;/span&gt;&lt;/span&gt;&lt;/span&gt;&lt;/span&gt;&lt;/span&gt;&lt;span style="display:inherit;clear:left;position:relative;height:156.20703125px;"&gt;&lt;span class="pp-font-color-override-1" style="position: absolute; display: inline-block; left: 257.484px; top: 0.748047px; width: 30.2637px; white-space: pre; word-spacing: 0px; letter-spacing: 0px; margin-left: 0px; font-size: 9.6px; font-family: ff89; -webkit-text-stroke: 0.144px rgba(0, 0, 0, 0);"&gt;&lt;span style="display: inline-block;"&gt;31 De&lt;/span&gt;&lt;span style="word-spacing: 0px; letter-spacing: 0px; display: inline-block; margin-left: 0px; width: 0.410156px; font-size: 9.6px; font-family: ff89; -webkit-text-stroke: 0.144px rgba(0, 0, 0, 0);"&gt;&lt;/span&gt;&lt;span style="display: inline-block;"&gt;c &lt;/span&gt;&lt;/span&gt;&lt;span class="pp-font-color-override-1" style="position: absolute; display: inline-block; left: 313.922px; top: 0.0039062px; width: 30.2637px; white-space: pre; word-spacing: 0px; letter-spacing: 0px; margin-left: 0px; font-size: 9.6px; font-family: ff88; -webkit-text-stroke: 0.144px rgba(0, 0, 0, 0);"&gt;&lt;span style="display: inline-block;"&gt;31 De&lt;/span&gt;&lt;span style="word-spacing: 0px; letter-spacing: 0px; display: inline-block; margin-left: 0px; width: 0.410156px; font-size: 9.6px; font-family: ff88; -webkit-text-stroke: 0.144px rgba(0, 0, 0, 0);"&gt;&lt;/span&gt;&lt;span style="display: inline-block;"&gt;c &lt;/span&gt;&lt;/span&gt;&lt;span class="pp-font-color-override-1" style="position: absolute; display: inline-block; left: 0px; top: 11.248px; width: 177.668px; white-space: pre; word-spacing: -0.1824px; letter-spacing: 0.1824px; margin-left: 0px; font-size: 9.6px; font-family: ff89; -webkit-text-stroke: 0.144px rgba(0, 0, 0, 0);"&gt;&lt;span style="display: inline-block;"&gt;Accounts receivable and other&lt;/span&gt;&lt;span style="word-spacing: -0.1824px; letter-spacing: 0.1824px; display: inline-block; margin-left: -0.684px; width: 0px; font-size: 9.6px; font-family: ff89; -webkit-text-stroke: 0.144px rgba(0, 0, 0, 0);"&gt;&lt;/span&gt;&lt;span style="display: inline-block;"&gt; current ass&lt;/span&gt;&lt;span style="word-spacing: -0.1824px; letter-spacing: 0.1824px; display: inline-block; margin-left: 0px; width: 0.410156px; font-size: 9.6px; font-family: ff89; -webkit-text-stroke: 0.144px rgba(0, 0, 0, 0);"&gt;&lt;/span&gt;&lt;span style="display: inline-block;"&gt;ets&lt;/span&gt;&lt;/span&gt;&lt;span class="pp-font-color-override-1" style="position: absolute; display: inline-block; left: 263.203px; top: 11.248px; width: 19.3535px; white-space: pre; word-spacing: -0.0384px; letter-spacing: 0.0384px; margin-left: 0px; font-size: 9.6px; font-family: ff89; -webkit-text-stroke: 0.144px rgba(0, 0, 0, 0);"&gt;&lt;span style="display: inline-block;"&gt;2025&lt;/span&gt;&lt;/span&gt;&lt;span class="pp-font-color-override-1" style="position: absolute; display: inline-block; left: 319.594px; top: 10.5039px; width: 18.9668px; white-space: pre; word-spacing: 0.0576px; letter-spacing: -0.0576px; margin-left: 0px; font-size: 9.6px; font-family: ff88; -webkit-text-stroke: 0.144px rgba(0, 0, 0, 0);"&gt;&lt;span style="display: inline-block;"&gt;2024&lt;/span&gt;&lt;/span&gt;&lt;span class="pp-font-color-override-1" style="position: absolute; display: inline-block; left: 0px; top: 33.1191px; width: 310.711px; white-space: pre; word-spacing: -0.1995px; letter-spacing: 0.231px; margin-left: 0px; font-size: 10.5px; font-family: ff8a; -webkit-text-stroke: 0.1575px rgba(0, 0, 0, 0);"&gt;&lt;span style="display: inline-block;"&gt;Accounts&lt;/span&gt;&lt;span style="word-spacing: -0.1995px; letter-spacing: 0.231px; display: inline-block; margin-left: -0.684px; width: 0px; font-size: 10.5px; font-family: ff8a; -webkit-text-stroke: 0.1575px rgba(0, 0, 0, 0);"&gt;&lt;/span&gt;&lt;span style="display: inline-block;"&gt; receivable,&lt;/span&gt;&lt;span style="word-spacing: -0.1995px; letter-spacing: 0.231px; display: inline-block; margin-left: -0.684px; width: 0px; font-size: 10.5px; font-family: ff8a; -webkit-text-stroke: 0.1575px rgba(0, 0, 0, 0);"&gt;&lt;/span&gt;&lt;span style="display: inline-block;"&gt; non-gr&lt;/span&gt;&lt;span style="word-spacing: -0.1995px; letter-spacing: 0.231px; display: inline-block; margin-left: -0.684px; width: 0px; font-size: 10.5px; font-family: ff8a; -webkit-text-stroke: 0.1575px rgba(0, 0, 0, 0);"&gt;&lt;/span&gt;&lt;span style="display: inline-block;"&gt;oup companies&lt;/span&gt;&lt;span style="word-spacing: -0.1995px; letter-spacing: 0.231px; display: inline-block; margin-left: 0px; width: 42.0232px; font-size: 10.5px; font-family: ff8a; -webkit-text-stroke: 0.1575px rgba(0, 0, 0, 0);"&gt;&lt;span style="display: inline-block;"&gt; &lt;/span&gt;&lt;/span&gt;&lt;span class="pp-font-color-override-1" style="word-spacing: 0.2415px; letter-spacing: -0.2415px; display: inline-block; margin-left: 0px; font-size: 10.5px; font-family: ff8a; -webkit-text-stroke: 0.1575px rgba(0, 0, 0, 0);"&gt;&lt;span style="display: inline-block;"&gt;11&lt;/span&gt;&lt;span style="word-spacing: 0.2415px; letter-spacing: -0.2415px; display: inline-block; margin-left: 0px; width: 0.410156px; font-size: 10.5px; font-family: ff8a; -webkit-text-stroke: 0.1575px rgba(0, 0, 0, 0);"&gt;&lt;/span&gt;&lt;span style="display: inline-block;"&gt;,&lt;/span&gt;&lt;span style="word-spacing: 0.2415px; letter-spacing: -0.2415px; display: inline-block; margin-left: 0px; width: 0.410156px; font-size: 10.5px; font-family: ff8a; -webkit-text-stroke: 0.1575px rgba(0, 0, 0, 0);"&gt;&lt;/span&gt;&lt;span style="display: inline-block;"&gt;4&lt;/span&gt;&lt;span style="word-spacing: 0.2415px; letter-spacing: -0.2415px; display: inline-block; margin-left: 0px; width: 0.410156px; font-size: 10.5px; font-family: ff8a; -webkit-text-stroke: 0.1575px rgba(0, 0, 0, 0);"&gt;&lt;/span&gt;&lt;span style="display: inline-block;"&gt;6&lt;/span&gt;&lt;span style="word-spacing: 0.2415px; letter-spacing: -0.2415px; display: inline-block; margin-left: 0px; width: 0.410156px; font-size: 10.5px; font-family: ff8a; -webkit-text-stroke: 0.1575px rgba(0, 0, 0, 0);"&gt;&lt;/span&gt;&lt;span style="display: inline-block;"&gt;3&lt;/span&gt;&lt;span style="word-spacing: 0.2415px; letter-spacing: -0.2415px; display: inline-block; margin-left: 0px; width: 21.8145px; font-size: 10.5px; font-family: ff8a; -webkit-text-stroke: 0.1575px rgba(0, 0, 0, 0);"&gt;&lt;span style="display: inline-block;"&gt;&lt;span style="width: 2.625px; display: inline-block;"&gt; &lt;/span&gt;&lt;/span&gt;&lt;/span&gt;&lt;span class="pp-font-color-override-1" style="word-spacing: -0.126px; letter-spacing: 0.126px; display: inline-block; margin-left: 0px; font-size: 10.5px; font-family: ff8a; -webkit-text-stroke: 0.1575px rgba(0, 0, 0, 0);"&gt;&lt;span style="display: inline-block;"&gt;12,989&lt;/span&gt;&lt;/span&gt;&lt;/span&gt;&lt;/span&gt;&lt;span class="pp-font-color-override-1" style="position: absolute; display: inline-block; left: 0px; top: 49.0879px; width: 313.242px; white-space: pre; word-spacing: -0.1995px; letter-spacing: 0.231px; margin-left: 0px; font-size: 10.5px; font-family: ff8a; -webkit-text-stroke: 0.1575px rgba(0, 0, 0, 0);"&gt;&lt;span style="display: inline-block;"&gt;Accounts&lt;/span&gt;&lt;span style="word-spacing: -0.1995px; letter-spacing: 0.231px; display: inline-block; margin-left: -0.684px; width: 0px; font-size: 10.5px; font-family: ff8a; -webkit-text-stroke: 0.1575px rgba(0, 0, 0, 0);"&gt;&lt;/span&gt;&lt;span style="display: inline-block;"&gt; receivable,&lt;/span&gt;&lt;span style="word-spacing: -0.1995px; letter-spacing: 0.231px; display: inline-block; margin-left: -0.684px; width: 0px; font-size: 10.5px; font-family: ff8a; -webkit-text-stroke: 0.1575px rgba(0, 0, 0, 0);"&gt;&lt;/span&gt;&lt;span style="display: inline-block;"&gt; related compa&lt;/span&gt;&lt;span style="word-spacing: -0.1995px; letter-spacing: 0.231px; display: inline-block; margin-left: -0.684px; width: 0px; font-size: 10.5px; font-family: ff8a; -webkit-text-stroke: 0.1575px rgba(0, 0, 0, 0);"&gt;&lt;/span&gt;&lt;span style="display: inline-block;"&gt;nies&lt;/span&gt;&lt;span style="word-spacing: -0.1995px; letter-spacing: 0.231px; display: inline-block; margin-left: 0px; width: 64.1719px; font-size: 10.5px; font-family: ff8a; -webkit-text-stroke: 0.1575px rgba(0, 0, 0, 0);"&gt;&lt;span style="display: inline-block;"&gt; &lt;/span&gt;&lt;/span&gt;&lt;span class="pp-font-color-override-1" style="word-spacing: 0.273px; letter-spacing: -0.273px; display: inline-block; margin-left: 0px; font-size: 10.5px; font-family: ff8a; -webkit-text-stroke: 0.1575px rgba(0, 0, 0, 0);"&gt;&lt;span style="display: inline-block;"&gt;9&lt;/span&gt;&lt;span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inline-block;"&gt;8&lt;/span&gt;&lt;span style="word-spacing: 0.273px; letter-spacing: -0.273px; display: inline-block; margin-left: 0px; width: 29.5723px; font-size: 10.5px; font-family: ff8a; -webkit-text-stroke: 0.1575px rgba(0, 0, 0, 0);"&gt;&lt;span style="display: inline-block;"&gt;&lt;span style="width: 2.625px; display: inline-block;"&gt; &lt;/span&gt;&lt;/span&gt;&lt;/span&gt;&lt;span style="display: inline-block;"&gt;9&lt;/span&gt;&lt;span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inline-block;"&gt;91&lt;/span&gt;&lt;/span&gt;&lt;/span&gt;&lt;span class="pp-font-color-override-1" style="position: absolute; display: inline-block; left: 0px; top: 65.041px; width: 327.141px; white-space: pre; word-spacing: -0.1995px; letter-spacing: 0.231px; margin-left: 0px; font-size: 10.5px; font-family: ff8a; -webkit-text-stroke: 0.1575px rgba(0, 0, 0, 0);"&gt;&lt;span style="display: inline-block;"&gt;V&lt;/span&gt;&lt;span style="word-spacing: -0.1995px; letter-spacing: 0.231px; display: inline-block; margin-left: -0.684px; width: 0px; font-size: 10.5px; font-family: ff8a; -webkit-text-stroke: 0.1575px rgba(0, 0, 0, 0);"&gt;&lt;/span&gt;&lt;span style="display: inline-block;"&gt;A&lt;/span&gt;&lt;span style="word-spacing: -0.1995px; letter-spacing: 0.231px; display: inline-block; margin-left: -1.13625px; width: 0px; font-size: 10.5px; font-family: ff8a; -webkit-text-stroke: 0.1575px rgba(0, 0, 0, 0);"&gt;&lt;/span&gt;&lt;span style="display: inline-block;"&gt;T receivables&lt;/span&gt;&lt;span style="word-spacing: -0.1995px; letter-spacing: 0.231px; display: inline-block; margin-left: 0px; width: 179.197px; font-size: 10.5px; font-family: ff8a; -webkit-text-stroke:</t>
  </si>
  <si>
    <t>f1__s8__6__147</t>
  </si>
  <si>
    <t>ifrs-full:DisclosureOfOtherAssetsExplanatory</t>
  </si>
  <si>
    <t>f1__s8__6__148</t>
  </si>
  <si>
    <t>ifrs-full:DisclosureOfTradeAndOtherReceivablesExplanatory</t>
  </si>
  <si>
    <t>f1__s8__6__15</t>
  </si>
  <si>
    <t>ifrs-full:DisclosureOfMaterialAccountingPolicyInformationExplanatory</t>
  </si>
  <si>
    <t>&lt;span style="display:inherit;clear:left;"&gt;Basis of consolidat&lt;span class="_ _2"&gt;&lt;/span&gt;ion&lt;/span&gt;&lt;span style="display:inherit;clear:left;"&gt;Th&lt;span class="_ _7"&gt;&lt;/span&gt;e con&lt;span class="_ _7"&gt;&lt;/span&gt;s&lt;span class="_ _7"&gt;&lt;/span&gt;oli&lt;span class="_ _7"&gt;&lt;/span&gt;da&lt;span class="_ _7"&gt;&lt;/span&gt;ted a&lt;span class="_ _7"&gt;&lt;/span&gt;cc&lt;span class="_ _7"&gt;&lt;/span&gt;oun&lt;span class="_ _7"&gt;&lt;/span&gt;ts i&lt;span class="_ _7"&gt;&lt;/span&gt;nc&lt;span class="_ _7"&gt;&lt;/span&gt;lud&lt;span class="_ _7"&gt;&lt;/span&gt;e Volvo Ca&lt;span class="_ _7"&gt;&lt;/span&gt;r AB (p&lt;span class="_ _7"&gt;&lt;/span&gt;ub&lt;span class="_ _7"&gt;&lt;/span&gt;l.) a&lt;span class="_ _7"&gt;&lt;/span&gt;nd i&lt;span class="_ _7"&gt;&lt;/span&gt;ts  &lt;/span&gt;&lt;span style="display:inherit;clear:left;"&gt;sub&lt;span class="_ _7"&gt;&lt;/span&gt;s&lt;span class="_ _7"&gt;&lt;/span&gt;idi&lt;span class="_ _7"&gt;&lt;/span&gt;ar&lt;span class="_ _7"&gt;&lt;/span&gt;ie&lt;span class="_ _7"&gt;&lt;/span&gt;s&lt;span class="_ _7"&gt;&lt;/span&gt;. Sub&lt;span class="_ _7"&gt;&lt;/span&gt;s&lt;span class="_ _7"&gt;&lt;/span&gt;idi&lt;span class="_ _7"&gt;&lt;/span&gt;ar&lt;span class="_ _7"&gt;&lt;/span&gt;ie&lt;span class="_ _7"&gt;&lt;/span&gt;s ar&lt;span class="_ _7"&gt;&lt;/span&gt;e all e&lt;span class="_ _7"&gt;&lt;/span&gt;nti&lt;span class="_ _7"&gt;&lt;/span&gt;tie&lt;span class="_ _7"&gt;&lt;/span&gt;s ov&lt;span class="_ _7"&gt;&lt;/span&gt;er wh&lt;span class="_ _7"&gt;&lt;/span&gt;ich Volvo C&lt;span class="_ _7"&gt;&lt;/span&gt;ar G&lt;span class="_ _7"&gt;&lt;/span&gt;ro&lt;span class="_ _7"&gt;&lt;/span&gt;up &lt;/span&gt;&lt;span style="display:inherit;clear:left;"&gt;ha&lt;span class="_ _7"&gt;&lt;/span&gt;s con&lt;span class="_ _7"&gt;&lt;/span&gt;tr&lt;span class="_ _7"&gt;&lt;/span&gt;ol&lt;span class="_ _7"&gt;&lt;/span&gt;. Volvo Ca&lt;span class="_ _7"&gt;&lt;/span&gt;r Gr&lt;span class="_ _7"&gt;&lt;/span&gt;oup c&lt;span class="_ _7"&gt;&lt;/span&gt;on&lt;span class="_ _7"&gt;&lt;/span&gt;tro&lt;span class="_ _7"&gt;&lt;/span&gt;l&lt;span class="_ _7"&gt;&lt;/span&gt;s an en&lt;span class="_ _7"&gt;&lt;/span&gt;tit&lt;span class="_ _7"&gt;&lt;/span&gt;y w&lt;span class="_ _7"&gt;&lt;/span&gt;he&lt;span class="_ _7"&gt;&lt;/span&gt;n exp&lt;span class="_ _7"&gt;&lt;/span&gt;os&lt;span class="_ _7"&gt;&lt;/span&gt;e&lt;span class="_ _7"&gt;&lt;/span&gt;d to, o&lt;span class="_ _7"&gt;&lt;/span&gt;r &lt;/span&gt;&lt;span style="display:inherit;clear:left;"&gt;ha&lt;span class="_ _7"&gt;&lt;/span&gt;s rig&lt;span class="_ _7"&gt;&lt;/span&gt;ht&lt;span class="_ _7"&gt;&lt;/span&gt;s to, v&lt;span class="_ _7"&gt;&lt;/span&gt;ari&lt;span class="_ _7"&gt;&lt;/span&gt;ab&lt;span class="_ _7"&gt;&lt;/span&gt;le re&lt;span class="_ _7"&gt;&lt;/span&gt;tur&lt;span class="_ _7"&gt;&lt;/span&gt;ns f&lt;span class="_ _7"&gt;&lt;/span&gt;r&lt;span class="_ _7"&gt;&lt;/span&gt;om it&lt;span class="_ _7"&gt;&lt;/span&gt;s in&lt;span class="_ _7"&gt;&lt;/span&gt;volv&lt;span class="_ _7"&gt;&lt;/span&gt;eme&lt;span class="_ _7"&gt;&lt;/span&gt;nt w&lt;span class="_ _7"&gt;&lt;/span&gt;ith t&lt;span class="_ _7"&gt;&lt;/span&gt;he en&lt;span class="_ _7"&gt;&lt;/span&gt;tit&lt;span class="_ _7"&gt;&lt;/span&gt;y &lt;/span&gt;&lt;span style="display:inherit;clear:left;"&gt;and h&lt;span class="_ _7"&gt;&lt;/span&gt;as t&lt;span class="_ _7"&gt;&lt;/span&gt;he a&lt;span class="_ _7"&gt;&lt;/span&gt;bil&lt;span class="_ _7"&gt;&lt;/span&gt;it&lt;span class="_ _7"&gt;&lt;/span&gt;y to a&lt;span class="_ _7"&gt;&lt;/span&gt;f&lt;span class="_ _7"&gt;&lt;/span&gt;fe&lt;span class="_ _7"&gt;&lt;/span&gt;ct t&lt;span class="_ _7"&gt;&lt;/span&gt;ho&lt;span class="_ _7"&gt;&lt;/span&gt;se r&lt;span class="_ _7"&gt;&lt;/span&gt;et&lt;span class="_ _7"&gt;&lt;/span&gt;urn&lt;span class="_ _7"&gt;&lt;/span&gt;s th&lt;span class="_ _7"&gt;&lt;/span&gt;ro&lt;span class="_ _7"&gt;&lt;/span&gt;ugh i&lt;span class="_ _7"&gt;&lt;/span&gt;ts p&lt;span class="_ _7"&gt;&lt;/span&gt;owe&lt;span class="_ _7"&gt;&lt;/span&gt;r ove&lt;span class="_ _7"&gt;&lt;/span&gt;r the &lt;/span&gt;&lt;span style="display:inherit;clear:left;"&gt;e&lt;span class="_ _7"&gt;&lt;/span&gt;n&lt;span class="_ _7"&gt;&lt;/span&gt;t&lt;span class="_ _7"&gt;&lt;/span&gt;i&lt;span class="_ _7"&gt;&lt;/span&gt;t&lt;span class="_ _7"&gt;&lt;/span&gt;y.&lt;span class="_ _7"&gt;&lt;/span&gt; &lt;/span&gt;&lt;span style="display:inherit;clear:left;"&gt;All w&lt;span class="_ _7"&gt;&lt;/span&gt;ho&lt;span class="_ _7"&gt;&lt;/span&gt;lly-ow&lt;span class="_ _7"&gt;&lt;/span&gt;ne&lt;span class="_ _7"&gt;&lt;/span&gt;d su&lt;span class="_ _7"&gt;&lt;/span&gt;bs&lt;span class="_ _7"&gt;&lt;/span&gt;idi&lt;span class="_ _7"&gt;&lt;/span&gt;ar&lt;span class="_ _7"&gt;&lt;/span&gt;ie&lt;span class="_ _7"&gt;&lt;/span&gt;s an&lt;span class="_ _7"&gt;&lt;/span&gt;d ce&lt;span class="_ _7"&gt;&lt;/span&gt;r&lt;span class="_ _7"&gt;&lt;/span&gt;ta&lt;span class="_ _7"&gt;&lt;/span&gt;in c&lt;span class="_ _7"&gt;&lt;/span&gt;omp&lt;span class="_ _7"&gt;&lt;/span&gt;an&lt;span class="_ _7"&gt;&lt;/span&gt;ie&lt;span class="_ _7"&gt;&lt;/span&gt;s own&lt;span class="_ _7"&gt;&lt;/span&gt;e&lt;span class="_ _7"&gt;&lt;/span&gt;d to &lt;/span&gt;&lt;span style="display:inherit;clear:left;"&gt;50 pe&lt;span class="_ _7"&gt;&lt;/span&gt;r ce&lt;span class="_ _7"&gt;&lt;/span&gt;nt or m&lt;span class="_ _7"&gt;&lt;/span&gt;or&lt;span class="_ _7"&gt;&lt;/span&gt;e, ar&lt;span class="_ _7"&gt;&lt;/span&gt;e co&lt;span class="_ _7"&gt;&lt;/span&gt;ns&lt;span class="_ _7"&gt;&lt;/span&gt;o&lt;span class="_ _7"&gt;&lt;/span&gt;lid&lt;span class="_ _7"&gt;&lt;/span&gt;ate&lt;span class="_ _7"&gt;&lt;/span&gt;d, s&lt;span class="_ _7"&gt;&lt;/span&gt;e&lt;span class="_ _7"&gt;&lt;/span&gt;e Note 8 – P&lt;span class="_ _7"&gt;&lt;/span&gt;ar&lt;span class="_ _7"&gt;&lt;/span&gt;ti&lt;span class="_ _7"&gt;&lt;/span&gt;ci&lt;span class="_ _7"&gt;&lt;/span&gt;pat&lt;span class="_ _7"&gt;&lt;/span&gt;io&lt;span class="_ _7"&gt;&lt;/span&gt;n in &lt;/span&gt;&lt;span style="display:inherit;clear:left;"&gt;subsidiaries (Parent&lt;span class="_ _2"&gt;&lt;/span&gt; Company)&lt;span class="_ _2"&gt;&lt;/span&gt;. Subsidiaries are full&lt;span class="_ _2"&gt;&lt;/span&gt;y consolidated &lt;/span&gt;&lt;span style="display:inherit;clear:left;"&gt;fr&lt;span class="_ _7"&gt;&lt;/span&gt;om th&lt;span class="_ _7"&gt;&lt;/span&gt;e da&lt;span class="_ _7"&gt;&lt;/span&gt;te on w&lt;span class="_ _7"&gt;&lt;/span&gt;hic&lt;span class="_ _7"&gt;&lt;/span&gt;h co&lt;span class="_ _7"&gt;&lt;/span&gt;ntr&lt;span class="_ _7"&gt;&lt;/span&gt;ol i&lt;span class="_ _7"&gt;&lt;/span&gt;s tr&lt;span class="_ _7"&gt;&lt;/span&gt;an&lt;span class="_ _7"&gt;&lt;/span&gt;sf&lt;span class="_ _7"&gt;&lt;/span&gt;er&lt;span class="_ _7"&gt;&lt;/span&gt;re&lt;span class="_ _7"&gt;&lt;/span&gt;d to Volvo Ca&lt;span class="_ _7"&gt;&lt;/span&gt;r Gr&lt;span class="_ _7"&gt;&lt;/span&gt;oup&lt;span class="_ _7"&gt;&lt;/span&gt;. &lt;/span&gt;&lt;span style="display:inherit;clear:left;"&gt;Th&lt;span class="_ _7"&gt;&lt;/span&gt;ey are d&lt;span class="_ _7"&gt;&lt;/span&gt;ec&lt;span class="_ _7"&gt;&lt;/span&gt;on&lt;span class="_ _7"&gt;&lt;/span&gt;s&lt;span class="_ _7"&gt;&lt;/span&gt;oli&lt;span class="_ _7"&gt;&lt;/span&gt;da&lt;span class="_ _7"&gt;&lt;/span&gt;ted f&lt;span class="_ _7"&gt;&lt;/span&gt;ro&lt;span class="_ _7"&gt;&lt;/span&gt;m th&lt;span class="_ _7"&gt;&lt;/span&gt;e date t&lt;span class="_ _7"&gt;&lt;/span&gt;ha&lt;span class="_ _7"&gt;&lt;/span&gt;t con&lt;span class="_ _7"&gt;&lt;/span&gt;tro&lt;span class="_ _7"&gt;&lt;/span&gt;l ce&lt;span class="_ _7"&gt;&lt;/span&gt;as&lt;span class="_ _7"&gt;&lt;/span&gt;e&lt;span class="_ _7"&gt;&lt;/span&gt;s&lt;span class="_ _7"&gt;&lt;/span&gt;. Whe&lt;span class="_ _7"&gt;&lt;/span&gt;n &lt;/span&gt;&lt;span style="display:inherit;clear:left;"&gt;a sub&lt;span class="_ _7"&gt;&lt;/span&gt;s&lt;span class="_ _7"&gt;&lt;/span&gt;idi&lt;span class="_ _7"&gt;&lt;/span&gt;ar&lt;span class="_ _7"&gt;&lt;/span&gt;y i&lt;span class="_ _7"&gt;&lt;/span&gt;s no&lt;span class="_ _7"&gt;&lt;/span&gt;t wh&lt;span class="_ _7"&gt;&lt;/span&gt;ol&lt;span class="_ _7"&gt;&lt;/span&gt;ly-own&lt;span class="_ _7"&gt;&lt;/span&gt;ed by Volvo C&lt;span class="_ _7"&gt;&lt;/span&gt;ar G&lt;span class="_ _7"&gt;&lt;/span&gt;ro&lt;span class="_ _7"&gt;&lt;/span&gt;up, t&lt;span class="_ _7"&gt;&lt;/span&gt;he p&lt;span class="_ _7"&gt;&lt;/span&gt;or&lt;span class="_ _7"&gt;&lt;/span&gt;ti&lt;span class="_ _7"&gt;&lt;/span&gt;on o&lt;span class="_ _7"&gt;&lt;/span&gt;f &lt;/span&gt;&lt;span style="display:inherit;clear:left;"&gt;the r&lt;span class="_ _7"&gt;&lt;/span&gt;es&lt;span class="_ _7"&gt;&lt;/span&gt;ult&lt;span class="_ _7"&gt;&lt;/span&gt;s an&lt;span class="_ _7"&gt;&lt;/span&gt;d eq&lt;span class="_ _7"&gt;&lt;/span&gt;ui&lt;span class="_ _7"&gt;&lt;/span&gt;t&lt;span class="_ _7"&gt;&lt;/span&gt;y at&lt;span class="_ _7"&gt;&lt;/span&gt;tr&lt;span class="_ _7"&gt;&lt;/span&gt;ibu&lt;span class="_ _7"&gt;&lt;/span&gt;ta&lt;span class="_ _7"&gt;&lt;/span&gt;bl&lt;span class="_ _7"&gt;&lt;/span&gt;e to the n&lt;span class="_ _7"&gt;&lt;/span&gt;on-c&lt;span class="_ _7"&gt;&lt;/span&gt;ont&lt;span class="_ _7"&gt;&lt;/span&gt;ro&lt;span class="_ _7"&gt;&lt;/span&gt;lli&lt;span class="_ _7"&gt;&lt;/span&gt;ng in&lt;span class="_ _7"&gt;&lt;/span&gt;ter&lt;span class="_ _7"&gt;&lt;/span&gt;es&lt;span class="_ _7"&gt;&lt;/span&gt;t &lt;/span&gt;&lt;span style="display:inherit;clear:left;"&gt;are p&lt;span class="_ _7"&gt;&lt;/span&gt;re&lt;span class="_ _7"&gt;&lt;/span&gt;s&lt;span class="_ _7"&gt;&lt;/span&gt;ente&lt;span class="_ _7"&gt;&lt;/span&gt;d s&lt;span class="_ _7"&gt;&lt;/span&gt;ep&lt;span class="_ _7"&gt;&lt;/span&gt;ar&lt;span class="_ _7"&gt;&lt;/span&gt;ate&lt;span class="_ _7"&gt;&lt;/span&gt;ly in th&lt;span class="_ _7"&gt;&lt;/span&gt;e f&lt;span class="_ _7"&gt;&lt;/span&gt;ina&lt;span class="_ _7"&gt;&lt;/span&gt;nci&lt;span class="_ _7"&gt;&lt;/span&gt;al s&lt;span class="_ _7"&gt;&lt;/span&gt;t&lt;span class="_ _7"&gt;&lt;/span&gt;ate&lt;span class="_ _7"&gt;&lt;/span&gt;men&lt;span class="_ _7"&gt;&lt;/span&gt;ts&lt;span class="_ _7"&gt;&lt;/span&gt;.&lt;/span&gt;&lt;span style="display:inherit;clear:left;"&gt;Foreig&lt;span class="_ _7"&gt;&lt;/span&gt;n cur&lt;span class="_ _7"&gt;&lt;/span&gt;ren&lt;span class="_ _7"&gt;&lt;/span&gt;cy&lt;/span&gt;&lt;span style="display:inherit;clear:left;"&gt;Th&lt;span class="_ _7"&gt;&lt;/span&gt;e Gro&lt;span class="_ _7"&gt;&lt;/span&gt;up’s Co&lt;span class="_ _7"&gt;&lt;/span&gt;ns&lt;span class="_ _7"&gt;&lt;/span&gt;ol&lt;span class="_ _7"&gt;&lt;/span&gt;id&lt;span class="_ _7"&gt;&lt;/span&gt;ate&lt;span class="_ _7"&gt;&lt;/span&gt;d Fin&lt;span class="_ _7"&gt;&lt;/span&gt;an&lt;span class="_ _7"&gt;&lt;/span&gt;ci&lt;span class="_ _7"&gt;&lt;/span&gt;al St&lt;span class="_ _7"&gt;&lt;/span&gt;ate&lt;span class="_ _7"&gt;&lt;/span&gt;me&lt;span class="_ _7"&gt;&lt;/span&gt;nt&lt;span class="_ _7"&gt;&lt;/span&gt;s are p&lt;span class="_ _7"&gt;&lt;/span&gt;re&lt;span class="_ _7"&gt;&lt;/span&gt;s&lt;span class="_ _7"&gt;&lt;/span&gt;ente&lt;span class="_ _7"&gt;&lt;/span&gt;d in &lt;/span&gt;&lt;span style="display:inherit;clear:left;"&gt;Swe&lt;span class="_ _7"&gt;&lt;/span&gt;di&lt;span class="_ _7"&gt;&lt;/span&gt;sh K&lt;span class="_ _7"&gt;&lt;/span&gt;ro&lt;span class="_ _7"&gt;&lt;/span&gt;na (SEK&lt;span class="_ _7"&gt;&lt;/span&gt;), whi&lt;span class="_ _7"&gt;&lt;/span&gt;ch is a&lt;span class="_ _7"&gt;&lt;/span&gt;l&lt;span class="_ _7"&gt;&lt;/span&gt;so t&lt;span class="_ _7"&gt;&lt;/span&gt;he Pa&lt;span class="_ _7"&gt;&lt;/span&gt;re&lt;span class="_ _7"&gt;&lt;/span&gt;nt Co&lt;span class="_ _7"&gt;&lt;/span&gt;mp&lt;span class="_ _7"&gt;&lt;/span&gt;any&lt;span class="_ _7"&gt;&lt;/span&gt;’s fu&lt;span class="_ _7"&gt;&lt;/span&gt;nc&lt;span class="_ _7"&gt;&lt;/span&gt;tio&lt;span class="_ _7"&gt;&lt;/span&gt;na&lt;span class="_ _7"&gt;&lt;/span&gt;l &lt;/span&gt;&lt;span style="display:inherit;clear:left;"&gt;c&lt;span class="_ _7"&gt;&lt;/span&gt;u&lt;span class="_ _7"&gt;&lt;/span&gt;r&lt;span class="_ _7"&gt;&lt;/span&gt;r&lt;span class="_ _7"&gt;&lt;/span&gt;e&lt;span class="_ _7"&gt;&lt;/span&gt;n&lt;span class="_ _7"&gt;&lt;/span&gt;c&lt;span class="_ _7"&gt;&lt;/span&gt;y.&lt;span class="_ _7"&gt;&lt;/span&gt; &lt;/span&gt;&lt;span style="display:inherit;clear:left;"&gt;Asset&lt;span class="_ _7"&gt;&lt;/span&gt;s and&lt;span class="_ _2"&gt;&lt;/span&gt; liabilities denominated&lt;span class="_ _2"&gt;&lt;/span&gt; in foreign currenc&lt;span class="_ _2"&gt;&lt;/span&gt;ie&lt;span class="_ _7"&gt;&lt;/span&gt;s other&lt;span class="_ _2"&gt;&lt;/span&gt; &lt;/span&gt;&lt;span style="display:inherit;clear:left;"&gt;tha&lt;span class="_ _7"&gt;&lt;/span&gt;n the f&lt;span class="_ _7"&gt;&lt;/span&gt;un&lt;span class="_ _7"&gt;&lt;/span&gt;ct&lt;span class="_ _7"&gt;&lt;/span&gt;io&lt;span class="_ _7"&gt;&lt;/span&gt;na&lt;span class="_ _7"&gt;&lt;/span&gt;l cur&lt;span class="_ _7"&gt;&lt;/span&gt;re&lt;span class="_ _7"&gt;&lt;/span&gt;ncy a&lt;span class="_ _7"&gt;&lt;/span&gt;re tr&lt;span class="_ _7"&gt;&lt;/span&gt;an&lt;span class="_ _7"&gt;&lt;/span&gt;s&lt;span class="_ _7"&gt;&lt;/span&gt;lat&lt;span class="_ _7"&gt;&lt;/span&gt;ed to t&lt;span class="_ _7"&gt;&lt;/span&gt;he f&lt;span class="_ _7"&gt;&lt;/span&gt;un&lt;span class="_ _7"&gt;&lt;/span&gt;cti&lt;span class="_ _7"&gt;&lt;/span&gt;on&lt;span class="_ _7"&gt;&lt;/span&gt;al  &lt;/span&gt;&lt;span style="display:inherit;clear:left;"&gt;cur&lt;span class="_ _7"&gt;&lt;/span&gt;re&lt;span class="_ _7"&gt;&lt;/span&gt;ncy u&lt;span class="_ _7"&gt;&lt;/span&gt;si&lt;span class="_ _7"&gt;&lt;/span&gt;ng th&lt;span class="_ _7"&gt;&lt;/span&gt;e ba&lt;span class="_ _7"&gt;&lt;/span&gt;la&lt;span class="_ _7"&gt;&lt;/span&gt;nc&lt;span class="_ _7"&gt;&lt;/span&gt;e sh&lt;span class="_ _7"&gt;&lt;/span&gt;ee&lt;span class="_ _7"&gt;&lt;/span&gt;t clo&lt;span class="_ _7"&gt;&lt;/span&gt;si&lt;span class="_ _7"&gt;&lt;/span&gt;ng r&lt;span class="_ _7"&gt;&lt;/span&gt;ate. E&lt;span class="_ _7"&gt;&lt;/span&gt;xch&lt;span class="_ _7"&gt;&lt;/span&gt;an&lt;span class="_ _7"&gt;&lt;/span&gt;ge r&lt;span class="_ _7"&gt;&lt;/span&gt;ate di&lt;span class="_ _7"&gt;&lt;/span&gt;f&lt;span class="_ _7"&gt;&lt;/span&gt;f&lt;span class="_ _7"&gt;&lt;/span&gt;er-&lt;/span&gt;&lt;span style="display:inherit;clear:left;"&gt;en&lt;span class="_ _7"&gt;&lt;/span&gt;ce&lt;span class="_ _7"&gt;&lt;/span&gt;s are r&lt;span class="_ _7"&gt;&lt;/span&gt;ec&lt;span class="_ _7"&gt;&lt;/span&gt;og&lt;span class="_ _7"&gt;&lt;/span&gt;ni&lt;span class="_ _7"&gt;&lt;/span&gt;se&lt;span class="_ _7"&gt;&lt;/span&gt;d in th&lt;span class="_ _7"&gt;&lt;/span&gt;e in&lt;span class="_ _7"&gt;&lt;/span&gt;co&lt;span class="_ _7"&gt;&lt;/span&gt;me s&lt;span class="_ _7"&gt;&lt;/span&gt;ta&lt;span class="_ _7"&gt;&lt;/span&gt;tem&lt;span class="_ _7"&gt;&lt;/span&gt;en&lt;span class="_ _7"&gt;&lt;/span&gt;t. &lt;/span&gt;&lt;span style="display:inherit;clear:left;"&gt;Exc&lt;span class="_ _7"&gt;&lt;/span&gt;ha&lt;span class="_ _7"&gt;&lt;/span&gt;nge r&lt;span class="_ _7"&gt;&lt;/span&gt;ate d&lt;span class="_ _7"&gt;&lt;/span&gt;if&lt;span class="_ _9"&gt;&lt;/span&gt;fer&lt;span class="_ _7"&gt;&lt;/span&gt;enc&lt;span class="_ _7"&gt;&lt;/span&gt;e&lt;span class="_ _7"&gt;&lt;/span&gt;s on op&lt;span class="_ _7"&gt;&lt;/span&gt;er&lt;span class="_ _7"&gt;&lt;/span&gt;at&lt;span class="_ _7"&gt;&lt;/span&gt;ing a&lt;span class="_ _7"&gt;&lt;/span&gt;s&lt;span class="_ _7"&gt;&lt;/span&gt;se&lt;span class="_ _7"&gt;&lt;/span&gt;ts a&lt;span class="_ _7"&gt;&lt;/span&gt;nd l&lt;span class="_ _7"&gt;&lt;/span&gt;iab&lt;span class="_ _7"&gt;&lt;/span&gt;il&lt;span class="_ _7"&gt;&lt;/span&gt;iti&lt;span class="_ _7"&gt;&lt;/span&gt;es a&lt;span class="_ _7"&gt;&lt;/span&gt;re &lt;/span&gt;&lt;span style="display:inherit;clear:left;"&gt;re&lt;span class="_ _7"&gt;&lt;/span&gt;cog&lt;span class="_ _7"&gt;&lt;/span&gt;ni&lt;span class="_ _7"&gt;&lt;/span&gt;s&lt;span class="_ _7"&gt;&lt;/span&gt;ed in o&lt;span class="_ _7"&gt;&lt;/span&gt;the&lt;span class="_ _7"&gt;&lt;/span&gt;r op&lt;span class="_ _7"&gt;&lt;/span&gt;er&lt;span class="_ _7"&gt;&lt;/span&gt;at&lt;span class="_ _7"&gt;&lt;/span&gt;ing i&lt;span class="_ _7"&gt;&lt;/span&gt;nco&lt;span class="_ _7"&gt;&lt;/span&gt;me a&lt;span class="_ _7"&gt;&lt;/span&gt;nd ex&lt;span class="_ _7"&gt;&lt;/span&gt;pe&lt;span class="_ _7"&gt;&lt;/span&gt;ns&lt;span class="_ _7"&gt;&lt;/span&gt;e&lt;span class="_ _7"&gt;&lt;/span&gt;s&lt;span class="_ _7"&gt;&lt;/span&gt;, whi&lt;span class="_ _7"&gt;&lt;/span&gt;le exch&lt;span class="_ _7"&gt;&lt;/span&gt;ang&lt;span class="_ _7"&gt;&lt;/span&gt;e &lt;/span&gt;&lt;span style="display:inherit;clear:left;"&gt;ra&lt;span class="_ _7"&gt;&lt;/span&gt;te di&lt;span class="_ _7"&gt;&lt;/span&gt;f&lt;span class="_ _7"&gt;&lt;/span&gt;fe&lt;span class="_ _7"&gt;&lt;/span&gt;re&lt;span class="_ _7"&gt;&lt;/span&gt;nc&lt;span class="_ _7"&gt;&lt;/span&gt;es a&lt;span class="_ _7"&gt;&lt;/span&gt;ri&lt;span class="_ _7"&gt;&lt;/span&gt;sin&lt;span class="_ _7"&gt;&lt;/span&gt;g on f&lt;span class="_ _7"&gt;&lt;/span&gt;in&lt;span class="_ _7"&gt;&lt;/span&gt;an&lt;span class="_ _7"&gt;&lt;/span&gt;cia&lt;span class="_ _7"&gt;&lt;/span&gt;l as&lt;span class="_ _7"&gt;&lt;/span&gt;s&lt;span class="_ _7"&gt;&lt;/span&gt;et&lt;span class="_ _7"&gt;&lt;/span&gt;s an&lt;span class="_ _7"&gt;&lt;/span&gt;d lia&lt;span class="_ _7"&gt;&lt;/span&gt;bi&lt;span class="_ _7"&gt;&lt;/span&gt;lit&lt;span class="_ _7"&gt;&lt;/span&gt;ie&lt;span class="_ _7"&gt;&lt;/span&gt;s are r&lt;span class="_ _7"&gt;&lt;/span&gt;ec&lt;span class="_ _7"&gt;&lt;/span&gt;og-&lt;/span&gt;&lt;span style="display:inherit;clear:left;"&gt;nis&lt;span class="_ _7"&gt;&lt;/span&gt;e&lt;span class="_ _7"&gt;&lt;/span&gt;d in f&lt;span class="_ _7"&gt;&lt;/span&gt;in&lt;span class="_ _7"&gt;&lt;/span&gt;anc&lt;span class="_ _7"&gt;&lt;/span&gt;ia&lt;span class="_ _7"&gt;&lt;/span&gt;l inc&lt;span class="_ _7"&gt;&lt;/span&gt;om&lt;span class="_ _7"&gt;&lt;/span&gt;e an&lt;span class="_ _7"&gt;&lt;/span&gt;d exp&lt;span class="_ _7"&gt;&lt;/span&gt;en&lt;span class="_ _7"&gt;&lt;/span&gt;s&lt;span class="_ _7"&gt;&lt;/span&gt;es&lt;span class="_ _7"&gt;&lt;/span&gt;. &lt;/span&gt;&lt;span style="display:inherit;clear:left;"&gt;When preparing&lt;span class="_ _2"&gt;&lt;/span&gt; the consolidated financial&lt;span class="_ _2"&gt;&lt;/span&gt; statements, items in &lt;/span&gt;&lt;span style="display:inherit;clear:left;"&gt;the i&lt;span class="_ _7"&gt;&lt;/span&gt;nc&lt;span class="_ _7"&gt;&lt;/span&gt;om&lt;span class="_ _7"&gt;&lt;/span&gt;e st&lt;span class="_ _7"&gt;&lt;/span&gt;ate&lt;span class="_ _7"&gt;&lt;/span&gt;me&lt;span class="_ _7"&gt;&lt;/span&gt;nt&lt;span class="_ _7"&gt;&lt;/span&gt;s of fo&lt;span class="_ _7"&gt;&lt;/span&gt;re&lt;span class="_ _7"&gt;&lt;/span&gt;ig&lt;span class="_ _7"&gt;&lt;/span&gt;n sub&lt;span class="_ _7"&gt;&lt;/span&gt;s&lt;span class="_ _7"&gt;&lt;/span&gt;idi&lt;span class="_ _7"&gt;&lt;/span&gt;ar&lt;span class="_ _7"&gt;&lt;/span&gt;ie&lt;span class="_ _7"&gt;&lt;/span&gt;s ar&lt;span class="_ _7"&gt;&lt;/span&gt;e tr&lt;span class="_ _7"&gt;&lt;/span&gt;ans&lt;span class="_ _7"&gt;&lt;/span&gt;l&lt;span class="_ _7"&gt;&lt;/span&gt;ate&lt;span class="_ _7"&gt;&lt;/span&gt;d to SEK &lt;/span&gt;&lt;span style="display:inherit;clear:left;"&gt;us&lt;span class="_ _7"&gt;&lt;/span&gt;ing m&lt;span class="_ _7"&gt;&lt;/span&gt;ont&lt;span class="_ _7"&gt;&lt;/span&gt;hly av&lt;span class="_ _7"&gt;&lt;/span&gt;er&lt;span class="_ _7"&gt;&lt;/span&gt;age exc&lt;span class="_ _7"&gt;&lt;/span&gt;han&lt;span class="_ _7"&gt;&lt;/span&gt;ge r&lt;span class="_ _7"&gt;&lt;/span&gt;ate&lt;span class="_ _7"&gt;&lt;/span&gt;s&lt;span class="_ _7"&gt;&lt;/span&gt;. Ba&lt;span class="_ _7"&gt;&lt;/span&gt;la&lt;span class="_ _7"&gt;&lt;/span&gt;nc&lt;span class="_ _7"&gt;&lt;/span&gt;e sh&lt;span class="_ _7"&gt;&lt;/span&gt;ee&lt;span class="_ _7"&gt;&lt;/span&gt;t ite&lt;span class="_ _7"&gt;&lt;/span&gt;ms ar&lt;span class="_ _7"&gt;&lt;/span&gt;e &lt;/span&gt;&lt;span style="display:inherit;clear:left;"&gt;tr&lt;span class="_ _7"&gt;&lt;/span&gt;ans&lt;span class="_ _7"&gt;&lt;/span&gt;l&lt;span class="_ _7"&gt;&lt;/span&gt;ate&lt;span class="_ _7"&gt;&lt;/span&gt;d into S&lt;span class="_ _7"&gt;&lt;/span&gt;EK us&lt;span class="_ _7"&gt;&lt;/span&gt;ing exc&lt;span class="_ _7"&gt;&lt;/span&gt;ha&lt;span class="_ _7"&gt;&lt;/span&gt;nge r&lt;span class="_ _7"&gt;&lt;/span&gt;ate&lt;span class="_ _7"&gt;&lt;/span&gt;s at ye&lt;span class="_ _7"&gt;&lt;/span&gt;ar-end (clo&lt;span class="_ _7"&gt;&lt;/span&gt;si&lt;span class="_ _7"&gt;&lt;/span&gt;ng ra&lt;span class="_ _7"&gt;&lt;/span&gt;te). &lt;/span&gt;&lt;span style="display:inherit;clear:left;"&gt;Exc&lt;span class="_ _7"&gt;&lt;/span&gt;ha&lt;span class="_ _7"&gt;&lt;/span&gt;nge r&lt;span class="_ _7"&gt;&lt;/span&gt;ate d&lt;span class="_ _7"&gt;&lt;/span&gt;if&lt;span class="_ _9"&gt;&lt;/span&gt;fer&lt;span class="_ _7"&gt;&lt;/span&gt;enc&lt;span class="_ _7"&gt;&lt;/span&gt;e&lt;span class="_ _7"&gt;&lt;/span&gt;s ari&lt;span class="_ _7"&gt;&lt;/span&gt;si&lt;span class="_ _7"&gt;&lt;/span&gt;ng o&lt;span class="_ _7"&gt;&lt;/span&gt;n tra&lt;span class="_ _7"&gt;&lt;/span&gt;ns&lt;span class="_ _7"&gt;&lt;/span&gt;l&lt;span class="_ _7"&gt;&lt;/span&gt;ati&lt;span class="_ _7"&gt;&lt;/span&gt;on ar&lt;span class="_ _7"&gt;&lt;/span&gt;e re&lt;span class="_ _7"&gt;&lt;/span&gt;cog&lt;span class="_ _7"&gt;&lt;/span&gt;ni&lt;span class="_ _7"&gt;&lt;/span&gt;s&lt;span class="_ _7"&gt;&lt;/span&gt;ed i&lt;span class="_ _7"&gt;&lt;/span&gt;n &lt;/span&gt;&lt;span style="display:inherit;clear:left;"&gt;other comprehensive&lt;span class="_ _2"&gt;&lt;/span&gt; income and accu&lt;span class="_ _2"&gt;&lt;/span&gt;mulated in equity&lt;span class="_ _2"&gt;&lt;/span&gt;. The accu&lt;span class="_ _2"&gt;&lt;/span&gt;&lt;span class="ls3 ws3"&gt;-&lt;/span&gt;&lt;/span&gt;&lt;span style="display:inherit;clear:left;"&gt;mulated translation&lt;span class="_ _2"&gt;&lt;/span&gt; dif&lt;span class="_ _7"&gt;&lt;/span&gt;ferences related to&lt;span class="_ _2"&gt;&lt;/span&gt; subsidiarie&lt;span class="_ _7"&gt;&lt;/span&gt;s, joint v&lt;span class="_ _2"&gt;&lt;/span&gt;en&lt;span class="ls3 ws3"&gt;-&lt;/span&gt;&lt;/span&gt;&lt;span style="display:inherit;clear:left;"&gt;tur&lt;span class="_ _7"&gt;&lt;/span&gt;es o&lt;span class="_ _7"&gt;&lt;/span&gt;r as&lt;span class="_ _7"&gt;&lt;/span&gt;s&lt;span class="_ _7"&gt;&lt;/span&gt;o&lt;span class="_ _7"&gt;&lt;/span&gt;cia&lt;span class="_ _7"&gt;&lt;/span&gt;tes a&lt;span class="_ _7"&gt;&lt;/span&gt;re r&lt;span class="_ _7"&gt;&lt;/span&gt;ever&lt;span class="_ _7"&gt;&lt;/span&gt;s&lt;span class="_ _7"&gt;&lt;/span&gt;ed t&lt;span class="_ _7"&gt;&lt;/span&gt;o the i&lt;span class="_ _7"&gt;&lt;/span&gt;nc&lt;span class="_ _7"&gt;&lt;/span&gt;om&lt;span class="_ _7"&gt;&lt;/span&gt;e st&lt;span class="_ _7"&gt;&lt;/span&gt;ate&lt;span class="_ _7"&gt;&lt;/span&gt;me&lt;span class="_ _7"&gt;&lt;/span&gt;nt as a p&lt;span class="_ _7"&gt;&lt;/span&gt;ar&lt;span class="_ _7"&gt;&lt;/span&gt;t &lt;/span&gt;&lt;span style="display:inherit;clear:left;"&gt;of th&lt;span class="_ _7"&gt;&lt;/span&gt;e ga&lt;span class="_ _7"&gt;&lt;/span&gt;in/&lt;span class="_ _7"&gt;&lt;/span&gt;lo&lt;span class="_ _7"&gt;&lt;/span&gt;s&lt;span class="_ _7"&gt;&lt;/span&gt;s ar&lt;span class="_ _7"&gt;&lt;/span&gt;is&lt;span class="_ _7"&gt;&lt;/span&gt;ing f&lt;span class="_ _7"&gt;&lt;/span&gt;ro&lt;span class="_ _7"&gt;&lt;/span&gt;m di&lt;span class="_ _7"&gt;&lt;/span&gt;sp&lt;span class="_ _7"&gt;&lt;/span&gt;os&lt;span class="_ _7"&gt;&lt;/span&gt;a&lt;span class="_ _7"&gt;&lt;/span&gt;l of s&lt;span class="_ _7"&gt;&lt;/span&gt;uch a c&lt;span class="_ _7"&gt;&lt;/span&gt;om&lt;span class="_ _7"&gt;&lt;/span&gt;pa&lt;span class="_ _7"&gt;&lt;/span&gt;ny.&lt;/span&gt;&lt;span style="display:inherit;clear:left;position:relative;height:131.970703125px;"&gt;&lt;span class="pp-font-color-override-1" style="position: absolute; display: inline-block; left: 0px; top: 0.0078125px; width: 295.764px; white-space: pre; word-spacing: 0px; letter-spacing: 0px; margin-left: 0px; font-size: 10.95px; font-family: ff6c; -webkit-text-stroke: 0.16425px rgba(0, 0, 0, 0);"&gt;&lt;span style="display: inline-block;"&gt;Th&lt;/span&gt;&lt;span style="word-spacing: 0px; letter-spacing: 0px; display: inline-block; margin-left: 0px; width: 0.410156px; font-size: 10.95px; font-family: ff6c; -webkit-text-stroke: 0.16425px rgba(0, 0, 0, 0);"&gt;&lt;/span&gt;&lt;span style="display: inline-block;"&gt;e mai&lt;/span&gt;&lt;span style="word-spacing: 0px; letter-spacing: 0px; display: inline-block; margin-left: 0px; width: 0.410156px; font-size: 10.95px; font-family: ff6c; -webkit-text-stroke: 0.16425px rgba(0, 0, 0, 0);"&gt;&lt;/span&gt;&lt;span style="display: inline-block;"&gt;n exch&lt;/span&gt;&lt;span style="word-spacing: 0px; letter-spacing: 0px; display: inline-block; margin-left: 0px; width: 0.410156px; font-size: 10.95px; font-family: ff6c; -webkit-text-stroke: 0.16425px rgba(0, 0, 0, 0);"&gt;&lt;/span&gt;&lt;span style="display: inline-block;"&gt;ang&lt;/span&gt;&lt;span style="word-spacing: 0px; letter-spacing: 0px; display: inline-block; margin-left: 0px; width: 0.410156px; font-size: 10.95px; font-family: ff6c; -webkit-text-stroke: 0.16425px rgba(0, 0, 0, 0);"&gt;&lt;/span&gt;&lt;span style="display: inline-block;"&gt;e ra&lt;/span&gt;&lt;span style="word-spacing: 0px; letter-spacing: 0px; display: inline-block; margin-left: 0px; width: 0.410156px; font-size: 10.95px; font-family: ff6c; -webkit-text-stroke: 0.16425px rgba(0, 0, 0, 0);"&gt;&lt;/span&gt;&lt;span style="display: inline-block;"&gt;tes a&lt;/span&gt;&lt;span style="word-spacing: 0px; letter-spacing: 0px; display: inline-block; margin-left: 0px; width: 0.410156px; font-size: 10.95px; font-family: ff6c; -webkit-text-stroke: 0.16425px rgba(0, 0, 0, 0);"&gt;&lt;/span&gt;&lt;span style="display: inline-block;"&gt;pp&lt;/span&gt;&lt;span style="word-spacing: 0px; letter-spacing: 0px; display: inline-block; margin-left: 0px; width: 0.410156px; font-size: 10.95px; font-family: ff6c; -webkit-text-stroke: 0.16425px rgba(0, 0, 0, 0);"&gt;&lt;/span&gt;&lt;span style="display: inline-block;"&gt;lie&lt;/span&gt;&lt;span style="word-spacing: 0px; letter-spacing: 0px; display: inline-block; margin-left: 0px; width: 0.410156px; font-size: 10.95px; font-family: ff6c; -webkit-text-stroke: 0.16425px rgba(0, 0, 0, 0);"&gt;&lt;/span&gt;&lt;span style="display: inline-block;"&gt;d ar&lt;/span&gt;&lt;span style="word-spacing: 0px; letter-spacing: 0px; display: inline-block; margin-left: 0px; width: 0.410156px; font-size: 10.95px; font-family: ff6c; -webkit-text-stroke: 0.16425px rgba(0, 0, 0, 0);"&gt;&lt;/span&gt;&lt;span style="display: inline-block;"&gt;e pr&lt;/span&gt;&lt;span style="word-spacing: 0px; letter-spacing: 0px; display: inline-block; margin-left: 0px; width: 0.410156px; font-size: 10.95px; font-family: ff6c; -webkit-text-stroke: 0.16425px rgba(0, 0, 0, 0);"&gt;&lt;/span&gt;&lt;span style="display: inline-block;"&gt;es&lt;/span&gt;&lt;span style="word-spacing: 0px; letter-spacing: 0px; display: inline-block; margin-left: 0px; width: 0.410156px; font-size: 10.95px; font-family: ff6c; -webkit-text-stroke: 0.16425px rgba(0, 0, 0, 0);"&gt;&lt;/span&gt;&lt;span style="display: inline-block;"&gt;en&lt;/span&gt;&lt;span style="word-spacing: 0px; letter-spacing: 0px; display: inline-block; margin-left: 0px; width: 0.410156px; font-size: 10.95px; font-family: ff6c; -webkit-text-stroke: 0.16425px rgba(0, 0, 0, 0);"&gt;&lt;/span&gt;&lt;span style="display: inline-block;"&gt;ted i&lt;/span&gt;&lt;span style="word-spacing: 0px; letter-spacing: 0px; display: inline-block; margin-left: 0px; width: 0.410156px; font-size: 10.95px; font-family: ff6c; -webkit-text-stroke: 0.16425px rgba(0, 0, 0, 0);"&gt;&lt;/span&gt;&lt;span style="display: inline-block;"&gt;n the t&lt;/span&gt;&lt;span style="word-spacing: 0px; letter-spacing: 0px; display: inline-block; margin-left: 0px; width: 0.410156px; font-size: 10.95px; font-family: ff6c; -webkit-text-stroke: 0.16425px rgba(0, 0, 0, 0);"&gt;&lt;/span&gt;&lt;span style="display: inline-block;"&gt;ab&lt;/span&gt;&lt;span style="word-spacing: 0px; letter-spacing: 0px; display: inline-block; margin-left: 0px; width: 0.410156px; font-size: 10.95px; font-family: ff6c; -webkit-text-stroke: 0.16425px rgba(0, 0, 0, 0);"&gt;&lt;/span&gt;&lt;span style="display: inline-block;"&gt;le b&lt;/span&gt;&lt;span style="word-spacing: 0px; letter-spacing: 0px; display: inline-block; margin-left: 0px; width: 0.410156px; font-size: 10.95px; font-family: ff6c; -webkit-text-stroke: 0.16425px rgba(0, 0, 0, 0);"&gt;&lt;/span&gt;&lt;span style="display: inline-block;"&gt;elo&lt;/span&gt;&lt;span style="word-spacing: 0px; letter-spacing: 0px; display: inline-block; margin-left: 0px; width: 0.410156px; font-size: 10.95px; font-family: ff6c; -webkit-text-stroke: 0.16425px rgba(0, 0, 0, 0);"&gt;&lt;/span&gt;&lt;span style="display: inline-block;"&gt;w:&lt;/span&gt;&lt;/span&gt;&lt;span class="pp-font-color-override-1" style="position: absolute; display: inline-block; left: 181.812px; top: 18.7168px; width: 130.611px; white-space: pre; word-spacing: -0.1152px; letter-spacing: 0.1152px; margin-left: 0px; font-size: 9.6px; font-family: ff6f; -webkit-text-stroke: 0.144px rgba(0, 0, 0, 0);"&gt;&lt;span style="display: inline-block;"&gt;Average rate&lt;/span&gt;&lt;span style="word-spacing: -0.1152px; letter-spacing: 0.1152px; display: inline-block; margin-left: 0px; width: 40.5469px; font-size: 9.6px; font-family: ff6f; -webkit-text-stroke: 0.144px rgba(0, 0, 0, 0);"&gt;&lt;span style="display: inline-block;"&gt; &lt;/span&gt;&lt;/span&gt;&lt;span class="pp-font-color-override-1" style="word-spacing: -0.2496px; letter-spacing: 0.2496px; display: inline-block; margin-left: 0px; font-size: 9.6px; font-family: ff6f; -webkit-text-stroke: 0.144px rgba(0, 0, 0, 0);"&gt;&lt;span style="display: inline-block;"&gt;Close&lt;/span&gt;&lt;span style="word-spacing: -0.2496px; letter-spacing: 0.2496px; display: inline-block; margin-left: -0.684px; width: 0px; font-size: 9.6px; font-family: ff6f; -webkit-text-stroke: 0.144px rgba(0, 0, 0, 0);"&gt;&lt;/span&gt;&lt;span style="display: inline-block;"&gt; rate&lt;/span&gt;&lt;/span&gt;&lt;/span&gt;&lt;span class="pp-font-color-override-1" style="position: absolute; display: inline-block; left: 1.28125px; top: 33.2852px; width: 83.1445px; white-space: pre; word-spacing: -0.1824px; letter-spacing: 0.1824px; margin-left: 0px; font-size: 9.6px; font-family: ff6f; -webkit-text-stroke: 0.144px rgba(0, 0, 0, 0);"&gt;&lt;span style="display: inline-block;"&gt;Country&lt;/span&gt;&lt;span style="word-spacing: -0.1824px; letter-spacing: 0.1824px; display: inline-block; margin-left: 0px; width: 50.4082px; font-size: 9.6px; font-family: ff6f; -webkit-text-stroke: 0.144px rgba(0, 0, 0, 0);"&gt;&lt;span style="display: inline-block;"&gt; &lt;/span&gt;&lt;/span&gt;&lt;/span&gt;&lt;span class="pp-font-color-override-1" style="position: absolute; display: inline-block; left: 84.4258px; top: 33.2852px; width: 224.438px; white-space: pre; word-spacing: -0.2112px; letter-spacing: 0.2112px; margin-left: 0px; font-size: 9.6px; font-family: ff6f; -webkit-text-stroke: 0.144px rgba(0, 0, 0, 0);"&gt;&lt;span style="display: inline-block;"&gt;Currency&lt;/span&gt;&lt;span style="word-spacing: -0.2112px; letter-spacing: 0.2112px; display: inline-block; margin-left: 0px; width: 44.3554px;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21.8145px;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inline-block;"&gt;20&lt;/span&gt;&lt;span style="word-spacing: 0.0576px; letter-spacing: -0.0576px; display: inline-block; margin-left: 0px; width: 0.410156px; font-size: 9.6px; font-family: ff6c; -webkit-text-stroke: 0.144px rgba(0, 0, 0, 0);"&gt;&lt;/span&gt;&lt;span style="display: inline-block;"&gt;24&lt;/span&gt;&lt;span style="word-spacing: 0.0576px; letter-spacing: -0.0576px; display: inline-block; margin-left: 0px; width: 21.375px; font-size: 9.6px; font-family: ff6c; -webkit-text-stroke: 0.144px rgba(0, 0, 0, 0);"&gt;&lt;span style="display: inline-block;"&gt;&lt;span style="width: 2.40234px; display: inline-block;"&gt; &lt;/span&gt;&lt;/span&gt;&lt;/span&gt;&lt;/span&gt;&lt;span style="display: inline-block;"&gt;2025&lt;/span&gt;&lt;span style="word-spacing: -0.0384px; letter-spacing: 0.0384px; display: inline-block; margin-left: 0px; width: 22.4355px;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1.28125px; top: 55.916px; width: 86.5664px; white-space: pre; word-spacing: -0.1365px; letter-spacing: 0.1365px; margin-left: 0px; font-size: 10.5px; font-family: ff70; -webkit-text-stroke: 0.1575px rgba(0, 0, 0, 0);"&gt;&lt;span style="display: inline-block;"&gt;China&lt;/span&gt;&lt;span style="word-spacing: -0.1365px; letter-spacing: 0.1365px; display: inline-block; margin-left: 0px; width: 60.8029px; font-size: 10.5px; font-family: ff70; -webkit-text-stroke: 0.1575px rgba(0, 0, 0, 0);"&gt;&lt;span style="display: inline-block;"&gt; &lt;/span&gt;&lt;/span&gt;&lt;/span&gt;&lt;span class="pp-font-color-override-1" style="position: absolute; display: inline-block; left: 87.8477px; top: 55.916px; width: 251.256px; white-space: pre; word-spacing: -0.1155px; letter-spacing: 0.1155px; margin-left: 0px; font-size: 10.5px; font-family: ff70; -webkit-text-stroke: 0.1575px rgba(0, 0, 0, 0);"&gt;&lt;span style="display: inline-block;"&gt;CNY&lt;/span&gt;&lt;span style="word-spacing: -0.1155px; letter-spacing: 0.1155px; display: inline-block; margin-left: 0px; width: 71.6134px; font-size: 10.5px; font-family: ff70; -webkit-text-stroke: 0.1575px rgba(0, 0, 0, 0);"&gt;&lt;span style="display: inline-block;"&gt; &lt;/span&gt;&lt;/span&gt;&lt;span class="pp-font-color-override-1" style="word-spacing: -0.105px; letter-spacing: 0.105px; display: inline-block; margin-left: 0px; font-size: 10.5px; font-family: ff70; -webkit-text-stroke: 0.1575px rgba(0, 0, 0, 0);"&gt;&lt;span style="display: inline-block;"&gt;1.34&lt;/span&gt;&lt;span style="word-spacing: -0.105px; letter-spacing: 0.105px; display: inline-block; margin-left: 0px; width: 27.6035px; font-size: 10.5px; font-family: ff70; -webkit-text-stroke: 0.1575px rgba(0, 0, 0, 0);"&gt;&lt;span style="display: inline-block;"&gt; &lt;/span&gt;&lt;/span&gt;&lt;span class="pp-font-color-override-1" style="word-spacing: 0.231px; letter-spacing: -0.231px; display: inline-block; margin-left: 0px; font-size: 10.5px; font-family: ff70; -webkit-text-stroke: 0.1575px rgba(0, 0, 0, 0);"&gt;&lt;span style="display: inline-block;"&gt;1.&lt;/span&gt;&lt;span style="word-spacing: 0.231px; letter-spacing: -0.231px; display: inline-block; margin-left: 0px; width: 0.410156px; font-size: 10.5px; font-family: ff70; -webkit-text-stroke: 0.1575px rgba(0, 0, 0, 0);"&gt;&lt;/span&gt;&lt;span style="display: inline-block;"&gt;47&lt;/span&gt;&lt;span style="word-spacing: 0.231px; letter-spacing: -0.231px; display: inline-block; margin-left: 0px; width: 27.0469px; font-size: 10.5px; font-family: ff70; -webkit-text-stroke: 0.1575px rgba(0, 0, 0, 0);"&gt;&lt;span style="display: inline-block;"&gt;&lt;span style="width: 2.625px; display: inline-block;"&gt; &lt;/span&gt;&lt;/span&gt;&lt;/span&gt;&lt;/span&gt;&lt;span style="display: inline-block;"&gt;1.&lt;/span&gt;&lt;span style="word-spacing: -0.105px; letter-spacing: 0.105px; display: inline-block; margin-left: 0px; width: 0.410156px; font-size: 10.5px; font-family: ff70; -webkit-text-stroke: 0.1575px rgba(0, 0, 0, 0);"&gt;&lt;/span&gt;&lt;span style="display: inline-block;"&gt;32&lt;/span&gt;&lt;span style="word-spacing: -0.105px; letter-spacing: 0.105px; display: inline-block; margin-left: 0px; width: 28.6465px; font-size: 10.5px; font-family: ff70; -webkit-text-stroke: 0.1575px rgba(0, 0, 0, 0);"&gt;&lt;span style="display: inline-block;"&gt; &lt;/span&gt;&lt;/span&gt;&lt;span class="pp-font-color-override-1" style="word-spacing: 0.21px; letter-spacing: -0.21px; display: inline-block; margin-left: 0px; font-size: 10.5px; font-family: ff70; -webkit-text-stroke: 0.1575px rgba(0, 0, 0, 0);"&gt;&lt;span style="display: inline-block;"&gt;1.&lt;/span&gt;&lt;span style="word-spacing: 0.21px; letter-spacing: -0.21px; display: inline-block; margin-left: 0px; width: 0.410156px; font-size: 10.5px; font-family: ff70; -webkit-text-stroke: 0.1575px rgba(0, 0, 0, 0);"&gt;&lt;/span&gt;&lt;span style="display: inline-block;"&gt;51&lt;/span&gt;&lt;/span&gt;&lt;/span&gt;&lt;/span&gt;&lt;span class="pp-font-color-override-1" style="position: absolute; display: inline-block; left: 1.28125px; top: 72.4785px; width: 84.7148px; white-space: pre; word-spacing: 0.0105px; letter-spacing: 0.021px; margin-left: 0px; font-size: 10.5px; font-family: ff70; -webkit-text-stroke: 0.1575px rgba(0, 0, 0, 0);"&gt;&lt;span style="display: inline-block;"&gt;Euro zo&lt;/span&gt;&lt;span style="word-spacing: 0.0105px; letter-spacing: 0.021px; display: inline-block; margin-left: 0px; width: 0.410156px; font-size: 10.5px; font-family: ff70; -webkit-text-stroke: 0.1575px rgba(0, 0, 0, 0);"&gt;&lt;/span&gt;&lt;span style="display: inline-block;"&gt;ne&lt;/span&gt;&lt;span style="word-spacing: 0.0105px; letter-spacing: 0.021px; display: inline-block; margin-left: 0px; width: 41.244px; font-size: 10.5px; font-family: ff70; -webkit-text-stroke: 0.1575px rgba(0, 0, 0, 0);"&gt;&lt;span style="display: inline-block;"&gt;&lt;span style="width: 2.66016px; display: inline-block;"&gt; &lt;/span&gt;&lt;/span&gt;&lt;/span&gt;&lt;/span&gt;&lt;span class="pp-font-color-override-1" style="position: absolute; display: inline-block; left: 85.9961px; top: 72.4785px; width: 87.8555px; white-space: pre; word-spacing: -0.084px; letter-spacing: 0.084px; margin-left: 0px; font-size: 10.5px; font-family: ff70; -webkit-text-stroke: 0.1575px rgba(0, 0, 0, 0);"&gt;&lt;span style="display: inline-block;"&gt;EUR&lt;/span&gt;&lt;span style="word-spacing: -0.084px; letter-spacing: 0.084px; display: inline-block; margin-left: 0px; width: 66.5977px; font-size: 10.5px; font-family: ff70; -webkit-text-stroke: 0.1575px rgba(0, 0, 0, 0);"&gt;&lt;span style="display: inline-block;"&gt; &lt;/span&gt;&lt;/span&gt;&lt;/span&gt;&lt;span class="pp-font-color-override-1" style="position: absolute; display: inline-block; left: 173.852px; top: 72.4785px; width: 46.7051px; white-space: pre; word-spacing: 0.147px; letter-spacing: -0.147px; margin-left: 0px; font-size: 10.5px; font-family: ff70; -webkit-text-stroke: 0.1575px rgba(0, 0, 0, 0);"&gt;&lt;span style="display: inline-block;"&gt;1&lt;/span&gt;&lt;span style="word-spacing: 0.147px; letter-spacing: -0.147px; display: inline-block; margin-left: 0px; width: 0.410156px; font-size: 10.5px; font-family: ff70; -webkit-text-stroke: 0.1575px rgba(0, 0, 0, 0);"&gt;&lt;/spa</t>
  </si>
  <si>
    <t>f1__s8__6__150-1</t>
  </si>
  <si>
    <t>ifrs-full:DescriptionOfAccountingPolicyForLoansAndReceivablesExplanatory</t>
  </si>
  <si>
    <t>&lt;span style="display:inherit;clear:left;"&gt;ACCOUNTING&lt;span class="_ _2"&gt;&lt;/span&gt; POLICIES&lt;/span&gt;&lt;span style="display:inherit;clear:left;"&gt;Acc&lt;span class="_ _7"&gt;&lt;/span&gt;oun&lt;span class="_ _7"&gt;&lt;/span&gt;ts r&lt;span class="_ _7"&gt;&lt;/span&gt;ec&lt;span class="_ _7"&gt;&lt;/span&gt;ei&lt;span class="_ _7"&gt;&lt;/span&gt;vab&lt;span class="_ _7"&gt;&lt;/span&gt;le&lt;span class="_ _7"&gt;&lt;/span&gt;s ar&lt;span class="_ _7"&gt;&lt;/span&gt;e re&lt;span class="_ _7"&gt;&lt;/span&gt;cog&lt;span class="_ _7"&gt;&lt;/span&gt;ni&lt;span class="_ _7"&gt;&lt;/span&gt;s&lt;span class="_ _7"&gt;&lt;/span&gt;ed at a&lt;span class="_ _7"&gt;&lt;/span&gt;mo&lt;span class="_ _7"&gt;&lt;/span&gt;r&lt;span class="_ _7"&gt;&lt;/span&gt;ti&lt;span class="_ _7"&gt;&lt;/span&gt;se&lt;span class="_ _7"&gt;&lt;/span&gt;d co&lt;span class="_ _7"&gt;&lt;/span&gt;s&lt;span class="_ _7"&gt;&lt;/span&gt;t. A&lt;span class="_ _7"&gt;&lt;/span&gt;n all&lt;span class="_ _7"&gt;&lt;/span&gt;ow-&lt;/span&gt;&lt;span style="display:inherit;clear:left;"&gt;anc&lt;span class="_ _7"&gt;&lt;/span&gt;e fo&lt;span class="_ _7"&gt;&lt;/span&gt;r exp&lt;span class="_ _7"&gt;&lt;/span&gt;ec&lt;span class="_ _7"&gt;&lt;/span&gt;te&lt;span class="_ _7"&gt;&lt;/span&gt;d cre&lt;span class="_ _7"&gt;&lt;/span&gt;di&lt;span class="_ _7"&gt;&lt;/span&gt;t los&lt;span class="_ _7"&gt;&lt;/span&gt;s i&lt;span class="_ _7"&gt;&lt;/span&gt;s re&lt;span class="_ _7"&gt;&lt;/span&gt;co&lt;span class="_ _7"&gt;&lt;/span&gt;gn&lt;span class="_ _7"&gt;&lt;/span&gt;is&lt;span class="_ _7"&gt;&lt;/span&gt;ed w&lt;span class="_ _7"&gt;&lt;/span&gt;he&lt;span class="_ _7"&gt;&lt;/span&gt;n th&lt;span class="_ _7"&gt;&lt;/span&gt;e re&lt;span class="_ _7"&gt;&lt;/span&gt;cei&lt;span class="_ _7"&gt;&lt;/span&gt;va&lt;span class="_ _7"&gt;&lt;/span&gt;ble i&lt;span class="_ _7"&gt;&lt;/span&gt;s &lt;/span&gt;&lt;span style="display:inherit;clear:left;"&gt;ini&lt;span class="_ _7"&gt;&lt;/span&gt;ti&lt;span class="_ _7"&gt;&lt;/span&gt;ally r&lt;span class="_ _7"&gt;&lt;/span&gt;ec&lt;span class="_ _7"&gt;&lt;/span&gt;og&lt;span class="_ _7"&gt;&lt;/span&gt;ni&lt;span class="_ _7"&gt;&lt;/span&gt;se&lt;span class="_ _7"&gt;&lt;/span&gt;d. T&lt;span class="_ _7"&gt;&lt;/span&gt;he r&lt;span class="_ _7"&gt;&lt;/span&gt;ec&lt;span class="_ _7"&gt;&lt;/span&gt;og&lt;span class="_ _7"&gt;&lt;/span&gt;nis&lt;span class="_ _7"&gt;&lt;/span&gt;e&lt;span class="_ _7"&gt;&lt;/span&gt;d all&lt;span class="_ _7"&gt;&lt;/span&gt;owa&lt;span class="_ _7"&gt;&lt;/span&gt;nc&lt;span class="_ _7"&gt;&lt;/span&gt;e for c&lt;span class="_ _7"&gt;&lt;/span&gt;re&lt;span class="_ _7"&gt;&lt;/span&gt;dit l&lt;span class="_ _7"&gt;&lt;/span&gt;os&lt;span class="_ _7"&gt;&lt;/span&gt;s&lt;span class="_ _7"&gt;&lt;/span&gt;e&lt;span class="_ _7"&gt;&lt;/span&gt;s con-&lt;/span&gt;&lt;span style="display:inherit;clear:left;"&gt;si&lt;span class="_ _7"&gt;&lt;/span&gt;st&lt;span class="_ _7"&gt;&lt;/span&gt;s of i&lt;span class="_ _7"&gt;&lt;/span&gt;nc&lt;span class="_ _7"&gt;&lt;/span&gt;ur&lt;span class="_ _7"&gt;&lt;/span&gt;red a&lt;span class="_ _7"&gt;&lt;/span&gt;s we&lt;span class="_ _7"&gt;&lt;/span&gt;ll as o&lt;span class="_ _7"&gt;&lt;/span&gt;f ex&lt;span class="_ _7"&gt;&lt;/span&gt;pe&lt;span class="_ _7"&gt;&lt;/span&gt;cte&lt;span class="_ _7"&gt;&lt;/span&gt;d cr&lt;span class="_ _7"&gt;&lt;/span&gt;ed&lt;span class="_ _7"&gt;&lt;/span&gt;it lo&lt;span class="_ _7"&gt;&lt;/span&gt;s&lt;span class="_ _7"&gt;&lt;/span&gt;s&lt;span class="_ _7"&gt;&lt;/span&gt;es&lt;span class="_ _7"&gt;&lt;/span&gt;. A cr&lt;span class="_ _7"&gt;&lt;/span&gt;ed&lt;span class="_ _7"&gt;&lt;/span&gt;it lo&lt;span class="_ _7"&gt;&lt;/span&gt;s&lt;span class="_ _7"&gt;&lt;/span&gt;s &lt;/span&gt;&lt;span style="display:inherit;clear:left;"&gt;ha&lt;span class="_ _7"&gt;&lt;/span&gt;s be&lt;span class="_ _7"&gt;&lt;/span&gt;en i&lt;span class="_ _7"&gt;&lt;/span&gt;ncu&lt;span class="_ _7"&gt;&lt;/span&gt;rr&lt;span class="_ _7"&gt;&lt;/span&gt;ed w&lt;span class="_ _7"&gt;&lt;/span&gt;hen t&lt;span class="_ _7"&gt;&lt;/span&gt;he&lt;span class="_ _7"&gt;&lt;/span&gt;re h&lt;span class="_ _7"&gt;&lt;/span&gt;as b&lt;span class="_ _7"&gt;&lt;/span&gt;ee&lt;span class="_ _7"&gt;&lt;/span&gt;n an eve&lt;span class="_ _7"&gt;&lt;/span&gt;nt th&lt;span class="_ _7"&gt;&lt;/span&gt;at h&lt;span class="_ _7"&gt;&lt;/span&gt;as t&lt;span class="_ _7"&gt;&lt;/span&gt;rig&lt;span class="_ _7"&gt;&lt;/span&gt;ge&lt;span class="_ _7"&gt;&lt;/span&gt;re&lt;span class="_ _7"&gt;&lt;/span&gt;d &lt;/span&gt;&lt;span style="display:inherit;clear:left;"&gt;the c&lt;span class="_ _7"&gt;&lt;/span&gt;us&lt;span class="_ _7"&gt;&lt;/span&gt;tom&lt;span class="_ _7"&gt;&lt;/span&gt;er&lt;span class="_ _7"&gt;&lt;/span&gt;s in&lt;span class="_ _7"&gt;&lt;/span&gt;ab&lt;span class="_ _7"&gt;&lt;/span&gt;ili&lt;span class="_ _7"&gt;&lt;/span&gt;t&lt;span class="_ _7"&gt;&lt;/span&gt;y to p&lt;span class="_ _7"&gt;&lt;/span&gt;ay. The ex&lt;span class="_ _7"&gt;&lt;/span&gt;pe&lt;span class="_ _7"&gt;&lt;/span&gt;cte&lt;span class="_ _7"&gt;&lt;/span&gt;d cr&lt;span class="_ _7"&gt;&lt;/span&gt;ed&lt;span class="_ _7"&gt;&lt;/span&gt;it lo&lt;span class="_ _7"&gt;&lt;/span&gt;s&lt;span class="_ _7"&gt;&lt;/span&gt;s al&lt;span class="_ _7"&gt;&lt;/span&gt;lowa&lt;span class="_ _7"&gt;&lt;/span&gt;nc&lt;span class="_ _7"&gt;&lt;/span&gt;e is &lt;/span&gt;&lt;span style="display:inherit;clear:left;"&gt;ba&lt;span class="_ _7"&gt;&lt;/span&gt;se&lt;span class="_ _7"&gt;&lt;/span&gt;d on a m&lt;span class="_ _7"&gt;&lt;/span&gt;ulti&lt;span class="_ _7"&gt;&lt;/span&gt;pl&lt;span class="_ _7"&gt;&lt;/span&gt;ier c&lt;span class="_ _7"&gt;&lt;/span&gt;on&lt;span class="_ _7"&gt;&lt;/span&gt;si&lt;span class="_ _7"&gt;&lt;/span&gt;s&lt;span class="_ _7"&gt;&lt;/span&gt;ting o&lt;span class="_ _7"&gt;&lt;/span&gt;f ave&lt;span class="_ _7"&gt;&lt;/span&gt;ra&lt;span class="_ _7"&gt;&lt;/span&gt;ge hi&lt;span class="_ _7"&gt;&lt;/span&gt;s&lt;span class="_ _7"&gt;&lt;/span&gt;tor&lt;span class="_ _7"&gt;&lt;/span&gt;ic&lt;span class="_ _7"&gt;&lt;/span&gt;al w&lt;span class="_ _7"&gt;&lt;/span&gt;rit&lt;span class="_ _7"&gt;&lt;/span&gt;e-of&lt;span class="_ _9"&gt;&lt;/span&gt;fs an&lt;span class="_ _7"&gt;&lt;/span&gt;d &lt;/span&gt;&lt;span style="display:inherit;clear:left;"&gt;for&lt;span class="_ _7"&gt;&lt;/span&gt;w&lt;span class="_ _7"&gt;&lt;/span&gt;ar&lt;span class="_ _7"&gt;&lt;/span&gt;d-look&lt;span class="_ _7"&gt;&lt;/span&gt;in&lt;span class="_ _7"&gt;&lt;/span&gt;g ma&lt;span class="_ _7"&gt;&lt;/span&gt;cro&lt;span class="_ _7"&gt;&lt;/span&gt;ec&lt;span class="_ _7"&gt;&lt;/span&gt;on&lt;span class="_ _7"&gt;&lt;/span&gt;om&lt;span class="_ _7"&gt;&lt;/span&gt;ic da&lt;span class="_ _7"&gt;&lt;/span&gt;ta&lt;span class="_ _7"&gt;&lt;/span&gt;. In t&lt;span class="_ _7"&gt;&lt;/span&gt;he&lt;span class="_ _7"&gt;&lt;/span&gt;se c&lt;span class="_ _7"&gt;&lt;/span&gt;a&lt;span class="_ _7"&gt;&lt;/span&gt;se&lt;span class="_ _7"&gt;&lt;/span&gt;s&lt;span class="_ _7"&gt;&lt;/span&gt;, th&lt;span class="_ _7"&gt;&lt;/span&gt;ere h&lt;span class="_ _7"&gt;&lt;/span&gt;as n&lt;span class="_ _7"&gt;&lt;/span&gt;ot &lt;/span&gt;&lt;span style="display:inherit;clear:left;"&gt;yet b&lt;span class="_ _7"&gt;&lt;/span&gt;ee&lt;span class="_ _7"&gt;&lt;/span&gt;n any ev&lt;span class="_ _7"&gt;&lt;/span&gt;ent&lt;span class="_ _7"&gt;&lt;/span&gt;s in&lt;span class="_ _7"&gt;&lt;/span&gt;cur&lt;span class="_ _7"&gt;&lt;/span&gt;re&lt;span class="_ _7"&gt;&lt;/span&gt;d sh&lt;span class="_ _7"&gt;&lt;/span&gt;ow&lt;span class="_ _7"&gt;&lt;/span&gt;ing a&lt;span class="_ _7"&gt;&lt;/span&gt;ny in&lt;span class="_ _7"&gt;&lt;/span&gt;abi&lt;span class="_ _7"&gt;&lt;/span&gt;lit&lt;span class="_ _7"&gt;&lt;/span&gt;y t&lt;span class="_ _7"&gt;&lt;/span&gt;o pay.&lt;/span&gt;&lt;span style="display:inherit;clear:left;"&gt;If it h&lt;span class="_ _7"&gt;&lt;/span&gt;as b&lt;span class="_ _7"&gt;&lt;/span&gt;e&lt;span class="_ _7"&gt;&lt;/span&gt;en de&lt;span class="_ _7"&gt;&lt;/span&gt;ter&lt;span class="_ _7"&gt;&lt;/span&gt;mi&lt;span class="_ _7"&gt;&lt;/span&gt;ne&lt;span class="_ _7"&gt;&lt;/span&gt;d tha&lt;span class="_ _7"&gt;&lt;/span&gt;t an a&lt;span class="_ _7"&gt;&lt;/span&gt;cco&lt;span class="_ _7"&gt;&lt;/span&gt;un&lt;span class="_ _7"&gt;&lt;/span&gt;ts r&lt;span class="_ _7"&gt;&lt;/span&gt;ec&lt;span class="_ _7"&gt;&lt;/span&gt;ei&lt;span class="_ _7"&gt;&lt;/span&gt;vab&lt;span class="_ _7"&gt;&lt;/span&gt;le i&lt;span class="_ _7"&gt;&lt;/span&gt;s unc&lt;span class="_ _7"&gt;&lt;/span&gt;ol-&lt;/span&gt;&lt;span style="display:inherit;clear:left;"&gt;lec&lt;span class="_ _7"&gt;&lt;/span&gt;ti&lt;span class="_ _7"&gt;&lt;/span&gt;ble&lt;span class="_ _7"&gt;&lt;/span&gt;, it w&lt;span class="_ _7"&gt;&lt;/span&gt;ill b&lt;span class="_ _7"&gt;&lt;/span&gt;e wr&lt;span class="_ _7"&gt;&lt;/span&gt;it&lt;span class="_ _7"&gt;&lt;/span&gt;te&lt;span class="_ _7"&gt;&lt;/span&gt;n of&lt;span class="_ _9"&gt;&lt;/span&gt;f and d&lt;span class="_ _7"&gt;&lt;/span&gt;ere&lt;span class="_ _7"&gt;&lt;/span&gt;co&lt;span class="_ _7"&gt;&lt;/span&gt;gn&lt;span class="_ _7"&gt;&lt;/span&gt;is&lt;span class="_ _7"&gt;&lt;/span&gt;ed&lt;span class="_ _7"&gt;&lt;/span&gt;. It u&lt;span class="_ _7"&gt;&lt;/span&gt;su&lt;span class="_ _7"&gt;&lt;/span&gt;al&lt;span class="_ _7"&gt;&lt;/span&gt;ly me&lt;span class="_ _7"&gt;&lt;/span&gt;an&lt;span class="_ _7"&gt;&lt;/span&gt;s tha&lt;span class="_ _7"&gt;&lt;/span&gt;t &lt;/span&gt;&lt;span style="display:inherit;clear:left;"&gt;co&lt;span class="_ _7"&gt;&lt;/span&gt;lle&lt;span class="_ _7"&gt;&lt;/span&gt;cti&lt;span class="_ _7"&gt;&lt;/span&gt;on h&lt;span class="_ _7"&gt;&lt;/span&gt;as b&lt;span class="_ _7"&gt;&lt;/span&gt;ee&lt;span class="_ _7"&gt;&lt;/span&gt;n un&lt;span class="_ _7"&gt;&lt;/span&gt;su&lt;span class="_ _7"&gt;&lt;/span&gt;cc&lt;span class="_ _7"&gt;&lt;/span&gt;es&lt;span class="_ _7"&gt;&lt;/span&gt;s&lt;span class="_ _7"&gt;&lt;/span&gt;f&lt;span class="_ _7"&gt;&lt;/span&gt;ul a&lt;span class="_ _7"&gt;&lt;/span&gt;nd an e&lt;span class="_ _7"&gt;&lt;/span&gt;nti&lt;span class="_ _7"&gt;&lt;/span&gt;t&lt;span class="_ _7"&gt;&lt;/span&gt;y ha&lt;span class="_ _7"&gt;&lt;/span&gt;s no r&lt;span class="_ _7"&gt;&lt;/span&gt;ea&lt;span class="_ _7"&gt;&lt;/span&gt;so&lt;span class="_ _7"&gt;&lt;/span&gt;na&lt;span class="_ _7"&gt;&lt;/span&gt;bl&lt;span class="_ _7"&gt;&lt;/span&gt;e &lt;/span&gt;&lt;span style="display:inherit;clear:left;"&gt;exp&lt;span class="_ _7"&gt;&lt;/span&gt;ec&lt;span class="_ _7"&gt;&lt;/span&gt;ta&lt;span class="_ _7"&gt;&lt;/span&gt;tio&lt;span class="_ _7"&gt;&lt;/span&gt;ns o&lt;span class="_ _7"&gt;&lt;/span&gt;f re&lt;span class="_ _7"&gt;&lt;/span&gt;co&lt;span class="_ _7"&gt;&lt;/span&gt;ver&lt;span class="_ _7"&gt;&lt;/span&gt;ing th&lt;span class="_ _7"&gt;&lt;/span&gt;e co&lt;span class="_ _7"&gt;&lt;/span&gt;ntr&lt;span class="_ _7"&gt;&lt;/span&gt;ac&lt;span class="_ _7"&gt;&lt;/span&gt;tu&lt;span class="_ _7"&gt;&lt;/span&gt;al c&lt;span class="_ _7"&gt;&lt;/span&gt;as&lt;span class="_ _7"&gt;&lt;/span&gt;h fl&lt;span class="_ _7"&gt;&lt;/span&gt;ows o&lt;span class="_ _7"&gt;&lt;/span&gt;n th&lt;span class="_ _7"&gt;&lt;/span&gt;e  &lt;/span&gt;&lt;span style="display:inherit;clear:left;"&gt;receivable in&lt;span class="_ _2"&gt;&lt;/span&gt; its entirety or a&lt;span class="_ _2"&gt;&lt;/span&gt; por&lt;span class="_ _7"&gt;&lt;/span&gt;tion thereof&lt;span class="_ _2"&gt;&lt;/span&gt;.&lt;/span&gt;&lt;span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style="display:inherit;clear:left;"&gt;contractual pro&lt;span class="_ _2"&gt;&lt;/span&gt;vis&lt;span class="_ _7"&gt;&lt;/span&gt;ions of t&lt;span class="_ _2"&gt;&lt;/span&gt;he instrument.&lt;/span&gt;&lt;span style="display:inherit;clear:left;"&gt;Factoring&lt;/span&gt;&lt;span style="display:inherit;clear:left;"&gt;Volvo Ca&lt;span class="_ _7"&gt;&lt;/span&gt;rs c&lt;span class="_ _7"&gt;&lt;/span&gt;us&lt;span class="_ _7"&gt;&lt;/span&gt;tom&lt;span class="_ _7"&gt;&lt;/span&gt;er i&lt;span class="_ _7"&gt;&lt;/span&gt;nvoi&lt;span class="_ _7"&gt;&lt;/span&gt;ce&lt;span class="_ _7"&gt;&lt;/span&gt;s m&lt;span class="_ _7"&gt;&lt;/span&gt;ay be s&lt;span class="_ _7"&gt;&lt;/span&gt;ub&lt;span class="_ _7"&gt;&lt;/span&gt;je&lt;span class="_ _7"&gt;&lt;/span&gt;ct to f&lt;span class="_ _7"&gt;&lt;/span&gt;ac&lt;span class="_ _7"&gt;&lt;/span&gt;tor&lt;span class="_ _7"&gt;&lt;/span&gt;ing w&lt;span class="_ _7"&gt;&lt;/span&gt;ith a &lt;/span&gt;&lt;span style="display:inherit;clear:left;"&gt;fi&lt;span class="_ _7"&gt;&lt;/span&gt;nan&lt;span class="_ _7"&gt;&lt;/span&gt;ci&lt;span class="_ _7"&gt;&lt;/span&gt;al in&lt;span class="_ _7"&gt;&lt;/span&gt;s&lt;span class="_ _7"&gt;&lt;/span&gt;tit&lt;span class="_ _7"&gt;&lt;/span&gt;uti&lt;span class="_ _7"&gt;&lt;/span&gt;on&lt;span class="_ _7"&gt;&lt;/span&gt;. Th&lt;span class="_ _7"&gt;&lt;/span&gt;is e&lt;span class="_ _7"&gt;&lt;/span&gt;na&lt;span class="_ _7"&gt;&lt;/span&gt;ble&lt;span class="_ _7"&gt;&lt;/span&gt;s Volvo C&lt;span class="_ _7"&gt;&lt;/span&gt;ar&lt;span class="_ _7"&gt;&lt;/span&gt;s to re&lt;span class="_ _7"&gt;&lt;/span&gt;ce&lt;span class="_ _7"&gt;&lt;/span&gt;ive p&lt;span class="_ _7"&gt;&lt;/span&gt;ay&lt;span class="_ _7"&gt;&lt;/span&gt;me&lt;span class="_ _7"&gt;&lt;/span&gt;nt fo&lt;span class="_ _7"&gt;&lt;/span&gt;r &lt;/span&gt;&lt;span style="display:inherit;clear:left;"&gt;it&lt;span class="_ _7"&gt;&lt;/span&gt;s re&lt;span class="_ _7"&gt;&lt;/span&gt;ce&lt;span class="_ _7"&gt;&lt;/span&gt;iva&lt;span class="_ _7"&gt;&lt;/span&gt;bl&lt;span class="_ _7"&gt;&lt;/span&gt;e wit&lt;span class="_ _7"&gt;&lt;/span&gt;hin a f&lt;span class="_ _7"&gt;&lt;/span&gt;ew da&lt;span class="_ _7"&gt;&lt;/span&gt;ys a&lt;span class="_ _7"&gt;&lt;/span&gt;f&lt;span class="_ _7"&gt;&lt;/span&gt;ter i&lt;span class="_ _7"&gt;&lt;/span&gt;nvoi&lt;span class="_ _7"&gt;&lt;/span&gt;ci&lt;span class="_ _7"&gt;&lt;/span&gt;ng an&lt;span class="_ _7"&gt;&lt;/span&gt;d thu&lt;span class="_ _7"&gt;&lt;/span&gt;s be a&lt;span class="_ _7"&gt;&lt;/span&gt;ble t&lt;span class="_ _7"&gt;&lt;/span&gt;o &lt;/span&gt;&lt;span style="display:inherit;clear:left;"&gt;re&lt;span class="_ _7"&gt;&lt;/span&gt;lea&lt;span class="_ _7"&gt;&lt;/span&gt;se l&lt;span class="_ _7"&gt;&lt;/span&gt;iq&lt;span class="_ _7"&gt;&lt;/span&gt;uid&lt;span class="_ _7"&gt;&lt;/span&gt;it&lt;span class="_ _7"&gt;&lt;/span&gt;y at a&lt;span class="_ _7"&gt;&lt;/span&gt;n ea&lt;span class="_ _7"&gt;&lt;/span&gt;rli&lt;span class="_ _7"&gt;&lt;/span&gt;er s&lt;span class="_ _7"&gt;&lt;/span&gt;t&lt;span class="_ _7"&gt;&lt;/span&gt;age t&lt;span class="_ _7"&gt;&lt;/span&gt;han w&lt;span class="_ _7"&gt;&lt;/span&gt;ou&lt;span class="_ _7"&gt;&lt;/span&gt;ld oth&lt;span class="_ _7"&gt;&lt;/span&gt;er&lt;span class="_ _7"&gt;&lt;/span&gt;w&lt;span class="_ _7"&gt;&lt;/span&gt;is&lt;span class="_ _7"&gt;&lt;/span&gt;e ha&lt;span class="_ _7"&gt;&lt;/span&gt;ve be&lt;span class="_ _7"&gt;&lt;/span&gt;en &lt;/span&gt;&lt;span style="display:inherit;clear:left;"&gt;the c&lt;span class="_ _7"&gt;&lt;/span&gt;as&lt;span class="_ _7"&gt;&lt;/span&gt;e&lt;span class="_ _7"&gt;&lt;/span&gt;. &lt;/span&gt;&lt;span style="display:inherit;clear:left;"&gt;Supplier financing&lt;span class="_ _2"&gt;&lt;/span&gt; programmes&lt;span class="_ _2"&gt;&lt;/span&gt; &lt;/span&gt;&lt;span style="display:inherit;clear:left;"&gt;Volvo Ca&lt;span class="_ _7"&gt;&lt;/span&gt;rs p&lt;span class="_ _7"&gt;&lt;/span&gt;ar&lt;span class="_ _7"&gt;&lt;/span&gt;t&lt;span class="_ _7"&gt;&lt;/span&gt;ici&lt;span class="_ _7"&gt;&lt;/span&gt;pa&lt;span class="_ _7"&gt;&lt;/span&gt;tes i&lt;span class="_ _7"&gt;&lt;/span&gt;n su&lt;span class="_ _7"&gt;&lt;/span&gt;pp&lt;span class="_ _7"&gt;&lt;/span&gt;lie&lt;span class="_ _7"&gt;&lt;/span&gt;r fi&lt;span class="_ _7"&gt;&lt;/span&gt;na&lt;span class="_ _7"&gt;&lt;/span&gt;nci&lt;span class="_ _7"&gt;&lt;/span&gt;ng pr&lt;span class="_ _7"&gt;&lt;/span&gt;og&lt;span class="_ _7"&gt;&lt;/span&gt;ra&lt;span class="_ _7"&gt;&lt;/span&gt;mm&lt;span class="_ _7"&gt;&lt;/span&gt;es&lt;span class="_ _7"&gt;&lt;/span&gt;. T&lt;span class="_ _7"&gt;&lt;/span&gt;he pr&lt;span class="_ _7"&gt;&lt;/span&gt;in-&lt;/span&gt;&lt;span style="display:inherit;clear:left;"&gt;cip&lt;span class="_ _7"&gt;&lt;/span&gt;al p&lt;span class="_ _7"&gt;&lt;/span&gt;ur&lt;span class="_ _7"&gt;&lt;/span&gt;po&lt;span class="_ _7"&gt;&lt;/span&gt;se o&lt;span class="_ _7"&gt;&lt;/span&gt;f th&lt;span class="_ _7"&gt;&lt;/span&gt;e ar&lt;span class="_ _7"&gt;&lt;/span&gt;ra&lt;span class="_ _7"&gt;&lt;/span&gt;nge&lt;span class="_ _7"&gt;&lt;/span&gt;me&lt;span class="_ _7"&gt;&lt;/span&gt;nt&lt;span class="_ _7"&gt;&lt;/span&gt;s is to f&lt;span class="_ _7"&gt;&lt;/span&gt;aci&lt;span class="_ _7"&gt;&lt;/span&gt;lit&lt;span class="_ _7"&gt;&lt;/span&gt;at&lt;span class="_ _7"&gt;&lt;/span&gt;e ef&lt;span class="_ _7"&gt;&lt;/span&gt;f&lt;span class="_ _7"&gt;&lt;/span&gt;i&lt;span class="_ _7"&gt;&lt;/span&gt;cie&lt;span class="_ _7"&gt;&lt;/span&gt;nt p&lt;span class="_ _7"&gt;&lt;/span&gt;aym&lt;span class="_ _7"&gt;&lt;/span&gt;ent &lt;/span&gt;&lt;span style="display:inherit;clear:left;"&gt;process&lt;span class="_ _7"&gt;&lt;/span&gt;ing a&lt;span class="_ _2"&gt;&lt;/span&gt;nd enable the wi&lt;span class="_ _2"&gt;&lt;/span&gt;lling suppliers to&lt;span class="_ _2"&gt;&lt;/span&gt; receive payments &lt;/span&gt;&lt;span style="display:inherit;clear:left;"&gt;fr&lt;span class="_ _7"&gt;&lt;/span&gt;om th&lt;span class="_ _7"&gt;&lt;/span&gt;e fi&lt;span class="_ _7"&gt;&lt;/span&gt;na&lt;span class="_ _7"&gt;&lt;/span&gt;nci&lt;span class="_ _7"&gt;&lt;/span&gt;al i&lt;span class="_ _7"&gt;&lt;/span&gt;ns&lt;span class="_ _7"&gt;&lt;/span&gt;ti&lt;span class="_ _7"&gt;&lt;/span&gt;tut&lt;span class="_ _7"&gt;&lt;/span&gt;ion&lt;span class="_ _7"&gt;&lt;/span&gt;s b&lt;span class="_ _7"&gt;&lt;/span&gt;efo&lt;span class="_ _7"&gt;&lt;/span&gt;re t&lt;span class="_ _7"&gt;&lt;/span&gt;he in&lt;span class="_ _7"&gt;&lt;/span&gt;voi&lt;span class="_ _7"&gt;&lt;/span&gt;ce du&lt;span class="_ _7"&gt;&lt;/span&gt;e da&lt;span class="_ _7"&gt;&lt;/span&gt;te. T&lt;span class="_ _7"&gt;&lt;/span&gt;he &lt;/span&gt;&lt;span style="display:inherit;clear:left;"&gt;arr&lt;span class="_ _7"&gt;&lt;/span&gt;an&lt;span class="_ _7"&gt;&lt;/span&gt;ge&lt;span class="_ _7"&gt;&lt;/span&gt;men&lt;span class="_ _7"&gt;&lt;/span&gt;t do&lt;span class="_ _7"&gt;&lt;/span&gt;es n&lt;span class="_ _7"&gt;&lt;/span&gt;ot ex&lt;span class="_ _7"&gt;&lt;/span&gt;te&lt;span class="_ _7"&gt;&lt;/span&gt;nd t&lt;span class="_ _7"&gt;&lt;/span&gt;he p&lt;span class="_ _7"&gt;&lt;/span&gt;aym&lt;span class="_ _7"&gt;&lt;/span&gt;en&lt;span class="_ _7"&gt;&lt;/span&gt;t ter&lt;span class="_ _7"&gt;&lt;/span&gt;ms o&lt;span class="_ _7"&gt;&lt;/span&gt;r alte&lt;span class="_ _7"&gt;&lt;/span&gt;r the t&lt;span class="_ _7"&gt;&lt;/span&gt;imi&lt;span class="_ _7"&gt;&lt;/span&gt;ng &lt;/span&gt;&lt;span style="display:inherit;clear:left;"&gt;of th&lt;span class="_ _7"&gt;&lt;/span&gt;e Gr&lt;span class="_ _7"&gt;&lt;/span&gt;oup’s c&lt;span class="_ _7"&gt;&lt;/span&gt;as&lt;span class="_ _7"&gt;&lt;/span&gt;h ou&lt;span class="_ _7"&gt;&lt;/span&gt;t&lt;span class="_ _7"&gt;&lt;/span&gt;flo&lt;span class="_ _7"&gt;&lt;/span&gt;ws b&lt;span class="_ _7"&gt;&lt;/span&gt;eyo&lt;span class="_ _7"&gt;&lt;/span&gt;nd th&lt;span class="_ _7"&gt;&lt;/span&gt;e no&lt;span class="_ _7"&gt;&lt;/span&gt;rm&lt;span class="_ _7"&gt;&lt;/span&gt;al te&lt;span class="_ _7"&gt;&lt;/span&gt;rm&lt;span class="_ _7"&gt;&lt;/span&gt;s ag&lt;span class="_ _7"&gt;&lt;/span&gt;re&lt;span class="_ _7"&gt;&lt;/span&gt;ed w&lt;span class="_ _7"&gt;&lt;/span&gt;ith &lt;/span&gt;&lt;span style="display:inherit;clear:left;"&gt;non-parti&lt;span class="_ _7"&gt;&lt;/span&gt;cipating supp&lt;span class="_ _7"&gt;&lt;/span&gt;liers&lt;span class="_ _7"&gt;&lt;/span&gt;. However&lt;span class="_ _2"&gt;&lt;/span&gt;, par&lt;span class="_ _7"&gt;&lt;/span&gt;ticip&lt;span class="_ _7"&gt;&lt;/span&gt;ating suppli&lt;span class="_ _7"&gt;&lt;/span&gt;ers may &lt;/span&gt;&lt;span style="display:inherit;clear:left;"&gt;under the&lt;span class="_ _2"&gt;&lt;/span&gt; programme, issue invoices earlier&lt;span class="_ _2"&gt;&lt;/span&gt; than under standard &lt;/span&gt;&lt;span style="display:inherit;clear:left;"&gt;commercial practice,&lt;span class="_ _2"&gt;&lt;/span&gt; enabling earlier&lt;span class="_ _2"&gt;&lt;/span&gt; set&lt;span class="_ _7"&gt;&lt;/span&gt;tlement b&lt;span class="_ _2"&gt;&lt;/span&gt;y the financial&lt;span class="_ _2"&gt;&lt;/span&gt; &lt;/span&gt;&lt;span style="display:inherit;clear:left;"&gt;insti&lt;span class="_ _7"&gt;&lt;/span&gt;tution.&lt;/span&gt;&lt;span style="display:inherit;clear:left;"&gt;Status at yea&lt;span class="_ _7"&gt;&lt;/span&gt;r end&lt;/span&gt;</t>
  </si>
  <si>
    <t>f1__s8__6__151</t>
  </si>
  <si>
    <t>ifrs-full:DisclosureOfPrepaymentsAndOtherAssetsExplanatory</t>
  </si>
  <si>
    <t>&lt;span style="display:inherit;clear:left;position:relative;height:92.37890625px;"&gt;&lt;span class="pp-font-color-override-1" style="position: absolute; display: inline-block; left: 257.484px; top: 0.748047px; width: 30.375px; white-space: pre; word-spacing: -0.24px; letter-spacing: 0.24px; margin-left: 0px; font-size: 9.6px; font-family: ff89; -webkit-text-stroke: 0.144px rgba(0, 0, 0, 0);"&gt;&lt;span style="display: inline-block;"&gt;31&lt;/span&gt;&lt;span style="word-spacing: -0.24px; letter-spacing: 0.24px; display: inline-block; margin-left: -0.684px; width: 0px; font-size: 9.6px; font-family: ff89; -webkit-text-stroke: 0.144px rgba(0, 0, 0, 0);"&gt;&lt;/span&gt;&lt;span style="display: inline-block;"&gt; Dec&lt;/span&gt;&lt;span class="pp-font-color-override-1" style="word-spacing: 0px; letter-spacing: 0px; display: inline-block; margin-left: 0px; font-size: 9.6px; font-family: ff89; -webkit-text-stroke: 0.144px rgba(0, 0, 0, 0);"&gt;&lt;span style="display: inline-block;"&gt; &lt;/span&gt;&lt;/span&gt;&lt;/span&gt;&lt;span class="pp-font-color-override-1" style="position: absolute; display: inline-block; left: 313.922px; top: 0.0039062px; width: 30.4277px; white-space: pre; word-spacing: -0.2496px; letter-spacing: 0.2496px; margin-left: 0px; font-size: 9.6px; font-family: ff88; -webkit-text-stroke: 0.144px rgba(0, 0, 0, 0);"&gt;&lt;span style="display: inline-block;"&gt;31&lt;/span&gt;&lt;span style="word-spacing: -0.2496px; letter-spacing: 0.2496px; display: inline-block; margin-left: -0.684px; width: 0px; font-size: 9.6px; font-family: ff88; -webkit-text-stroke: 0.144px rgba(0, 0, 0, 0);"&gt;&lt;/span&gt;&lt;span style="display: inline-block;"&gt; Dec&lt;/span&gt;&lt;span class="pp-font-color-override-1" style="word-spacing: 0px; letter-spacing: 0px; display: inline-block; margin-left: 0px; font-size: 9.6px; font-family: ff88; -webkit-text-stroke: 0.144px rgba(0, 0, 0, 0);"&gt;&lt;span style="display: inline-block;"&gt; &lt;/span&gt;&lt;/span&gt;&lt;/span&gt;&lt;span class="pp-font-color-override-1" style="position: absolute; display: inline-block; left: 0px; top: 11.248px; width: 97.7812px; white-space: pre; word-spacing: -0.2112px; letter-spacing: 0.2112px; margin-left: 0px; font-size: 9.6px; font-family: ff89; -webkit-text-stroke: 0.144px rgba(0, 0, 0, 0);"&gt;&lt;span style="display: inline-block;"&gt;Other non-&lt;/span&gt;&lt;span style="word-spacing: -0.2112px; letter-spacing: 0.2112px; display: inline-block; margin-left: -0.684px; width: 0px; font-size: 9.6px; font-family: ff89; -webkit-text-stroke: 0.144px rgba(0, 0, 0, 0);"&gt;&lt;/span&gt;&lt;span style="display: inline-block;"&gt;current assets&lt;/span&gt;&lt;/span&gt;&lt;span class="pp-font-color-override-1" style="position: absolute; display: inline-block; left: 263.203px; top: 11.248px; width: 19.3535px; white-space: pre; word-spacing: -0.0384px; letter-spacing: 0.0384px; margin-left: 0px; font-size: 9.6px; font-family: ff89; -webkit-text-stroke: 0.144px rgba(0, 0, 0, 0);"&gt;&lt;span style="display: inline-block;"&gt;2025&lt;/span&gt;&lt;/span&gt;&lt;span class="pp-font-color-override-1" style="position: absolute; display: inline-block; left: 319.594px; top: 10.5039px; width: 18.9668px; white-space: pre; word-spacing: 0.0576px; letter-spacing: -0.0576px; margin-left: 0px; font-size: 9.6px; font-family: ff88; -webkit-text-stroke: 0.144px rgba(0, 0, 0, 0);"&gt;&lt;span style="display: inline-block;"&gt;2024&lt;/span&gt;&lt;/span&gt;&lt;span class="pp-font-color-override-1" style="position: absolute; display: inline-block; left: 0px; top: 33.1348px; width: 316.658px; white-space: pre; word-spacing: -0.231px; letter-spacing: 0.2625px; margin-left: 0px; font-size: 10.5px; font-family: ff8a; -webkit-text-stroke: 0.1575px rgba(0, 0, 0, 0);"&gt;&lt;span style="display: inline-block;"&gt;Endowme&lt;/span&gt;&lt;span style="word-spacing: -0.231px; letter-spacing: 0.2625px; display: inline-block; margin-left: -0.684px; width: 0px; font-size: 10.5px; font-family: ff8a; -webkit-text-stroke: 0.1575px rgba(0, 0, 0, 0);"&gt;&lt;/span&gt;&lt;span style="display: inline-block;"&gt;nt insur&lt;/span&gt;&lt;span style="word-spacing: -0.231px; letter-spacing: 0.2625px; display: inline-block; margin-left: -0.684px; width: 0px; font-size: 10.5px; font-family: ff8a; -webkit-text-stroke: 0.1575px rgba(0, 0, 0, 0);"&gt;&lt;/span&gt;&lt;span style="display: inline-block;"&gt;ance for&lt;/span&gt;&lt;span style="word-spacing: -0.231px; letter-spacing: 0.2625px; display: inline-block; margin-left: -0.684px; width: 0px; font-size: 10.5px; font-family: ff8a; -webkit-text-stroke: 0.1575px rgba(0, 0, 0, 0);"&gt;&lt;/span&gt;&lt;span style="display: inline-block;"&gt; pensions&lt;/span&gt;&lt;span style="word-spacing: -0.231px; letter-spacing: 0.2625px; display: inline-block; margin-left: 0px; width: 96.0705px; font-size: 10.5px; font-family: ff8a; -webkit-text-stroke: 0.1575px rgba(0, 0, 0, 0);"&gt;&lt;span style="display: inline-block;"&gt; &lt;/span&gt;&lt;/span&gt;&lt;span class="pp-font-color-override-1" style="word-spacing: -0.0105px; letter-spacing: 0.0105px; display: inline-block; margin-left: 0px; font-size: 10.5px; font-family: ff8a; -webkit-text-stroke: 0.1575px rgba(0, 0, 0, 0);"&gt;&lt;span style="display: inline-block;"&gt;367&lt;/span&gt;&lt;span style="word-spacing: -0.0105px; letter-spacing: 0.0105px; display: inline-block; margin-left: 0px; width: 35.0918px;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inline-block;"&gt;363&lt;/span&gt;&lt;/span&gt;&lt;/span&gt;&lt;/span&gt;&lt;span class="pp-font-color-override-1" style="position: absolute; display: inline-block; left: 0px; top: 49.0879px; width: 328.488px; white-space: pre; word-spacing: -0.168px; letter-spacing: 0.1995px; margin-left: 0px; font-size: 10.5px; font-family: ff8a; -webkit-text-stroke: 0.1575px rgba(0, 0, 0, 0);"&gt;&lt;span style="display: inline-block;"&gt;Rental deposition&lt;/span&gt;&lt;span style="word-spacing: -0.168px; letter-spacing: 0.1995px; display: inline-block; margin-left: 0px; width: 188.578px;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inline-block;"&gt;29&lt;/span&gt;&lt;span style="word-spacing: -0.147px; letter-spacing: 0.147px; display: inline-block; margin-left: 0px; width: 41.244px; font-size: 10.5px; font-family: ff8a; -webkit-text-stroke: 0.1575px rgba(0, 0, 0, 0);"&gt;&lt;span style="display: inline-block;"&gt; &lt;/span&gt;&lt;/span&gt;&lt;span class="pp-font-color-override-1" style="word-spacing: -0.1785px; letter-spacing: 0.1785px; display: inline-block; margin-left: 0px; font-size: 10.5px; font-family: ff8a; -webkit-text-stroke: 0.1575px rgba(0, 0, 0, 0);"&gt;&lt;span style="display: inline-block;"&gt;38&lt;/span&gt;&lt;/span&gt;&lt;/span&gt;&lt;/span&gt;&lt;span class="pp-font-color-override-1" style="position: absolute; display: inline-block; left: 125.781px; top: 64.9023px; width: 5.10938px; white-space: pre; word-spacing: -0.0061215px; letter-spacing: 0.0061215px; margin-left: 0px; font-size: 6.1215px; font-family: ff8a; -webkit-text-stroke: 0.0918225px rgba(0, 0, 0, 0);"&gt;&lt;span style="display: inline-block;"&gt;1)&lt;/span&gt;&lt;/span&gt;&lt;span class="pp-font-color-override-1" style="position: absolute; display: inline-block; left: 0px; top: 65.0566px; width: 106.283px; white-space: pre; word-spacing: 0px; letter-spacing: 0.0315px; margin-left: 0px; font-size: 10.5px; font-family: ff8a; -webkit-text-stroke: 0.1575px rgba(0, 0, 0, 0);"&gt;&lt;span style="display: inline-block;"&gt;Ot&lt;/span&gt;&lt;span style="word-spacing: 0px; letter-spacing: 0.0315px; display: inline-block; margin-left: 0px; width: 0.410156px; font-size: 10.5px; font-family: ff8a; -webkit-text-stroke: 0.1575px rgba(0, 0, 0, 0);"&gt;&lt;/span&gt;&lt;span style="display: inline-block;"&gt;he&lt;/span&gt;&lt;span style="word-spacing: 0px; letter-spacing: 0.0315px; display: inline-block; margin-left: 0px; width: 0.410156px; font-size: 10.5px; font-family: ff8a; -webkit-text-stroke: 0.1575px rgba(0, 0, 0, 0);"&gt;&lt;/span&gt;&lt;span style="display: inline-block;"&gt;r no&lt;/span&gt;&lt;span style="word-spacing: 0px; letter-spacing: 0.0315px; display: inline-block; margin-left: 0px; width: 0.410156px; font-size: 10.5px; font-family: ff8a; -webkit-text-stroke: 0.1575px rgba(0, 0, 0, 0);"&gt;&lt;/span&gt;&lt;span style="display: inline-block;"&gt;n-cur&lt;/span&gt;&lt;span style="word-spacing: 0px; letter-spacing: 0.0315px; display: inline-block; margin-left: 0px; width: 0.410156px; font-size: 10.5px; font-family: ff8a; -webkit-text-stroke: 0.1575px rgba(0, 0, 0, 0);"&gt;&lt;/span&gt;&lt;span style="display: inline-block;"&gt;rent a&lt;/span&gt;&lt;span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inline-block;"&gt;se&lt;/span&gt;&lt;span style="word-spacing: 0px; letter-spacing: 0.0315px; display: inline-block; margin-left: 0px; width: 0.410156px; font-size: 10.5px; font-family: ff8a; -webkit-text-stroke: 0.1575px rgba(0, 0, 0, 0);"&gt;&lt;/span&gt;&lt;span style="display: inline-block;"&gt;ts&lt;/span&gt;&lt;/span&gt;&lt;span class="pp-font-color-override-1" style="position: absolute; display: inline-block; left: 259.734px; top: 65.0566px; width: 74.2969px; white-space: pre; word-spacing: -0.2415px; letter-spacing: 0.2415px; margin-left: 0px; font-size: 10.5px; font-family: ff8a; -webkit-text-stroke: 0.1575px rgba(0, 0, 0, 0);"&gt;&lt;span style="display: inline-block;"&gt;3,82&lt;/span&gt;&lt;span style="word-spacing: -0.2415px; letter-spacing: 0.2415px; display: inline-block; margin-left: -0.684px; width: 0px; font-size: 10.5px; font-family: ff8a; -webkit-text-stroke: 0.1575px rgba(0, 0, 0, 0);"&gt;&lt;/span&gt;&lt;span style="display: inline-block;"&gt;6&lt;/span&gt;&lt;span style="word-spacing: -0.2415px; letter-spacing: 0.2415px; display: inline-block; margin-left: 0px; width: 25.7227px; font-size: 10.5px; font-family: ff8a; -webkit-text-stroke: 0.1575px rgba(0, 0, 0, 0);"&gt;&lt;span style="display: inline-block;"&gt; &lt;/span&gt;&lt;/span&gt;&lt;span class="pp-font-color-override-1" style="word-spacing: -0.1575px; letter-spacing: 0.1575px; display: inline-block; margin-left: 0px; font-size: 10.5px; font-family: ff8a; -webkit-text-stroke: 0.1575px rgba(0, 0, 0, 0);"&gt;&lt;span style="display: inline-block;"&gt;2,583&lt;/span&gt;&lt;/span&gt;&lt;/span&gt;&lt;span class="pp-font-color-override-1" style="position: absolute; display: inline-block; left: 0px; top: 80.7578px; width: 326.045px; white-space: pre; word-spacing: -0.1995px; letter-spacing: 0.1995px; margin-left: 0px; font-size: 10.5px; font-family: ff89; -webkit-text-stroke: 0.1575px rgba(0, 0, 0, 0);"&gt;&lt;span style="display: inline-block;"&gt;T&lt;/span&gt;&lt;span style="word-spacing: -0.1995px; letter-spacing: 0.1995px; display: inline-block; margin-left: -1.13625px; width: 0px; font-size: 10.5px; font-family: ff89; -webkit-text-stroke: 0.1575px rgba(0, 0, 0, 0);"&gt;&lt;/span&gt;&lt;span style="display: inline-block;"&gt;ot&lt;/span&gt;&lt;span style="word-spacing: -0.1995px; letter-spacing: 0.1995px; display: inline-block; margin-left: 0px; width: 0.410156px; font-size: 10.5px; font-family: ff89; -webkit-text-stroke: 0.1575px rgba(0, 0, 0, 0);"&gt;&lt;/span&gt;&lt;span style="display: inline-block;"&gt;al&lt;/span&gt;&lt;span style="word-spacing: -0.1995px; letter-spacing: 0.1995px; display: inline-block; margin-left: 0px; width: 230.643px; font-size: 10.5px; font-family: ff89; -webkit-text-stroke: 0.1575px rgba(0, 0, 0, 0);"&gt;&lt;span style="display: inline-block;"&gt; &lt;/span&gt;&lt;/span&gt;&lt;span class="pp-font-color-override-1" style="word-spacing: -0.0735px; letter-spacing: 0.0735px; display: inline-block; margin-left: 0px; font-size: 10.5px; font-family: ff89; -webkit-text-stroke: 0.1575px rgba(0, 0, 0, 0);"&gt;&lt;span style="display: inline-block;"&gt;4,&lt;/span&gt;&lt;span style="word-spacing: -0.0735px; letter-spacing: 0.0735px; display: inline-block; margin-left: 0px; width: 0.410156px; font-size: 10.5px; font-family: ff89; -webkit-text-stroke: 0.1575px rgba(0, 0, 0, 0);"&gt;&lt;/span&gt;&lt;span style="display: inline-block;"&gt;222&lt;/span&gt;&lt;span style="word-spacing: -0.0735px; letter-spacing: 0.0735px; display: inline-block; margin-left: 0px; width: 23.7246px; font-size: 10.5px; font-family: ff89; -webkit-text-stroke: 0.1575px rgba(0, 0, 0, 0);"&gt;&lt;span style="display: inline-block;"&gt; &lt;/span&gt;&lt;/span&gt;&lt;span class="pp-font-color-override-1" style="word-spacing: -0.1575px; letter-spacing: 0.1575px; display: inline-block; margin-left: 0px; font-size: 10.5px; font-family: ff89; -webkit-text-stroke: 0.1575px rgba(0, 0, 0, 0);"&gt;&lt;span style="display: inline-block;"&gt;2&lt;/span&gt;&lt;span style="word-spacing: -0.1575px; letter-spacing: 0.1575px; display: inline-block; margin-left: 0px; width: 0.410156px; font-size: 10.5px; font-family: ff89; -webkit-text-stroke: 0.1575px rgba(0, 0, 0, 0);"&gt;&lt;/span&gt;&lt;span style="display: inline-block;"&gt;,984&lt;/span&gt;&lt;/span&gt;&lt;/span&gt;&lt;/span&gt;&lt;/span&gt;&lt;span style="display:inherit;clear:left;position:relative;height:156.20703125px;"&gt;&lt;span class="pp-font-color-override-1" style="position: absolute; display: inline-block; left: 257.484px; top: 0.748047px; width: 30.2637px; white-space: pre; word-spacing: 0px; letter-spacing: 0px; margin-left: 0px; font-size: 9.6px; font-family: ff89; -webkit-text-stroke: 0.144px rgba(0, 0, 0, 0);"&gt;&lt;span style="display: inline-block;"&gt;31 De&lt;/span&gt;&lt;span style="word-spacing: 0px; letter-spacing: 0px; display: inline-block; margin-left: 0px; width: 0.410156px; font-size: 9.6px; font-family: ff89; -webkit-text-stroke: 0.144px rgba(0, 0, 0, 0);"&gt;&lt;/span&gt;&lt;span style="display: inline-block;"&gt;c &lt;/span&gt;&lt;/span&gt;&lt;span class="pp-font-color-override-1" style="position: absolute; display: inline-block; left: 313.922px; top: 0.0039062px; width: 30.2637px; white-space: pre; word-spacing: 0px; letter-spacing: 0px; margin-left: 0px; font-size: 9.6px; font-family: ff88; -webkit-text-stroke: 0.144px rgba(0, 0, 0, 0);"&gt;&lt;span style="display: inline-block;"&gt;31 De&lt;/span&gt;&lt;span style="word-spacing: 0px; letter-spacing: 0px; display: inline-block; margin-left: 0px; width: 0.410156px; font-size: 9.6px; font-family: ff88; -webkit-text-stroke: 0.144px rgba(0, 0, 0, 0);"&gt;&lt;/span&gt;&lt;span style="display: inline-block;"&gt;c &lt;/span&gt;&lt;/span&gt;&lt;span class="pp-font-color-override-1" style="position: absolute; display: inline-block; left: 0px; top: 11.248px; width: 177.668px; white-space: pre; word-spacing: -0.1824px; letter-spacing: 0.1824px; margin-left: 0px; font-size: 9.6px; font-family: ff89; -webkit-text-stroke: 0.144px rgba(0, 0, 0, 0);"&gt;&lt;span style="display: inline-block;"&gt;Accounts receivable and other&lt;/span&gt;&lt;span style="word-spacing: -0.1824px; letter-spacing: 0.1824px; display: inline-block; margin-left: -0.684px; width: 0px; font-size: 9.6px; font-family: ff89; -webkit-text-stroke: 0.144px rgba(0, 0, 0, 0);"&gt;&lt;/span&gt;&lt;span style="display: inline-block;"&gt; current ass&lt;/span&gt;&lt;span style="word-spacing: -0.1824px; letter-spacing: 0.1824px; display: inline-block; margin-left: 0px; width: 0.410156px; font-size: 9.6px; font-family: ff89; -webkit-text-stroke: 0.144px rgba(0, 0, 0, 0);"&gt;&lt;/span&gt;&lt;span style="display: inline-block;"&gt;ets&lt;/span&gt;&lt;/span&gt;&lt;span class="pp-font-color-override-1" style="position: absolute; display: inline-block; left: 263.203px; top: 11.248px; width: 19.3535px; white-space: pre; word-spacing: -0.0384px; letter-spacing: 0.0384px; margin-left: 0px; font-size: 9.6px; font-family: ff89; -webkit-text-stroke: 0.144px rgba(0, 0, 0, 0);"&gt;&lt;span style="display: inline-block;"&gt;2025&lt;/span&gt;&lt;/span&gt;&lt;span class="pp-font-color-override-1" style="position: absolute; display: inline-block; left: 319.594px; top: 10.5039px; width: 18.9668px; white-space: pre; word-spacing: 0.0576px; letter-spacing: -0.0576px; margin-left: 0px; font-size: 9.6px; font-family: ff88; -webkit-text-stroke: 0.144px rgba(0, 0, 0, 0);"&gt;&lt;span style="display: inline-block;"&gt;2024&lt;/span&gt;&lt;/span&gt;&lt;span class="pp-font-color-override-1" style="position: absolute; display: inline-block; left: 0px; top: 33.1191px; width: 310.711px; white-space: pre; word-spacing: -0.1995px; letter-spacing: 0.231px; margin-left: 0px; font-size: 10.5px; font-family: ff8a; -webkit-text-stroke: 0.1575px rgba(0, 0, 0, 0);"&gt;&lt;span style="display: inline-block;"&gt;Accounts&lt;/span&gt;&lt;span style="word-spacing: -0.1995px; letter-spacing: 0.231px; display: inline-block; margin-left: -0.684px; width: 0px; font-size: 10.5px; font-family: ff8a; -webkit-text-stroke: 0.1575px rgba(0, 0, 0, 0);"&gt;&lt;/span&gt;&lt;span style="display: inline-block;"&gt; receivable,&lt;/span&gt;&lt;span style="word-spacing: -0.1995px; letter-spacing: 0.231px; display: inline-block; margin-left: -0.684px; width: 0px; font-size: 10.5px; font-family: ff8a; -webkit-text-stroke: 0.1575px rgba(0, 0, 0, 0);"&gt;&lt;/span&gt;&lt;span style="display: inline-block;"&gt; non-gr&lt;/span&gt;&lt;span style="word-spacing: -0.1995px; letter-spacing: 0.231px; display: inline-block; margin-left: -0.684px; width: 0px; font-size: 10.5px; font-family: ff8a; -webkit-text-stroke: 0.1575px rgba(0, 0, 0, 0);"&gt;&lt;/span&gt;&lt;span style="display: inline-block;"&gt;oup companies&lt;/span&gt;&lt;span style="word-spacing: -0.1995px; letter-spacing: 0.231px; display: inline-block; margin-left: 0px; width: 42.0232px; font-size: 10.5px; font-family: ff8a; -webkit-text-stroke: 0.1575px rgba(0, 0, 0, 0);"&gt;&lt;span style="display: inline-block;"&gt; &lt;/span&gt;&lt;/span&gt;&lt;span class="pp-font-color-override-1" style="word-spacing: 0.2415px; letter-spacing: -0.2415px; display: inline-block; margin-left: 0px; font-size: 10.5px; font-family: ff8a; -webkit-text-stroke: 0.1575px rgba(0, 0, 0, 0);"&gt;&lt;span style="display: inline-block;"&gt;11&lt;/span&gt;&lt;span style="word-spacing: 0.2415px; letter-spacing: -0.2415px; display: inline-block; margin-left: 0px; width: 0.410156px; font-size: 10.5px; font-family: ff8a; -webkit-text-stroke: 0.1575px rgba(0, 0, 0, 0);"&gt;&lt;/span&gt;&lt;span style="display: inline-block;"&gt;,&lt;/span&gt;&lt;span style="word-spacing: 0.2415px; letter-spacing: -0.2415px; display: inline-block; margin-left: 0px; width: 0.410156px; font-size: 10.5px; font-family: ff8a; -webkit-text-stroke: 0.1575px rgba(0, 0, 0, 0);"&gt;&lt;/span&gt;&lt;span style="display: inline-block;"&gt;4&lt;/span&gt;&lt;span style="word-spacing: 0.2415px; letter-spacing: -0.2415px; display: inline-block; margin-left: 0px; width: 0.410156px; font-size: 10.5px; font-family: ff8a; -webkit-text-stroke: 0.1575px rgba(0, 0, 0, 0);"&gt;&lt;/span&gt;&lt;span style="display: inline-block;"&gt;6&lt;/span&gt;&lt;span style="word-spacing: 0.2415px; letter-spacing: -0.2415px; display: inline-block; margin-left: 0px; width: 0.410156px; font-size: 10.5px; font-family: ff8a; -webkit-text-stroke: 0.1575px rgba(0, 0, 0, 0);"&gt;&lt;/span&gt;&lt;span style="display: inline-block;"&gt;3&lt;/span&gt;&lt;span style="word-spacing: 0.2415px; letter-spacing: -0.2415px; display: inline-block; margin-left: 0px; width: 21.8145px; font-size: 10.5px; font-family: ff8a; -webkit-text-stroke: 0.1575px rgba(0, 0, 0, 0);"&gt;&lt;span style="display: inline-block;"&gt;&lt;span style="width: 2.625px; display: inline-block;"&gt; &lt;/span&gt;&lt;/span&gt;&lt;/span&gt;&lt;span class="pp-font-color-override-1" style="word-spacing: -0.126px; letter-spacing: 0.126px; display: inline-block; margin-left: 0px; font-size: 10.5px; font-family: ff8a; -webkit-text-stroke: 0.1575px rgba(0, 0, 0, 0);"&gt;&lt;span style="display: inline-block;"&gt;12,989&lt;/span&gt;&lt;/span&gt;&lt;/span&gt;&lt;/span&gt;&lt;span class="pp-font-color-override-1" style="position: absolute; display: inline-block; left: 0px; top: 49.0879px; width: 313.242px; white-space: pre; word-spacing: -0.1995px; letter-spacing: 0.231px; margin-left: 0px; font-size: 10.5px; font-family: ff8a; -webkit-text-stroke: 0.1575px rgba(0, 0, 0, 0);"&gt;&lt;span style="display: inline-block;"&gt;Accounts&lt;/span&gt;&lt;span style="word-spacing: -0.1995px; letter-spacing: 0.231px; display: inline-block; margin-left: -0.684px; width: 0px; font-size: 10.5px; font-family: ff8a; -webkit-text-stroke: 0.1575px rgba(0, 0, 0, 0);"&gt;&lt;/span&gt;&lt;span style="display: inline-block;"&gt; receivable,&lt;/span&gt;&lt;span style="word-spacing: -0.1995px; letter-spacing: 0.231px; display: inline-block; margin-left: -0.684px; width: 0px; font-size: 10.5px; font-family: ff8a; -webkit-text-stroke: 0.1575px rgba(0, 0, 0, 0);"&gt;&lt;/span&gt;&lt;span style="display: inline-block;"&gt; related compa&lt;/span&gt;&lt;span style="word-spacing: -0.1995px; letter-spacing: 0.231px; display: inline-block; margin-left: -0.684px; width: 0px; font-size: 10.5px; font-family: ff8a; -webkit-text-stroke: 0.1575px rgba(0, 0, 0, 0);"&gt;&lt;/span&gt;&lt;span style="display: inline-block;"&gt;nies&lt;/span&gt;&lt;span style="word-spacing: -0.1995px; letter-spacing: 0.231px; display: inline-block; margin-left: 0px; width: 64.1719px; font-size: 10.5px; font-family: ff8a; -webkit-text-stroke: 0.1575px rgba(0, 0, 0, 0);"&gt;&lt;span style="display: inline-block;"&gt; &lt;/span&gt;&lt;/span&gt;&lt;span class="pp-font-color-override-1" style="word-spacing: 0.273px; letter-spacing: -0.273px; display: inline-block; margin-left: 0px; font-size: 10.5px; font-family: ff8a; -webkit-text-stroke: 0.1575px rgba(0, 0, 0, 0);"&gt;&lt;span style="display: inline-block;"&gt;9&lt;/span&gt;&lt;span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inline-block;"&gt;8&lt;/span&gt;&lt;span style="word-spacing: 0.273px; letter-spacing: -0.273px; display: inline-block; margin-left: 0px; width: 29.5723px; font-size: 10.5px; font-family: ff8a; -webkit-text-stroke: 0.1575px rgba(0, 0, 0, 0);"&gt;&lt;span style="display: inline-block;"&gt;&lt;span style="width: 2.625px; display: inline-block;"&gt; &lt;/span&gt;&lt;/span&gt;&lt;/span&gt;&lt;span style="display: inline-block;"&gt;9&lt;/span&gt;&lt;span style="word-spacing: 0.273px; letter-spacing: -0.273px; display: inline-block; margin-left: 0px; width: 0.410156px; font-size: 10.5px; font-family: ff8a; -webkit-text-stroke: 0.1575px rgba(0, 0, 0, 0);"&gt;&lt;/span&gt;&lt;span style="display: inline-block;"&gt;,7&lt;/span&gt;&lt;span style="word-spacing: 0.273px; letter-spacing: -0.273px; display: inline-block; margin-left: 0px; width: 0.410156px; font-size: 10.5px; font-family: ff8a; -webkit-text-stroke: 0.1575px rgba(0, 0, 0, 0);"&gt;&lt;/span&gt;&lt;span style="display: inline-block;"&gt;91&lt;/span&gt;&lt;/span&gt;&lt;/span&gt;&lt;span class="pp-font-color-override-1" style="position: absolute; display: inline-block; left: 0px; top: 65.041px; width: 327.141px; white-space: pre; word-spacing: -0.1995px; letter-spacing: 0.231px; margin-left: 0px; font-size: 10.5px; font-family: ff8a; -webkit-text-stroke: 0.1575px rgba(0, 0, 0, 0);"&gt;&lt;span style="display: inline-block;"&gt;V&lt;/span&gt;&lt;span style="word-spacing: -0.1995px; letter-spacing: 0.231px; display: inline-block; margin-left: -0.684px; width: 0px; font-size: 10.5px; font-family: ff8a; -webkit-text-stroke: 0.1575px rgba(0, 0, 0, 0);"&gt;&lt;/span&gt;&lt;span style="display: inline-block;"&gt;A&lt;/span&gt;&lt;span style="word-spacing: -0.1995px; letter-spacing: 0.231px; display: inline-block; margin-left: -1.13625px; width: 0px; font-size: 10.5px; font-family: ff8a; -webkit-text-stroke: 0.1575px rgba(0, 0, 0, 0);"&gt;&lt;/span&gt;&lt;span style="display: inline-block;"&gt;T receivables&lt;/span&gt;&lt;span style="word-spacing: -0.1995px; letter-spacing: 0.231px; display: inline-block; margin-left: 0px; width: 179.197px; font-size: 10.5px; font-family: ff8a; -webkit-text-stroke: 0.1575px rgba(0, 0, 0, 0);"&gt;&lt;span style="display: inline-block;"&gt; &lt;/span&gt;&lt;/span&gt;&lt;span class="pp-font-color-override-1" style="word-spacing: -0.063px; letter-spacing: 0.063px; display: inline-block; margin-left: 0px; font-size: 10.5px; font-family: ff8a; -webkit-text-stroke: 0.1575px rgba(0, 0, 0, 0);"&gt;&lt;span style="display: inline-block;"&gt;4,098&lt;/span&gt;&lt;span style="word-spacing: -0.063px; letter-spacing: 0.063px; display: inline-block; margin-left: 0px; width: 26.4668px; font-size: 10.5px; font-family: ff8a; -webkit-text-stroke: 0.1575px rgba(0, 0, 0, 0);"&gt;&lt;span style="display: inline-block;"&gt; &lt;/span&gt;&lt;/span&gt;&lt;span class="pp-font-color-override-1" style="word-spacing: -0.2415px; letter-spacing: 0.2415px; display: inline-block; margin-left: 0px; font-size: 10.5px; font-family: ff8a; -webkit-text-stroke: 0.1575px rgba(0, 0, 0, 0);"&gt;&lt;span style="display: inline-block;"&gt;3,837&lt;/span&gt;&lt;/span&gt;&lt;/span&gt;&lt;/span&gt;&lt;span class="pp-font-color-override-1" style="position: absolute; display: inline-block; left: 189.031px; top: 80.8555px; width: 5.12109px; white-space: pre; word-spacing: -0.012243px; letter-spacing: 0.012243px; margin-left: 0px; font-size: 6.1215px; font-family: ff8a; -webkit-text-stroke: 0.0918225px rgba(0, 0, 0, 0);"&gt;&lt;span style="display: inline-block;"&gt;2)&lt;/span&gt;&lt;/span&gt;&lt;span class="pp-font-color-override-1" style="position: absolute; display: inline-block; left: 0px; top: 81.0098px; width: 164.842px; white-space: pre; word-spacing: 0px; letter-spacing: 0.0315px; margin-left: 0px; font-size: 10.5px; font-family: ff8a; -webkit-text-stroke: 0.1575px rgba(0, 0, 0, 0);"&gt;&lt;span style="display: inline-block;"&gt;Prep&lt;/span&gt;&lt;span style="word-spacing: 0px; letter-spacing: 0.0315px; display: inline-block; margin-left: 0px; width: 0.410156px; font-size: 10.5px; font-family: ff8a; -webkit-text-stroke: 0.1575px rgba(0, 0, 0, 0);"&gt;&lt;/span&gt;&lt;span style="display: inline-block;"&gt;ai&lt;/span&gt;&lt;span style="word-spacing: 0px; letter-spacing: 0.0315px; display: inline-block; margin-left: 0px; width: 0.410156px; font-size: 10.5px; font-family: ff8a; -webkit-text-stroke: 0.1575px rgba(0, 0, 0, 0);"&gt;&lt;/span&gt;&lt;span style="display: inline-block;"&gt;d exp&lt;/span&gt;&lt;span style="word-spacing: 0px; letter-spacing: 0.0315px; display: inline-block; margin-left: 0px; width: 0.410156px; font-size: 10.5px; font-family: ff8a; -webkit-text-stroke: 0.1575px rgba(0, 0, 0, 0);"&gt;&lt;/span&gt;&lt;span style="display: inline-block;"&gt;en&lt;/span&gt;&lt;span style="word-spacing: 0px; letter-spacing: 0.0315px; display: inline-block; margin-left: 0px; width: 0.410156px; font-size: 10.5px; font-family: ff8a; -webkit-text-stroke: 0.1575px rgba(0, 0, 0, 0);"&gt;&lt;/span&gt;&lt;span style="display: inline-block;"&gt;s&lt;/span&gt;&lt;span style="word-spacing: 0px; letter-spacing: 0.0315px; display: inline-block; margin-left: 0px; width: 0.410156px; font-size: 10.5px; font-family: ff8a; -webkit-text-stroke: 0.1575px rgba(0, 0, 0, 0);"&gt;&lt;/span&gt;&lt;span style="display: inline-block;"&gt;es a&lt;/span&gt;&lt;span style="word-spacing: 0px; letter-spacing: 0.0315px; display: inline-block; margin-left: 0px; width: 0.410156px; font-size: 10.5px; font-family: ff8a; -webkit-text-stroke: 0.1575px rgba(0, 0, 0, 0);"&gt;&lt;/span&gt;&lt;span style="display: inline-block;"&gt;nd a&lt;/span&gt;&lt;span style="word-spacing: 0px; letter-spacing: 0.0315px; display: inline-block; margin-left: 0px; width: 0.410156px; font-size: 10.5px; font-family: ff8a; -webkit-text-stroke: 0.1575px rgba(0, 0, 0, 0);"&gt;&lt;/span&gt;&lt;span style="display: inline-block;"&gt;ccr&lt;/span&gt;&lt;span style="word-spacing: 0px; letter-spacing: 0.0315px; display: inline-block; margin-left: 0px; width: 0.410156px; font-size: 10.5px; font-family: ff8a; -webkit-text-stroke: 0.1575px rgba(0, 0, 0, 0);"&gt;&lt;/span&gt;&lt;span style="display: inline-block;"&gt;ue&lt;/span&gt;&lt;span style="word-spacing: 0px; letter-spacing: 0.0315px; display: inline-block; margin-left: 0px; width: 0.410156px; font-size: 10.5px; font-family: ff8a; -webkit-text-stroke: 0.1575px rgba(0, 0, 0, 0);"&gt;&lt;/span&gt;&lt;span style="display: inline-block;"&gt;d in&lt;/span&gt;&lt;span style="word-spacing: 0px; letter-spacing: 0.0315px; display: inline-block; margin-left: 0px; width: 0.410156px; font-size: 10.5px; font-family: ff8a; -webkit-text-stroke: 0.1575px rgba(0, 0, 0, 0);"&gt;&lt;/span&gt;&lt;span style="display: inline-block;"&gt;co&lt;/span&gt;&lt;span style="word-spacing: 0px; letter-spacing: 0.0315px; display: inline-block; margin-left: 0px; width: 0.410156px; font-size: 10.5px; font-family: ff8a; -webkit-text-stroke: 0.1575px rgba(0, 0, 0, 0);"&gt;&lt;/span&gt;&lt;span style="display: inline-block;"&gt;me&lt;/span&gt;&lt;/span&gt;&lt;span class="pp-font-color-override-1" style="position: absolute; display: inline-block; left: 258.578px; top: 81.0098px; width: 74.4902px; white-space: pre; word-spacing: -0.1365px; letter-spacing: 0.1365px; margin-left: 0px; font-size: 10.5px; font-family: ff8a; -webkit-text-stroke: 0.1575px rgba(0, 0, 0, 0);"&gt;&lt;span style="display: inline-block;"&gt;6,568&lt;/span&gt;&lt;span style="word-spacing: -0.1365px; letter-spacing: 0.1365px; display: inline-block; margin-left: 0px; width: 26.4668px; font-size: 10.5px; font-family: ff8a; -webkit-text-stroke: 0.1575px rgba(0, 0, 0, 0);"&gt;&lt;span style="display: inline-block;"&gt; &lt;/span&gt;&lt;/span&gt;&lt;span class="pp-font-color-override-1" style="word-spacing: 0.231px; letter-spacing: -0.231px; display: inline-block; margin-left: 0px; font-size: 10.5px; font-family: ff8a; -webkit-text-stroke: 0.1575px rgba(0, 0, 0, 0);"&gt;&lt;span style="display: inline-block;"&gt;6&lt;/span&gt;&lt;span style="word-spacing: 0.231px; letter-spacing: -0.231px; display: inline-block; margin-left: 0px; width: 0.410156px; font-size: 10.5px; font-family: ff8a; -webkit-text-stroke: 0.1575px rgba(0, 0, 0, 0);"&gt;&lt;/span&gt;&lt;span style="display: inline-block;"&gt;,&lt;/span&gt;&lt;span style="word-spacing: 0.231px; letter-spacing: -0.231px; display: inline-block; margin-left: 0px; width: 0.410156px; font-size: 10.5px; font-family: ff8a; -webkit-text-stroke: 0.1575px rgba(0, 0, 0, 0);"&gt;&lt;/span&gt;&lt;span style="display: inline-block;"&gt;9&lt;/span&gt;&lt;span style="word-spacing: 0.231px; letter-spacing: -0.231px; display: inline-block; margin-left: 0px; width: 0.410156px; font-size: 10.5px; font-family: ff8a; -webkit-text-stroke: 0.1575px rgba(0, 0, 0, 0);"&gt;&lt;/span&gt;&lt;span style="display: inline-block;"&gt;47&lt;/span&gt;&lt;/span&gt;&lt;/span&gt;&lt;span class="pp-font-color-override-1" style="position: absolute; display: inline-block; left: 0px; top: 96.9629px; width: 329.982px; white-space: pre; word-spacing: -0.147px; letter-spacing: 0.1785px; margin-left: 0px; font-size: 10.5px; font-family: ff8a; -webkit-text-stroke: 0.1575px rgba(0, 0, 0, 0);"&gt;&lt;span style="display: inline-block;"&gt;Other financial receivables&lt;/span&gt;&lt;span style="word-spacing: -0.147px; letter-spacing: 0.1785px; display: inline-block; margin-left: 0px; width: 146.596px; font-size: 10.5px; font-family: ff8a; -webkit-text-stroke: 0.1575px rgba(0, 0, 0, 0);"&gt;&lt;span style="display: inline-block;"&gt; &lt;/span&gt;&lt;/span&gt;&lt;span class="pp-font-color-override-1" style="word-spacing: 0px; letter-spacing: 0px; display: inline-block; margin-left: 0px; font-size: 10.5px; font-family: ff8a; -webkit-text-stroke: 0.1575px rgba(0, 0, 0, 0);"&gt;&lt;span style="display: inline-block;"&gt;—&lt;/span&gt;&lt;span style="word-spacing: 0px; letter-spacing: 0px; display: inline-block; margin-left: 0px; width: 44.754px; font-size: 10.5px; font-family: ff8a; -webkit-text-stroke: 0.1575px rgba(0, 0, 0, 0);"&gt;&lt;span style="display: inline-block;"&gt; &lt;/span&gt;&lt;/span&gt;&lt;span style="display: inline-block;"&gt;—&lt;/span&gt;&lt;/span&gt;&lt;/span&gt;&lt;span class="pp-font-color-override-1" style="position: absolute; display: inline-block; left: 0px; top: 112.916px; width: 328.207px; white-space: pre; word-spacing: -0.147px; letter-spacing: 0.1785px; margin-left: 0px; font-size: 10.5px; font-family: ff8a; -webkit-text-stroke: 0.1575px rgba(0, 0, 0, 0);"&gt;&lt;span style="display: inline-block;"&gt;Restricted cash&lt;/span&gt;&lt;span style="word-spacing: -0.147px; letter-spacing: 0.1785px; display: inline-block; margin-left: 0px; width: 198.504px; font-size: 10.5px; font-family: ff8a; -webkit-text-stroke: 0.1575px rgba(0, 0, 0, 0);"&gt;&lt;span style="display: inline-block;"&gt; &lt;/span&gt;&lt;/span&gt;&lt;span class="pp-font-color-override-1" style="word-spacing: -0.147px; letter-spacing: 0.147px; display: inline-block; margin-left: 0px; font-size: 10.5px; font-family: ff8a; -webkit-text-stroke: 0.1575px rgba(0, 0, 0, 0);"&gt;&lt;span style="display: inline-block;"&gt;39&lt;/span&gt;&lt;span style="word-spacing: -0.147px; letter-spacing: 0.147px; display: inline-block; margin-left: 0px; width: 37.1133px; font-size: 10.5px; font-family: ff8a; -webkit-text-stroke: 0.1575px rgba(0, 0, 0, 0);"&gt;&lt;span style="display: inline-block;"&gt; &lt;/span&gt;&lt;/span&gt;&lt;span class="pp-font-color-override-1" style="word-spacing: 0.1155px; letter-spacing: -0.1155px; display: inline-block; margin-left: 0px; font-size: 10.5px; font-family: ff8a; -webkit-text-stroke: 0.1575px rgba(0, 0, 0, 0);"&gt;&lt;span style="display: inline-block;"&gt;120&lt;/span&gt;&lt;/span&gt;&lt;/span&gt;&lt;/span&gt;&lt;span class="pp</t>
  </si>
  <si>
    <t>f1__s8__6__152-1</t>
  </si>
  <si>
    <t>ifrs-full:DisclosureOfDeferredIncomeExplanatory</t>
  </si>
  <si>
    <t>f1__s8__6__154-1</t>
  </si>
  <si>
    <t>ifrs-full:DisclosureOfFinancialInstrumentsExplanatory</t>
  </si>
  <si>
    <t>&lt;span style="display:inherit;clear:left;"&gt;NOT&lt;span class="_ _7"&gt;&lt;/span&gt;E 19&lt;/span&gt;&lt;span style="display:inherit;clear:left;"&gt;FINANCIAL INSTRUMENTS&lt;span class="_ _2"&gt;&lt;/span&gt; AND FINANCIAL RISKS&lt;/span&gt;&lt;span style="display:inherit;clear:left;"&gt;ACCOUNTING&lt;span class="_ _2"&gt;&lt;/span&gt; POLICIES&lt;/span&gt;&lt;span style="display:inherit;clear:left;"&gt;Recog&lt;span class="_ _7"&gt;&lt;/span&gt;ni&lt;span class="_ _7"&gt;&lt;/span&gt;tion an&lt;span class="_ _7"&gt;&lt;/span&gt;d dere&lt;span class="_ _7"&gt;&lt;/span&gt;cog&lt;span class="_ _7"&gt;&lt;/span&gt;niti&lt;span class="_ _7"&gt;&lt;/span&gt;on &lt;/span&gt;&lt;span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style="display:inherit;clear:left;"&gt;&lt;span&gt;&lt;span style="display:inherit;clear:left;"&gt;contractual pro&lt;span class="_ _2"&gt;&lt;/span&gt;vis&lt;span class="_ _7"&gt;&lt;/span&gt;ions of t&lt;span class="_ _2"&gt;&lt;/span&gt;he instrument.&lt;/span&gt;&lt;/span&gt; &lt;/span&gt;&lt;span style="display:inherit;clear:left;"&gt;Fin&lt;span class="_ _7"&gt;&lt;/span&gt;an&lt;span class="_ _7"&gt;&lt;/span&gt;cia&lt;span class="_ _7"&gt;&lt;/span&gt;l as&lt;span class="_ _7"&gt;&lt;/span&gt;s&lt;span class="_ _7"&gt;&lt;/span&gt;et&lt;span class="_ _7"&gt;&lt;/span&gt;s ar&lt;span class="_ _7"&gt;&lt;/span&gt;e ini&lt;span class="_ _7"&gt;&lt;/span&gt;ti&lt;span class="_ _7"&gt;&lt;/span&gt;ally r&lt;span class="_ _7"&gt;&lt;/span&gt;ec&lt;span class="_ _7"&gt;&lt;/span&gt;og&lt;span class="_ _7"&gt;&lt;/span&gt;ni&lt;span class="_ _7"&gt;&lt;/span&gt;se&lt;span class="_ _7"&gt;&lt;/span&gt;d at f&lt;span class="_ _7"&gt;&lt;/span&gt;air v&lt;span class="_ _7"&gt;&lt;/span&gt;alu&lt;span class="_ _7"&gt;&lt;/span&gt;e pl&lt;span class="_ _7"&gt;&lt;/span&gt;us tr&lt;span class="_ _7"&gt;&lt;/span&gt;an&lt;span class="_ _7"&gt;&lt;/span&gt;s&lt;span class="_ _7"&gt;&lt;/span&gt;ac-&lt;/span&gt;&lt;span style="display:inherit;clear:left;"&gt;tio&lt;span class="_ _7"&gt;&lt;/span&gt;n co&lt;span class="_ _7"&gt;&lt;/span&gt;s&lt;span class="_ _7"&gt;&lt;/span&gt;ts&lt;span class="_ _7"&gt;&lt;/span&gt;, exce&lt;span class="_ _7"&gt;&lt;/span&gt;pt f&lt;span class="_ _7"&gt;&lt;/span&gt;or f&lt;span class="_ _7"&gt;&lt;/span&gt;in&lt;span class="_ _7"&gt;&lt;/span&gt;anc&lt;span class="_ _7"&gt;&lt;/span&gt;ia&lt;span class="_ _7"&gt;&lt;/span&gt;l as&lt;span class="_ _7"&gt;&lt;/span&gt;s&lt;span class="_ _7"&gt;&lt;/span&gt;et&lt;span class="_ _7"&gt;&lt;/span&gt;s ca&lt;span class="_ _7"&gt;&lt;/span&gt;rr&lt;span class="_ _7"&gt;&lt;/span&gt;ie&lt;span class="_ _7"&gt;&lt;/span&gt;d at f&lt;span class="_ _7"&gt;&lt;/span&gt;air v&lt;span class="_ _7"&gt;&lt;/span&gt;alu&lt;span class="_ _7"&gt;&lt;/span&gt;e thr&lt;span class="_ _7"&gt;&lt;/span&gt;oug&lt;span class="_ _7"&gt;&lt;/span&gt;h &lt;/span&gt;&lt;span style="display:inherit;clear:left;"&gt;pro&lt;span class="_ _7"&gt;&lt;/span&gt;f&lt;span class="_ _7"&gt;&lt;/span&gt;it or l&lt;span class="_ _7"&gt;&lt;/span&gt;os&lt;span class="_ _7"&gt;&lt;/span&gt;s&lt;span class="_ _7"&gt;&lt;/span&gt;. In t&lt;span class="_ _7"&gt;&lt;/span&gt;hi&lt;span class="_ _7"&gt;&lt;/span&gt;s ca&lt;span class="_ _7"&gt;&lt;/span&gt;se t&lt;span class="_ _7"&gt;&lt;/span&gt;ra&lt;span class="_ _7"&gt;&lt;/span&gt;ns&lt;span class="_ _7"&gt;&lt;/span&gt;ac&lt;span class="_ _7"&gt;&lt;/span&gt;ti&lt;span class="_ _7"&gt;&lt;/span&gt;on c&lt;span class="_ _7"&gt;&lt;/span&gt;os&lt;span class="_ _7"&gt;&lt;/span&gt;t&lt;span class="_ _7"&gt;&lt;/span&gt;s are ex&lt;span class="_ _7"&gt;&lt;/span&gt;pe&lt;span class="_ _7"&gt;&lt;/span&gt;ns&lt;span class="_ _7"&gt;&lt;/span&gt;e&lt;span class="_ _7"&gt;&lt;/span&gt;d in th&lt;span class="_ _7"&gt;&lt;/span&gt;e &lt;/span&gt;&lt;span style="display:inherit;clear:left;"&gt;inc&lt;span class="_ _7"&gt;&lt;/span&gt;om&lt;span class="_ _7"&gt;&lt;/span&gt;e s&lt;span class="_ _7"&gt;&lt;/span&gt;tat&lt;span class="_ _7"&gt;&lt;/span&gt;eme&lt;span class="_ _7"&gt;&lt;/span&gt;nt&lt;span class="_ _7"&gt;&lt;/span&gt;. Fi&lt;span class="_ _7"&gt;&lt;/span&gt;nan&lt;span class="_ _7"&gt;&lt;/span&gt;ci&lt;span class="_ _7"&gt;&lt;/span&gt;al li&lt;span class="_ _7"&gt;&lt;/span&gt;ab&lt;span class="_ _7"&gt;&lt;/span&gt;ili&lt;span class="_ _7"&gt;&lt;/span&gt;tie&lt;span class="_ _7"&gt;&lt;/span&gt;s ar&lt;span class="_ _7"&gt;&lt;/span&gt;e in&lt;span class="_ _7"&gt;&lt;/span&gt;iti&lt;span class="_ _7"&gt;&lt;/span&gt;ally r&lt;span class="_ _7"&gt;&lt;/span&gt;ec&lt;span class="_ _7"&gt;&lt;/span&gt;og&lt;span class="_ _7"&gt;&lt;/span&gt;ni&lt;span class="_ _7"&gt;&lt;/span&gt;se&lt;span class="_ _7"&gt;&lt;/span&gt;d at f&lt;span class="_ _7"&gt;&lt;/span&gt;ai&lt;span class="_ _7"&gt;&lt;/span&gt;r &lt;/span&gt;&lt;span style="display:inherit;clear:left;"&gt;val&lt;span class="_ _7"&gt;&lt;/span&gt;ue le&lt;span class="_ _7"&gt;&lt;/span&gt;s&lt;span class="_ _7"&gt;&lt;/span&gt;s tr&lt;span class="_ _7"&gt;&lt;/span&gt;an&lt;span class="_ _7"&gt;&lt;/span&gt;s&lt;span class="_ _7"&gt;&lt;/span&gt;act&lt;span class="_ _7"&gt;&lt;/span&gt;io&lt;span class="_ _7"&gt;&lt;/span&gt;n co&lt;span class="_ _7"&gt;&lt;/span&gt;st&lt;span class="_ _7"&gt;&lt;/span&gt;s&lt;span class="_ _7"&gt;&lt;/span&gt;, exce&lt;span class="_ _7"&gt;&lt;/span&gt;pt fo&lt;span class="_ _7"&gt;&lt;/span&gt;r th&lt;span class="_ _7"&gt;&lt;/span&gt;os&lt;span class="_ _7"&gt;&lt;/span&gt;e f&lt;span class="_ _7"&gt;&lt;/span&gt;ina&lt;span class="_ _7"&gt;&lt;/span&gt;nc&lt;span class="_ _7"&gt;&lt;/span&gt;ial l&lt;span class="_ _7"&gt;&lt;/span&gt;iab&lt;span class="_ _7"&gt;&lt;/span&gt;il&lt;span class="_ _7"&gt;&lt;/span&gt;iti&lt;span class="_ _7"&gt;&lt;/span&gt;es &lt;/span&gt;&lt;span style="display:inherit;clear:left;"&gt;ca&lt;span class="_ _7"&gt;&lt;/span&gt;rr&lt;span class="_ _7"&gt;&lt;/span&gt;ie&lt;span class="_ _7"&gt;&lt;/span&gt;d at fa&lt;span class="_ _7"&gt;&lt;/span&gt;ir v&lt;span class="_ _7"&gt;&lt;/span&gt;alu&lt;span class="_ _7"&gt;&lt;/span&gt;e thr&lt;span class="_ _7"&gt;&lt;/span&gt;oug&lt;span class="_ _7"&gt;&lt;/span&gt;h pr&lt;span class="_ _7"&gt;&lt;/span&gt;of&lt;span class="_ _7"&gt;&lt;/span&gt;it o&lt;span class="_ _7"&gt;&lt;/span&gt;r lo&lt;span class="_ _7"&gt;&lt;/span&gt;s&lt;span class="_ _7"&gt;&lt;/span&gt;s. Fo&lt;span class="_ _7"&gt;&lt;/span&gt;r th&lt;span class="_ _7"&gt;&lt;/span&gt;es&lt;span class="_ _7"&gt;&lt;/span&gt;e li&lt;span class="_ _7"&gt;&lt;/span&gt;ab&lt;span class="_ _7"&gt;&lt;/span&gt;ili&lt;span class="_ _7"&gt;&lt;/span&gt;tie&lt;span class="_ _7"&gt;&lt;/span&gt;s tr&lt;span class="_ _7"&gt;&lt;/span&gt;an&lt;span class="_ _7"&gt;&lt;/span&gt;s-&lt;/span&gt;&lt;span style="display:inherit;clear:left;"&gt;action costs are&lt;span class="_ _2"&gt;&lt;/span&gt; expense&lt;span class="_ _7"&gt;&lt;/span&gt;d in&lt;span class="_ _2"&gt;&lt;/span&gt; the income statement.&lt;/span&gt;&lt;span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a&lt;span class="_ _7"&gt;&lt;/span&gt;s&lt;span class="_ _7"&gt;&lt;/span&gt;se&lt;span class="_ _7"&gt;&lt;/span&gt;ts o&lt;span class="_ _7"&gt;&lt;/span&gt;r a po&lt;span class="_ _7"&gt;&lt;/span&gt;r&lt;span class="_ _7"&gt;&lt;/span&gt;ti&lt;span class="_ _7"&gt;&lt;/span&gt;on of a&lt;span class="_ _7"&gt;&lt;/span&gt; &lt;/span&gt;&lt;span style="display:inherit;clear:left;"&gt;fi&lt;span class="_ _7"&gt;&lt;/span&gt;nan&lt;span class="_ _7"&gt;&lt;/span&gt;ci&lt;span class="_ _7"&gt;&lt;/span&gt;al a&lt;span class="_ _7"&gt;&lt;/span&gt;s&lt;span class="_ _7"&gt;&lt;/span&gt;se&lt;span class="_ _7"&gt;&lt;/span&gt;t fr&lt;span class="_ _7"&gt;&lt;/span&gt;om th&lt;span class="_ _7"&gt;&lt;/span&gt;e ba&lt;span class="_ _7"&gt;&lt;/span&gt;la&lt;span class="_ _7"&gt;&lt;/span&gt;nc&lt;span class="_ _7"&gt;&lt;/span&gt;e sh&lt;span class="_ _7"&gt;&lt;/span&gt;ee&lt;span class="_ _7"&gt;&lt;/span&gt;t up&lt;span class="_ _7"&gt;&lt;/span&gt;on ex&lt;span class="_ _7"&gt;&lt;/span&gt;pir&lt;span class="_ _9"&gt;&lt;/span&gt;y, when i&lt;span class="_ _7"&gt;&lt;/span&gt;t ha&lt;span class="_ _7"&gt;&lt;/span&gt;s be&lt;span class="_ _7"&gt;&lt;/span&gt;en &lt;/span&gt;&lt;span style="display:inherit;clear:left;"&gt;se&lt;span class="_ _7"&gt;&lt;/span&gt;t&lt;span class="_ _7"&gt;&lt;/span&gt;tle&lt;span class="_ _7"&gt;&lt;/span&gt;d or wh&lt;span class="_ _7"&gt;&lt;/span&gt;en a&lt;span class="_ _7"&gt;&lt;/span&gt;ll s&lt;span class="_ _7"&gt;&lt;/span&gt;ign&lt;span class="_ _7"&gt;&lt;/span&gt;if&lt;span class="_ _7"&gt;&lt;/span&gt;ic&lt;span class="_ _7"&gt;&lt;/span&gt;a&lt;span class="_ _7"&gt;&lt;/span&gt;nt ri&lt;span class="_ _7"&gt;&lt;/span&gt;sk&lt;span class="_ _7"&gt;&lt;/span&gt;s an&lt;span class="_ _7"&gt;&lt;/span&gt;d rew&lt;span class="_ _7"&gt;&lt;/span&gt;ard&lt;span class="_ _7"&gt;&lt;/span&gt;s li&lt;span class="_ _7"&gt;&lt;/span&gt;nked t&lt;span class="_ _7"&gt;&lt;/span&gt;o the a&lt;span class="_ _7"&gt;&lt;/span&gt;s&lt;span class="_ _7"&gt;&lt;/span&gt;se&lt;span class="_ _7"&gt;&lt;/span&gt;t &lt;/span&gt;&lt;span style="display:inherit;clear:left;"&gt;have b&lt;span class="_ _7"&gt;&lt;/span&gt;e&lt;span class="_ _7"&gt;&lt;/span&gt;en tr&lt;span class="_ _7"&gt;&lt;/span&gt;an&lt;span class="_ _7"&gt;&lt;/span&gt;s&lt;span class="_ _7"&gt;&lt;/span&gt;fer&lt;span class="_ _7"&gt;&lt;/span&gt;re&lt;span class="_ _7"&gt;&lt;/span&gt;d to a th&lt;span class="_ _7"&gt;&lt;/span&gt;ir&lt;span class="_ _7"&gt;&lt;/span&gt;d pa&lt;span class="_ _7"&gt;&lt;/span&gt;r&lt;span class="_ _7"&gt;&lt;/span&gt;t&lt;span class="_ _7"&gt;&lt;/span&gt;y. In tho&lt;span class="_ _7"&gt;&lt;/span&gt;se c&lt;span class="_ _7"&gt;&lt;/span&gt;as&lt;span class="_ _7"&gt;&lt;/span&gt;e&lt;span class="_ _7"&gt;&lt;/span&gt;s wh&lt;span class="_ _7"&gt;&lt;/span&gt;er&lt;span class="_ _7"&gt;&lt;/span&gt;e Volvo Car&lt;span class="_ _7"&gt;&lt;/span&gt; &lt;/span&gt;&lt;span style="display:inherit;clear:left;"&gt;Gro&lt;span class="_ _7"&gt;&lt;/span&gt;up c&lt;span class="_ _7"&gt;&lt;/span&gt;on&lt;span class="_ _7"&gt;&lt;/span&gt;clu&lt;span class="_ _7"&gt;&lt;/span&gt;de&lt;span class="_ _7"&gt;&lt;/span&gt;s tha&lt;span class="_ _7"&gt;&lt;/span&gt;t all s&lt;span class="_ _7"&gt;&lt;/span&gt;ig&lt;span class="_ _7"&gt;&lt;/span&gt;ni&lt;span class="_ _7"&gt;&lt;/span&gt;fi&lt;span class="_ _7"&gt;&lt;/span&gt;c&lt;span class="_ _7"&gt;&lt;/span&gt;ant r&lt;span class="_ _7"&gt;&lt;/span&gt;is&lt;span class="_ _7"&gt;&lt;/span&gt;ks an&lt;span class="_ _7"&gt;&lt;/span&gt;d re&lt;span class="_ _7"&gt;&lt;/span&gt;war&lt;span class="_ _7"&gt;&lt;/span&gt;ds h&lt;span class="_ _7"&gt;&lt;/span&gt;ave n&lt;span class="_ _7"&gt;&lt;/span&gt;ot b&lt;span class="_ _7"&gt;&lt;/span&gt;ee&lt;span class="_ _7"&gt;&lt;/span&gt;n &lt;/span&gt;&lt;span style="display:inherit;clear:left;"&gt;tr&lt;span class="_ _7"&gt;&lt;/span&gt;ans&lt;span class="_ _7"&gt;&lt;/span&gt;f&lt;span class="_ _7"&gt;&lt;/span&gt;er&lt;span class="_ _7"&gt;&lt;/span&gt;re&lt;span class="_ _7"&gt;&lt;/span&gt;d, th&lt;span class="_ _7"&gt;&lt;/span&gt;e po&lt;span class="_ _7"&gt;&lt;/span&gt;r&lt;span class="_ _7"&gt;&lt;/span&gt;ti&lt;span class="_ _7"&gt;&lt;/span&gt;on o&lt;span class="_ _7"&gt;&lt;/span&gt;f the f&lt;span class="_ _7"&gt;&lt;/span&gt;in&lt;span class="_ _7"&gt;&lt;/span&gt;an&lt;span class="_ _7"&gt;&lt;/span&gt;cia&lt;span class="_ _7"&gt;&lt;/span&gt;l as&lt;span class="_ _7"&gt;&lt;/span&gt;s&lt;span class="_ _7"&gt;&lt;/span&gt;et&lt;span class="_ _7"&gt;&lt;/span&gt;s co&lt;span class="_ _7"&gt;&lt;/span&gt;rr&lt;span class="_ _7"&gt;&lt;/span&gt;es&lt;span class="_ _7"&gt;&lt;/span&gt;p&lt;span class="_ _7"&gt;&lt;/span&gt;ond&lt;span class="_ _7"&gt;&lt;/span&gt;in&lt;span class="_ _7"&gt;&lt;/span&gt;g to Volvo &lt;/span&gt;&lt;span style="display:inherit;clear:left;"&gt;Ca&lt;span class="_ _7"&gt;&lt;/span&gt;r Gro&lt;span class="_ _7"&gt;&lt;/span&gt;up&lt;span class="_ _7"&gt;&lt;/span&gt;s’ co&lt;span class="_ _7"&gt;&lt;/span&gt;nti&lt;span class="_ _7"&gt;&lt;/span&gt;nu&lt;span class="_ _7"&gt;&lt;/span&gt;ou&lt;span class="_ _7"&gt;&lt;/span&gt;s invo&lt;span class="_ _7"&gt;&lt;/span&gt;lve&lt;span class="_ _7"&gt;&lt;/span&gt;men&lt;span class="_ _7"&gt;&lt;/span&gt;t co&lt;span class="_ _7"&gt;&lt;/span&gt;nti&lt;span class="_ _7"&gt;&lt;/span&gt;nue&lt;span class="_ _7"&gt;&lt;/span&gt;s to b&lt;span class="_ _7"&gt;&lt;/span&gt;e re&lt;span class="_ _7"&gt;&lt;/span&gt;cog&lt;span class="_ _7"&gt;&lt;/span&gt;ni&lt;span class="_ _7"&gt;&lt;/span&gt;s&lt;span class="_ _7"&gt;&lt;/span&gt;ed&lt;span class="_ _7"&gt;&lt;/span&gt;.&lt;/span&gt;&lt;span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li&lt;span class="_ _7"&gt;&lt;/span&gt;ab&lt;span class="_ _7"&gt;&lt;/span&gt;ili&lt;span class="_ _7"&gt;&lt;/span&gt;ti&lt;span class="_ _7"&gt;&lt;/span&gt;es o&lt;span class="_ _7"&gt;&lt;/span&gt;r&lt;span class="fc5"&gt; a po&lt;span class="_ _7"&gt;&lt;/span&gt;r&lt;span class="_ _7"&gt;&lt;/span&gt;tio&lt;span class="_ _7"&gt;&lt;/span&gt;n of a &lt;/span&gt;&lt;/span&gt;&lt;span style="display:inherit;clear:left;"&gt;fi&lt;span class="_ _7"&gt;&lt;/span&gt;nan&lt;span class="_ _7"&gt;&lt;/span&gt;ci&lt;span class="_ _7"&gt;&lt;/span&gt;al li&lt;span class="_ _7"&gt;&lt;/span&gt;ab&lt;span class="_ _7"&gt;&lt;/span&gt;ili&lt;span class="_ _7"&gt;&lt;/span&gt;t&lt;span class="_ _7"&gt;&lt;/span&gt;y fr&lt;span class="_ _7"&gt;&lt;/span&gt;om th&lt;span class="_ _7"&gt;&lt;/span&gt;e b&lt;span class="_ _7"&gt;&lt;/span&gt;al&lt;span class="_ _7"&gt;&lt;/span&gt;anc&lt;span class="_ _7"&gt;&lt;/span&gt;e sh&lt;span class="_ _7"&gt;&lt;/span&gt;ee&lt;span class="_ _7"&gt;&lt;/span&gt;t wh&lt;span class="_ _7"&gt;&lt;/span&gt;en th&lt;span class="_ _7"&gt;&lt;/span&gt;e ob&lt;span class="_ _7"&gt;&lt;/span&gt;lig&lt;span class="_ _7"&gt;&lt;/span&gt;ati&lt;span class="_ _7"&gt;&lt;/span&gt;on i&lt;span class="_ _7"&gt;&lt;/span&gt;n the &lt;/span&gt;&lt;span style="display:inherit;clear:left;"&gt;con&lt;span class="_ _7"&gt;&lt;/span&gt;tr&lt;span class="_ _7"&gt;&lt;/span&gt;ac&lt;span class="_ _7"&gt;&lt;/span&gt;t ha&lt;span class="_ _7"&gt;&lt;/span&gt;s be&lt;span class="_ _7"&gt;&lt;/span&gt;en s&lt;span class="_ _7"&gt;&lt;/span&gt;et&lt;span class="_ _7"&gt;&lt;/span&gt;tl&lt;span class="_ _7"&gt;&lt;/span&gt;ed&lt;span class="_ _7"&gt;&lt;/span&gt;, ca&lt;span class="_ _7"&gt;&lt;/span&gt;nc&lt;span class="_ _7"&gt;&lt;/span&gt;el&lt;span class="_ _7"&gt;&lt;/span&gt;led&lt;span class="_ _7"&gt;&lt;/span&gt;, or ex&lt;span class="_ _7"&gt;&lt;/span&gt;pi&lt;span class="_ _7"&gt;&lt;/span&gt;re&lt;span class="_ _7"&gt;&lt;/span&gt;d.&lt;/span&gt;&lt;span style="display:inherit;clear:left;"&gt;Classi&lt;span class="_ _7"&gt;&lt;/span&gt;fication of financial assets &lt;/span&gt;&lt;span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fi&lt;span class="_ _7"&gt;&lt;/span&gt;nan&lt;span class="_ _7"&gt;&lt;/span&gt;ci&lt;span class="_ _7"&gt;&lt;/span&gt;al a&lt;span class="_ _7"&gt;&lt;/span&gt;ss&lt;span class="_ _7"&gt;&lt;/span&gt;e&lt;span class="_ _7"&gt;&lt;/span&gt;ts d&lt;span class="_ _7"&gt;&lt;/span&gt;ep&lt;span class="_ _7"&gt;&lt;/span&gt;en&lt;span class="_ _7"&gt;&lt;/span&gt;din&lt;span class="_ _7"&gt;&lt;/span&gt;g on h&lt;span class="_ _7"&gt;&lt;/span&gt;ow th&lt;span class="_ _7"&gt;&lt;/span&gt;e &lt;/span&gt;&lt;span style="display:inherit;clear:left;"&gt;as&lt;span class="_ _7"&gt;&lt;/span&gt;s&lt;span class="_ _7"&gt;&lt;/span&gt;et i&lt;span class="_ _7"&gt;&lt;/span&gt;s ma&lt;span class="_ _7"&gt;&lt;/span&gt;nag&lt;span class="_ _7"&gt;&lt;/span&gt;ed a&lt;span class="_ _7"&gt;&lt;/span&gt;nd th&lt;span class="_ _7"&gt;&lt;/span&gt;e ch&lt;span class="_ _7"&gt;&lt;/span&gt;ar&lt;span class="_ _7"&gt;&lt;/span&gt;act&lt;span class="_ _7"&gt;&lt;/span&gt;er&lt;span class="_ _7"&gt;&lt;/span&gt;is&lt;span class="_ _7"&gt;&lt;/span&gt;tic&lt;span class="_ _7"&gt;&lt;/span&gt;s o&lt;span class="_ _7"&gt;&lt;/span&gt;f th&lt;span class="_ _7"&gt;&lt;/span&gt;e as&lt;span class="_ _7"&gt;&lt;/span&gt;s&lt;span class="_ _7"&gt;&lt;/span&gt;et&lt;span class="_ _7"&gt;&lt;/span&gt;s’ co&lt;span class="_ _7"&gt;&lt;/span&gt;ntr&lt;span class="_ _7"&gt;&lt;/span&gt;ac&lt;span class="_ _7"&gt;&lt;/span&gt;tu&lt;span class="_ _7"&gt;&lt;/span&gt;al &lt;/span&gt;&lt;span style="display:inherit;clear:left;"&gt;ca&lt;span class="_ _7"&gt;&lt;/span&gt;sh&lt;span class="_ _7"&gt;&lt;/span&gt;fl&lt;span class="_ _7"&gt;&lt;/span&gt;ows&lt;span class="_ _7"&gt;&lt;/span&gt;. T&lt;span class="_ _7"&gt;&lt;/span&gt;he fo&lt;span class="_ _7"&gt;&lt;/span&gt;llo&lt;span class="_ _7"&gt;&lt;/span&gt;win&lt;span class="_ _7"&gt;&lt;/span&gt;g me&lt;span class="_ _7"&gt;&lt;/span&gt;as&lt;span class="_ _7"&gt;&lt;/span&gt;ure&lt;span class="_ _7"&gt;&lt;/span&gt;me&lt;span class="_ _7"&gt;&lt;/span&gt;nt c&lt;span class="_ _7"&gt;&lt;/span&gt;ate&lt;span class="_ _7"&gt;&lt;/span&gt;gor&lt;span class="_ _7"&gt;&lt;/span&gt;ie&lt;span class="_ _7"&gt;&lt;/span&gt;s ar&lt;span class="_ _7"&gt;&lt;/span&gt;e ap&lt;span class="_ _7"&gt;&lt;/span&gt;pli&lt;span class="_ _7"&gt;&lt;/span&gt;ed a&lt;span class="_ _7"&gt;&lt;/span&gt;t &lt;/span&gt;&lt;span style="display:inherit;clear:left;"&gt;Volvo Ca&lt;span class="_ _7"&gt;&lt;/span&gt;r Gro&lt;span class="_ _7"&gt;&lt;/span&gt;up: &lt;/span&gt;&lt;span style="display:inherit;clear:left;"&gt;• &lt;span class="_ _17"&gt; &lt;/span&gt;f&lt;span class="_ _7"&gt;&lt;/span&gt;in&lt;span class="_ _7"&gt;&lt;/span&gt;anc&lt;span class="_ _7"&gt;&lt;/span&gt;ia&lt;span class="_ _7"&gt;&lt;/span&gt;l as&lt;span class="_ _7"&gt;&lt;/span&gt;s&lt;span class="_ _7"&gt;&lt;/span&gt;et&lt;span class="_ _7"&gt;&lt;/span&gt;s at am&lt;span class="_ _7"&gt;&lt;/span&gt;or&lt;span class="_ _7"&gt;&lt;/span&gt;t&lt;span class="_ _7"&gt;&lt;/span&gt;is&lt;span class="_ _7"&gt;&lt;/span&gt;ed c&lt;span class="_ _7"&gt;&lt;/span&gt;o&lt;span class="_ _7"&gt;&lt;/span&gt;st&lt;/span&gt;&lt;span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pr&lt;span class="_ _7"&gt;&lt;/span&gt;of&lt;span class="_ _7"&gt;&lt;/span&gt;it o&lt;span class="_ _7"&gt;&lt;/span&gt;r lo&lt;span class="_ _7"&gt;&lt;/span&gt;s&lt;span class="_ _7"&gt;&lt;/span&gt;s&lt;/span&gt;&lt;span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oth&lt;span class="_ _7"&gt;&lt;/span&gt;er c&lt;span class="_ _7"&gt;&lt;/span&gt;om&lt;span class="_ _7"&gt;&lt;/span&gt;pr&lt;span class="_ _7"&gt;&lt;/span&gt;ehe&lt;span class="_ _7"&gt;&lt;/span&gt;ns&lt;span class="_ _7"&gt;&lt;/span&gt;iv&lt;span class="_ _7"&gt;&lt;/span&gt;e in&lt;span class="_ _7"&gt;&lt;/span&gt;com&lt;span class="_ _7"&gt;&lt;/span&gt;e&lt;/span&gt;&lt;span style="display:inherit;clear:left;"&gt;Accounts r&lt;span class="_ _2"&gt;&lt;/span&gt;eceivable and o&lt;span class="_ _2"&gt;&lt;/span&gt;ther financial receiv&lt;span class="_ _2"&gt;&lt;/span&gt;ables&lt;/span&gt;&lt;span style="display:inherit;clear:left;"&gt;Acc&lt;span class="_ _7"&gt;&lt;/span&gt;oun&lt;span class="_ _7"&gt;&lt;/span&gt;ts r&lt;span class="_ _7"&gt;&lt;/span&gt;ec&lt;span class="_ _7"&gt;&lt;/span&gt;ei&lt;span class="_ _7"&gt;&lt;/span&gt;vab&lt;span class="_ _7"&gt;&lt;/span&gt;le a&lt;span class="_ _7"&gt;&lt;/span&gt;re cl&lt;span class="_ _7"&gt;&lt;/span&gt;as&lt;span class="_ _7"&gt;&lt;/span&gt;s&lt;span class="_ _7"&gt;&lt;/span&gt;i&lt;span class="_ _7"&gt;&lt;/span&gt;fi&lt;span class="_ _7"&gt;&lt;/span&gt;ed at a&lt;span class="_ _7"&gt;&lt;/span&gt;mo&lt;span class="_ _7"&gt;&lt;/span&gt;r&lt;span class="_ _7"&gt;&lt;/span&gt;ti&lt;span class="_ _7"&gt;&lt;/span&gt;se&lt;span class="_ _7"&gt;&lt;/span&gt;d co&lt;span class="_ _7"&gt;&lt;/span&gt;s&lt;span class="_ _7"&gt;&lt;/span&gt;t,  a&lt;span class="_ _7"&gt;&lt;/span&gt;nd ar&lt;span class="_ _7"&gt;&lt;/span&gt;e me&lt;span class="_ _7"&gt;&lt;/span&gt;as-&lt;/span&gt;&lt;span style="display:inherit;clear:left;"&gt;ure&lt;span class="_ _7"&gt;&lt;/span&gt;d at th&lt;span class="_ _7"&gt;&lt;/span&gt;ei&lt;span class="_ _7"&gt;&lt;/span&gt;r no&lt;span class="_ _7"&gt;&lt;/span&gt;min&lt;span class="_ _7"&gt;&lt;/span&gt;al v&lt;span class="_ _7"&gt;&lt;/span&gt;alu&lt;span class="_ _7"&gt;&lt;/span&gt;e, re&lt;span class="_ _7"&gt;&lt;/span&gt;f&lt;span class="_ _7"&gt;&lt;/span&gt;lec&lt;span class="_ _7"&gt;&lt;/span&gt;ti&lt;span class="_ _7"&gt;&lt;/span&gt;ng th&lt;span class="_ _7"&gt;&lt;/span&gt;e sh&lt;span class="_ _7"&gt;&lt;/span&gt;or&lt;span class="_ _7"&gt;&lt;/span&gt;t&lt;span class="_ _2"&gt;&lt;/span&gt;-ter&lt;span class="_ _7"&gt;&lt;/span&gt;m nat&lt;span class="_ _7"&gt;&lt;/span&gt;ur&lt;span class="_ _7"&gt;&lt;/span&gt;e of th&lt;span class="_ _7"&gt;&lt;/span&gt;es&lt;span class="_ _7"&gt;&lt;/span&gt;e &lt;/span&gt;&lt;span style="display:inherit;clear:left;"&gt;as&lt;span class="_ _7"&gt;&lt;/span&gt;s&lt;span class="_ _7"&gt;&lt;/span&gt;et&lt;span class="_ _7"&gt;&lt;/span&gt;s an&lt;span class="_ _7"&gt;&lt;/span&gt;d the i&lt;span class="_ _7"&gt;&lt;/span&gt;mm&lt;span class="_ _7"&gt;&lt;/span&gt;ate&lt;span class="_ _7"&gt;&lt;/span&gt;ria&lt;span class="_ _7"&gt;&lt;/span&gt;l im&lt;span class="_ _7"&gt;&lt;/span&gt;pa&lt;span class="_ _7"&gt;&lt;/span&gt;ct o&lt;span class="_ _7"&gt;&lt;/span&gt;f dis&lt;span class="_ _7"&gt;&lt;/span&gt;c&lt;span class="_ _7"&gt;&lt;/span&gt;oun&lt;span class="_ _7"&gt;&lt;/span&gt;tin&lt;span class="_ _7"&gt;&lt;/span&gt;g are r&lt;span class="_ _7"&gt;&lt;/span&gt;ec&lt;span class="_ _7"&gt;&lt;/span&gt;og&lt;span class="_ _7"&gt;&lt;/span&gt;ni&lt;span class="_ _7"&gt;&lt;/span&gt;se&lt;span class="_ _7"&gt;&lt;/span&gt;d.  &lt;/span&gt;&lt;span style="display:inherit;clear:left;"&gt;Acc&lt;span class="_ _7"&gt;&lt;/span&gt;oun&lt;span class="_ _7"&gt;&lt;/span&gt;ts r&lt;span class="_ _7"&gt;&lt;/span&gt;ec&lt;span class="_ _7"&gt;&lt;/span&gt;ei&lt;span class="_ _7"&gt;&lt;/span&gt;vab&lt;span class="_ _7"&gt;&lt;/span&gt;le a&lt;span class="_ _7"&gt;&lt;/span&gt;re pr&lt;span class="_ _7"&gt;&lt;/span&gt;e&lt;span class="_ _7"&gt;&lt;/span&gt;se&lt;span class="_ _7"&gt;&lt;/span&gt;nte&lt;span class="_ _7"&gt;&lt;/span&gt;d net a&lt;span class="_ _7"&gt;&lt;/span&gt;f&lt;span class="_ _7"&gt;&lt;/span&gt;te&lt;span class="_ _7"&gt;&lt;/span&gt;r all&lt;span class="_ _7"&gt;&lt;/span&gt;owa&lt;span class="_ _7"&gt;&lt;/span&gt;nc&lt;span class="_ _7"&gt;&lt;/span&gt;e for ex&lt;span class="_ _7"&gt;&lt;/span&gt;pe&lt;span class="_ _7"&gt;&lt;/span&gt;c&lt;span class="_ _7"&gt;&lt;/span&gt;ted &lt;/span&gt;&lt;span style="display:inherit;clear:left;"&gt;cre&lt;span class="_ _7"&gt;&lt;/span&gt;di&lt;span class="_ _7"&gt;&lt;/span&gt;t los&lt;span class="_ _7"&gt;&lt;/span&gt;s&lt;span class="_ _7"&gt;&lt;/span&gt;, s&lt;span class="_ _7"&gt;&lt;/span&gt;e&lt;span class="_ _7"&gt;&lt;/span&gt;e Note 18 – Ac&lt;span class="_ _7"&gt;&lt;/span&gt;co&lt;span class="_ _7"&gt;&lt;/span&gt;unt&lt;span class="_ _7"&gt;&lt;/span&gt;s re&lt;span class="_ _7"&gt;&lt;/span&gt;ce&lt;span class="_ _7"&gt;&lt;/span&gt;iv&lt;span class="_ _7"&gt;&lt;/span&gt;ab&lt;span class="_ _7"&gt;&lt;/span&gt;le an&lt;span class="_ _7"&gt;&lt;/span&gt;d oth&lt;span class="_ _7"&gt;&lt;/span&gt;er cu&lt;span class="_ _7"&gt;&lt;/span&gt;rr&lt;span class="_ _7"&gt;&lt;/span&gt;en&lt;span class="_ _7"&gt;&lt;/span&gt;t and &lt;/span&gt;&lt;span style="display:inherit;clear:left;"&gt;&lt;span&gt;&lt;span style="display:inherit;clear:left;"&gt;no&lt;span class="_ _7"&gt;&lt;/span&gt;n-cur&lt;span class="_ _7"&gt;&lt;/span&gt;ren&lt;span class="_ _7"&gt;&lt;/span&gt;t as&lt;span class="_ _7"&gt;&lt;/span&gt;s&lt;span class="_ _7"&gt;&lt;/span&gt;et&lt;span class="_ _7"&gt;&lt;/span&gt;s&lt;span class="_ _7"&gt;&lt;/span&gt;.&lt;/span&gt;&lt;/span&gt; &lt;/span&gt;&lt;span style="display:inherit;clear:left;"&gt;Customer in&lt;span class="_ _2"&gt;&lt;/span&gt;voices may be subject&lt;span class="_ _2"&gt;&lt;/span&gt; to factoring&lt;span class="_ _2"&gt;&lt;/span&gt; arrangements with &lt;/span&gt;&lt;span style="display:inherit;clear:left;"&gt;a fi&lt;span class="_ _7"&gt;&lt;/span&gt;nan&lt;span class="_ _7"&gt;&lt;/span&gt;ci&lt;span class="_ _7"&gt;&lt;/span&gt;al in&lt;span class="_ _7"&gt;&lt;/span&gt;s&lt;span class="_ _7"&gt;&lt;/span&gt;tit&lt;span class="_ _7"&gt;&lt;/span&gt;uti&lt;span class="_ _7"&gt;&lt;/span&gt;on&lt;span class="_ _7"&gt;&lt;/span&gt;. In th&lt;span class="_ _7"&gt;&lt;/span&gt;o&lt;span class="_ _7"&gt;&lt;/span&gt;se c&lt;span class="_ _7"&gt;&lt;/span&gt;as&lt;span class="_ _7"&gt;&lt;/span&gt;e&lt;span class="_ _7"&gt;&lt;/span&gt;s&lt;span class="_ _7"&gt;&lt;/span&gt;, the i&lt;span class="_ _7"&gt;&lt;/span&gt;nvoi&lt;span class="_ _7"&gt;&lt;/span&gt;ce&lt;span class="_ _7"&gt;&lt;/span&gt;s ar&lt;span class="_ _7"&gt;&lt;/span&gt;e de&lt;span class="_ _7"&gt;&lt;/span&gt;re&lt;span class="_ _7"&gt;&lt;/span&gt;cog&lt;span class="_ _7"&gt;&lt;/span&gt;ni&lt;span class="_ _7"&gt;&lt;/span&gt;s&lt;span class="_ _7"&gt;&lt;/span&gt;ed &lt;/span&gt;&lt;span style="display:inherit;clear:left;"&gt;fr&lt;span class="_ _7"&gt;&lt;/span&gt;om ac&lt;span class="_ _7"&gt;&lt;/span&gt;co&lt;span class="_ _7"&gt;&lt;/span&gt;un&lt;span class="_ _7"&gt;&lt;/span&gt;ts r&lt;span class="_ _7"&gt;&lt;/span&gt;ec&lt;span class="_ _7"&gt;&lt;/span&gt;ei&lt;span class="_ _7"&gt;&lt;/span&gt;vab&lt;span class="_ _7"&gt;&lt;/span&gt;le im&lt;span class="_ _7"&gt;&lt;/span&gt;me&lt;span class="_ _7"&gt;&lt;/span&gt;di&lt;span class="_ _7"&gt;&lt;/span&gt;ate&lt;span class="_ _7"&gt;&lt;/span&gt;ly up&lt;span class="_ _7"&gt;&lt;/span&gt;on s&lt;span class="_ _7"&gt;&lt;/span&gt;et&lt;span class="_ _7"&gt;&lt;/span&gt;tl&lt;span class="_ _7"&gt;&lt;/span&gt;em&lt;span class="_ _7"&gt;&lt;/span&gt;ent&lt;span class="_ _7"&gt;&lt;/span&gt;. If th&lt;span class="_ _7"&gt;&lt;/span&gt;e cr&lt;span class="_ _7"&gt;&lt;/span&gt;ed&lt;span class="_ _7"&gt;&lt;/span&gt;it &lt;/span&gt;&lt;span style="display:inherit;clear:left;"&gt;ri&lt;span class="_ _7"&gt;&lt;/span&gt;sk h&lt;span class="_ _7"&gt;&lt;/span&gt;as n&lt;span class="_ _7"&gt;&lt;/span&gt;ot tr&lt;span class="_ _7"&gt;&lt;/span&gt;an&lt;span class="_ _7"&gt;&lt;/span&gt;s&lt;span class="_ _7"&gt;&lt;/span&gt;fer&lt;span class="_ _7"&gt;&lt;/span&gt;re&lt;span class="_ _7"&gt;&lt;/span&gt;d to th&lt;span class="_ _7"&gt;&lt;/span&gt;e fi&lt;span class="_ _7"&gt;&lt;/span&gt;na&lt;span class="_ _7"&gt;&lt;/span&gt;nci&lt;span class="_ _7"&gt;&lt;/span&gt;al i&lt;span class="_ _7"&gt;&lt;/span&gt;ns&lt;span class="_ _7"&gt;&lt;/span&gt;ti&lt;span class="_ _7"&gt;&lt;/span&gt;tut&lt;span class="_ _7"&gt;&lt;/span&gt;ion t&lt;span class="_ _7"&gt;&lt;/span&gt;he r&lt;span class="_ _7"&gt;&lt;/span&gt;ec&lt;span class="_ _7"&gt;&lt;/span&gt;ei&lt;span class="_ _7"&gt;&lt;/span&gt;vab&lt;span class="_ _7"&gt;&lt;/span&gt;le&lt;span class="_ _7"&gt;&lt;/span&gt;s &lt;/span&gt;&lt;span style="display:inherit;clear:left;"&gt;rem&lt;span class="_ _7"&gt;&lt;/span&gt;ai&lt;span class="_ _7"&gt;&lt;/span&gt;n on th&lt;span class="_ _7"&gt;&lt;/span&gt;e ba&lt;span class="_ _7"&gt;&lt;/span&gt;la&lt;span class="_ _7"&gt;&lt;/span&gt;nc&lt;span class="_ _7"&gt;&lt;/span&gt;e sh&lt;span class="_ _7"&gt;&lt;/span&gt;ee&lt;span class="_ _7"&gt;&lt;/span&gt;t an&lt;span class="_ _7"&gt;&lt;/span&gt;d are p&lt;span class="_ _7"&gt;&lt;/span&gt;re&lt;span class="_ _7"&gt;&lt;/span&gt;s&lt;span class="_ _7"&gt;&lt;/span&gt;ente&lt;span class="_ _7"&gt;&lt;/span&gt;d as O&lt;span class="_ _7"&gt;&lt;/span&gt;th&lt;span class="_ _7"&gt;&lt;/span&gt;er n&lt;span class="_ _7"&gt;&lt;/span&gt;on- &lt;/span&gt;&lt;span style="display:inherit;clear:left;"&gt;&lt;span&gt;&lt;span style="display:inherit;clear:left;"&gt;cur&lt;span class="_ _7"&gt;&lt;/span&gt;re&lt;span class="_ _7"&gt;&lt;/span&gt;nt an&lt;span class="_ _7"&gt;&lt;/span&gt;d cur&lt;span class="_ _7"&gt;&lt;/span&gt;re&lt;span class="_ _7"&gt;&lt;/span&gt;nt f&lt;span class="_ _7"&gt;&lt;/span&gt;in&lt;span class="_ _7"&gt;&lt;/span&gt;anc&lt;span class="_ _7"&gt;&lt;/span&gt;ia&lt;span class="_ _7"&gt;&lt;/span&gt;l as&lt;span class="_ _7"&gt;&lt;/span&gt;s&lt;span class="_ _7"&gt;&lt;/span&gt;et&lt;span class="_ _7"&gt;&lt;/span&gt;s&lt;span class="_ _7"&gt;&lt;/span&gt;.&lt;/span&gt;&lt;/span&gt; &lt;/span&gt;&lt;span style="display:inherit;clear:left;"&gt;Other financial r&lt;span class="_ _2"&gt;&lt;/span&gt;ecei&lt;span class="_ _7"&gt;&lt;/span&gt;vables presented&lt;span class="_ _2"&gt;&lt;/span&gt; as non-curren&lt;span class="_ _2"&gt;&lt;/span&gt;t or/&lt;span class="_ _2"&gt;&lt;/span&gt;and &lt;span class="ls3 ws3"&gt; &lt;/span&gt;&lt;/span&gt;&lt;span style="display:inherit;clear:left;"&gt;cur&lt;span class="_ _7"&gt;&lt;/span&gt;re&lt;span class="_ _7"&gt;&lt;/span&gt;nt oth&lt;span class="_ _7"&gt;&lt;/span&gt;er i&lt;span class="_ _7"&gt;&lt;/span&gt;nte&lt;span class="_ _7"&gt;&lt;/span&gt;re&lt;span class="_ _7"&gt;&lt;/span&gt;st-bear&lt;span class="_ _7"&gt;&lt;/span&gt;ing r&lt;span class="_ _7"&gt;&lt;/span&gt;ec&lt;span class="_ _7"&gt;&lt;/span&gt;ei&lt;span class="_ _7"&gt;&lt;/span&gt;vab&lt;span class="_ _7"&gt;&lt;/span&gt;le&lt;span class="_ _7"&gt;&lt;/span&gt;s an&lt;span class="_ _7"&gt;&lt;/span&gt;d oth&lt;span class="_ _7"&gt;&lt;/span&gt;er a&lt;span class="_ _7"&gt;&lt;/span&gt;s&lt;span class="_ _7"&gt;&lt;/span&gt;se&lt;span class="_ _7"&gt;&lt;/span&gt;ts&lt;span class="_ _7"&gt;&lt;/span&gt;, a&lt;span class="_ _7"&gt;&lt;/span&gt;re &lt;/span&gt;&lt;span style="display:inherit;clear:left;"&gt;me&lt;span class="_ _7"&gt;&lt;/span&gt;as&lt;span class="_ _7"&gt;&lt;/span&gt;ure&lt;span class="_ _7"&gt;&lt;/span&gt;d at a&lt;span class="_ _7"&gt;&lt;/span&gt;mor&lt;span class="_ _9"&gt;&lt;/span&gt;tis&lt;span class="_ _7"&gt;&lt;/span&gt;ed c&lt;span class="_ _7"&gt;&lt;/span&gt;os&lt;span class="_ _7"&gt;&lt;/span&gt;t&lt;span class="_ _7"&gt;&lt;/span&gt;.&lt;/span&gt;&lt;span style="display:inherit;clear:left;"&gt;Deposits&lt;/span&gt;&lt;span style="display:inherit;clear:left;"&gt;A dep&lt;span class="_ _7"&gt;&lt;/span&gt;o&lt;span class="_ _7"&gt;&lt;/span&gt;si&lt;span class="_ _7"&gt;&lt;/span&gt;t is a t&lt;span class="_ _7"&gt;&lt;/span&gt;y&lt;span class="_ _7"&gt;&lt;/span&gt;pe o&lt;span class="_ _7"&gt;&lt;/span&gt;f int&lt;span class="_ _7"&gt;&lt;/span&gt;ere&lt;span class="_ _7"&gt;&lt;/span&gt;s&lt;span class="_ _7"&gt;&lt;/span&gt;t&lt;span class="_ _2"&gt;&lt;/span&gt;-be&lt;span class="_ _7"&gt;&lt;/span&gt;ar&lt;span class="_ _7"&gt;&lt;/span&gt;ing i&lt;span class="_ _7"&gt;&lt;/span&gt;ns&lt;span class="_ _7"&gt;&lt;/span&gt;tr&lt;span class="_ _7"&gt;&lt;/span&gt;um&lt;span class="_ _7"&gt;&lt;/span&gt;ent h&lt;span class="_ _7"&gt;&lt;/span&gt;el&lt;span class="_ _7"&gt;&lt;/span&gt;d at a f&lt;span class="_ _7"&gt;&lt;/span&gt;in&lt;span class="_ _7"&gt;&lt;/span&gt;anc&lt;span class="_ _7"&gt;&lt;/span&gt;ial &lt;/span&gt;&lt;span style="display:inherit;clear:left;"&gt;in&lt;span class="_ _7"&gt;&lt;/span&gt;sti&lt;span class="_ _7"&gt;&lt;/span&gt;tu&lt;span class="_ _7"&gt;&lt;/span&gt;tio&lt;span class="_ _7"&gt;&lt;/span&gt;n wh&lt;span class="_ _7"&gt;&lt;/span&gt;er&lt;span class="_ _7"&gt;&lt;/span&gt;e fu&lt;span class="_ _7"&gt;&lt;/span&gt;nd&lt;span class="_ _7"&gt;&lt;/span&gt;s are p&lt;span class="_ _7"&gt;&lt;/span&gt;l&lt;span class="_ _7"&gt;&lt;/span&gt;ace&lt;span class="_ _7"&gt;&lt;/span&gt;d fo&lt;span class="_ _7"&gt;&lt;/span&gt;r a fi&lt;span class="_ _7"&gt;&lt;/span&gt;xe&lt;span class="_ _7"&gt;&lt;/span&gt;d ter&lt;span class="_ _7"&gt;&lt;/span&gt;m at a pr&lt;span class="_ _7"&gt;&lt;/span&gt;ed&lt;span class="_ _7"&gt;&lt;/span&gt;ete&lt;span class="_ _7"&gt;&lt;/span&gt;r&lt;span class="_ _2"&gt;&lt;/span&gt;-&lt;/span&gt;&lt;span style="display:inherit;clear:left;"&gt;min&lt;span class="_ _7"&gt;&lt;/span&gt;ed i&lt;span class="_ _7"&gt;&lt;/span&gt;nte&lt;span class="_ _7"&gt;&lt;/span&gt;re&lt;span class="_ _7"&gt;&lt;/span&gt;st r&lt;span class="_ _7"&gt;&lt;/span&gt;ate a&lt;span class="_ _7"&gt;&lt;/span&gt;nd c&lt;span class="_ _7"&gt;&lt;/span&gt;an&lt;span class="_ _7"&gt;&lt;/span&gt;no&lt;span class="_ _7"&gt;&lt;/span&gt;t be w&lt;span class="_ _7"&gt;&lt;/span&gt;ith&lt;span class="_ _7"&gt;&lt;/span&gt;dr&lt;span class="_ _7"&gt;&lt;/span&gt;awn b&lt;span class="_ _7"&gt;&lt;/span&gt;ef&lt;span class="_ _7"&gt;&lt;/span&gt;or&lt;span class="_ _7"&gt;&lt;/span&gt;e mat&lt;span class="_ _7"&gt;&lt;/span&gt;ur&lt;span class="_ _7"&gt;&lt;/span&gt;it&lt;span class="_ _7"&gt;&lt;/span&gt;y.&lt;span class="fc9"&gt; &lt;/span&gt;&lt;/span&gt;&lt;span style="display:inherit;clear:left;"&gt;A dep&lt;span class="_ _7"&gt;&lt;/span&gt;o&lt;span class="_ _7"&gt;&lt;/span&gt;si&lt;span class="_ _7"&gt;&lt;/span&gt;t al&lt;span class="_ _7"&gt;&lt;/span&gt;so ex&lt;span class="_ _7"&gt;&lt;/span&gt;i&lt;span class="_ _7"&gt;&lt;/span&gt;st w&lt;span class="_ _7"&gt;&lt;/span&gt;ith&lt;span class="_ _7"&gt;&lt;/span&gt;ou&lt;span class="_ _7"&gt;&lt;/span&gt;t a fi&lt;span class="_ _7"&gt;&lt;/span&gt;xe&lt;span class="_ _7"&gt;&lt;/span&gt;d mat&lt;span class="_ _7"&gt;&lt;/span&gt;ur&lt;span class="_ _7"&gt;&lt;/span&gt;it&lt;span class="_ _7"&gt;&lt;/span&gt;y da&lt;span class="_ _7"&gt;&lt;/span&gt;te, i&lt;span class="_ _7"&gt;&lt;/span&gt;n whi&lt;span class="_ _7"&gt;&lt;/span&gt;ch c&lt;span class="_ _7"&gt;&lt;/span&gt;as&lt;span class="_ _7"&gt;&lt;/span&gt;e &lt;/span&gt;&lt;span style="display:inherit;clear:left;"&gt;ad&lt;span class="_ _7"&gt;&lt;/span&gt;van&lt;span class="_ _7"&gt;&lt;/span&gt;ce n&lt;span class="_ _7"&gt;&lt;/span&gt;oti&lt;span class="_ _7"&gt;&lt;/span&gt;ce i&lt;span class="_ _7"&gt;&lt;/span&gt;s re&lt;span class="_ _7"&gt;&lt;/span&gt;qui&lt;span class="_ _7"&gt;&lt;/span&gt;re&lt;span class="_ _7"&gt;&lt;/span&gt;d be&lt;span class="_ _7"&gt;&lt;/span&gt;fo&lt;span class="_ _7"&gt;&lt;/span&gt;re f&lt;span class="_ _7"&gt;&lt;/span&gt;un&lt;span class="_ _7"&gt;&lt;/span&gt;ds c&lt;span class="_ _7"&gt;&lt;/span&gt;an b&lt;span class="_ _7"&gt;&lt;/span&gt;e wi&lt;span class="_ _7"&gt;&lt;/span&gt;thd&lt;span class="_ _7"&gt;&lt;/span&gt;raw&lt;span class="_ _7"&gt;&lt;/span&gt;n&lt;span class="_ _7"&gt;&lt;/span&gt;. De&lt;span class="_ _7"&gt;&lt;/span&gt;po&lt;span class="_ _7"&gt;&lt;/span&gt;si&lt;span class="_ _7"&gt;&lt;/span&gt;ts &lt;/span&gt;&lt;span style="display:inherit;clear:left;"&gt;are m&lt;span class="_ _7"&gt;&lt;/span&gt;ea&lt;span class="_ _7"&gt;&lt;/span&gt;su&lt;span class="_ _7"&gt;&lt;/span&gt;re&lt;span class="_ _7"&gt;&lt;/span&gt;d at am&lt;span class="_ _7"&gt;&lt;/span&gt;or&lt;span class="_ _7"&gt;&lt;/span&gt;t&lt;span class="_ _7"&gt;&lt;/span&gt;is&lt;span class="_ _7"&gt;&lt;/span&gt;ed c&lt;span class="_ _7"&gt;&lt;/span&gt;os&lt;span class="_ _7"&gt;&lt;/span&gt;t&lt;span class="_ _7"&gt;&lt;/span&gt;. &lt;/span&gt;&lt;span style="display:inherit;clear:left;"&gt;Equity repurchase&lt;span class="_ _2"&gt;&lt;/span&gt; agreements&lt;/span&gt;&lt;span style="display:inherit;clear:left;"&gt;Equi&lt;span class="_ _7"&gt;&lt;/span&gt;t&lt;span class="_ _7"&gt;&lt;/span&gt;y re&lt;span class="_ _7"&gt;&lt;/span&gt;pu&lt;span class="_ _7"&gt;&lt;/span&gt;rch&lt;span class="_ _7"&gt;&lt;/span&gt;as&lt;span class="_ _7"</t>
  </si>
  <si>
    <t>f1__s8__6__155-1</t>
  </si>
  <si>
    <t>ifrs-full:DescriptionOfAccountingPolicyForFinancialInstrumentsExplanatory</t>
  </si>
  <si>
    <t>&lt;span style="display:inherit;clear:left;"&gt;ACCOUNTING&lt;span class="_ _2"&gt;&lt;/span&gt; POLICIES&lt;/span&gt;&lt;span style="display:inherit;clear:left;"&gt;Recog&lt;span class="_ _7"&gt;&lt;/span&gt;ni&lt;span class="_ _7"&gt;&lt;/span&gt;tion an&lt;span class="_ _7"&gt;&lt;/span&gt;d dere&lt;span class="_ _7"&gt;&lt;/span&gt;cog&lt;span class="_ _7"&gt;&lt;/span&gt;niti&lt;span class="_ _7"&gt;&lt;/span&gt;on &lt;/span&gt;&lt;span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style="display:inherit;clear:left;"&gt;&lt;span&gt;&lt;span style="display:inherit;clear:left;"&gt;contractual pro&lt;span class="_ _2"&gt;&lt;/span&gt;vis&lt;span class="_ _7"&gt;&lt;/span&gt;ions of t&lt;span class="_ _2"&gt;&lt;/span&gt;he instrument.&lt;/span&gt;&lt;/span&gt; &lt;/span&gt;&lt;span style="display:inherit;clear:left;"&gt;Fin&lt;span class="_ _7"&gt;&lt;/span&gt;an&lt;span class="_ _7"&gt;&lt;/span&gt;cia&lt;span class="_ _7"&gt;&lt;/span&gt;l as&lt;span class="_ _7"&gt;&lt;/span&gt;s&lt;span class="_ _7"&gt;&lt;/span&gt;et&lt;span class="_ _7"&gt;&lt;/span&gt;s ar&lt;span class="_ _7"&gt;&lt;/span&gt;e ini&lt;span class="_ _7"&gt;&lt;/span&gt;ti&lt;span class="_ _7"&gt;&lt;/span&gt;ally r&lt;span class="_ _7"&gt;&lt;/span&gt;ec&lt;span class="_ _7"&gt;&lt;/span&gt;og&lt;span class="_ _7"&gt;&lt;/span&gt;ni&lt;span class="_ _7"&gt;&lt;/span&gt;se&lt;span class="_ _7"&gt;&lt;/span&gt;d at f&lt;span class="_ _7"&gt;&lt;/span&gt;air v&lt;span class="_ _7"&gt;&lt;/span&gt;alu&lt;span class="_ _7"&gt;&lt;/span&gt;e pl&lt;span class="_ _7"&gt;&lt;/span&gt;us tr&lt;span class="_ _7"&gt;&lt;/span&gt;an&lt;span class="_ _7"&gt;&lt;/span&gt;s&lt;span class="_ _7"&gt;&lt;/span&gt;ac-&lt;/span&gt;&lt;span style="display:inherit;clear:left;"&gt;tio&lt;span class="_ _7"&gt;&lt;/span&gt;n co&lt;span class="_ _7"&gt;&lt;/span&gt;s&lt;span class="_ _7"&gt;&lt;/span&gt;ts&lt;span class="_ _7"&gt;&lt;/span&gt;, exce&lt;span class="_ _7"&gt;&lt;/span&gt;pt f&lt;span class="_ _7"&gt;&lt;/span&gt;or f&lt;span class="_ _7"&gt;&lt;/span&gt;in&lt;span class="_ _7"&gt;&lt;/span&gt;anc&lt;span class="_ _7"&gt;&lt;/span&gt;ia&lt;span class="_ _7"&gt;&lt;/span&gt;l as&lt;span class="_ _7"&gt;&lt;/span&gt;s&lt;span class="_ _7"&gt;&lt;/span&gt;et&lt;span class="_ _7"&gt;&lt;/span&gt;s ca&lt;span class="_ _7"&gt;&lt;/span&gt;rr&lt;span class="_ _7"&gt;&lt;/span&gt;ie&lt;span class="_ _7"&gt;&lt;/span&gt;d at f&lt;span class="_ _7"&gt;&lt;/span&gt;air v&lt;span class="_ _7"&gt;&lt;/span&gt;alu&lt;span class="_ _7"&gt;&lt;/span&gt;e thr&lt;span class="_ _7"&gt;&lt;/span&gt;oug&lt;span class="_ _7"&gt;&lt;/span&gt;h &lt;/span&gt;&lt;span style="display:inherit;clear:left;"&gt;pro&lt;span class="_ _7"&gt;&lt;/span&gt;f&lt;span class="_ _7"&gt;&lt;/span&gt;it or l&lt;span class="_ _7"&gt;&lt;/span&gt;os&lt;span class="_ _7"&gt;&lt;/span&gt;s&lt;span class="_ _7"&gt;&lt;/span&gt;. In t&lt;span class="_ _7"&gt;&lt;/span&gt;hi&lt;span class="_ _7"&gt;&lt;/span&gt;s ca&lt;span class="_ _7"&gt;&lt;/span&gt;se t&lt;span class="_ _7"&gt;&lt;/span&gt;ra&lt;span class="_ _7"&gt;&lt;/span&gt;ns&lt;span class="_ _7"&gt;&lt;/span&gt;ac&lt;span class="_ _7"&gt;&lt;/span&gt;ti&lt;span class="_ _7"&gt;&lt;/span&gt;on c&lt;span class="_ _7"&gt;&lt;/span&gt;os&lt;span class="_ _7"&gt;&lt;/span&gt;t&lt;span class="_ _7"&gt;&lt;/span&gt;s are ex&lt;span class="_ _7"&gt;&lt;/span&gt;pe&lt;span class="_ _7"&gt;&lt;/span&gt;ns&lt;span class="_ _7"&gt;&lt;/span&gt;e&lt;span class="_ _7"&gt;&lt;/span&gt;d in th&lt;span class="_ _7"&gt;&lt;/span&gt;e &lt;/span&gt;&lt;span style="display:inherit;clear:left;"&gt;inc&lt;span class="_ _7"&gt;&lt;/span&gt;om&lt;span class="_ _7"&gt;&lt;/span&gt;e s&lt;span class="_ _7"&gt;&lt;/span&gt;tat&lt;span class="_ _7"&gt;&lt;/span&gt;eme&lt;span class="_ _7"&gt;&lt;/span&gt;nt&lt;span class="_ _7"&gt;&lt;/span&gt;. Fi&lt;span class="_ _7"&gt;&lt;/span&gt;nan&lt;span class="_ _7"&gt;&lt;/span&gt;ci&lt;span class="_ _7"&gt;&lt;/span&gt;al li&lt;span class="_ _7"&gt;&lt;/span&gt;ab&lt;span class="_ _7"&gt;&lt;/span&gt;ili&lt;span class="_ _7"&gt;&lt;/span&gt;tie&lt;span class="_ _7"&gt;&lt;/span&gt;s ar&lt;span class="_ _7"&gt;&lt;/span&gt;e in&lt;span class="_ _7"&gt;&lt;/span&gt;iti&lt;span class="_ _7"&gt;&lt;/span&gt;ally r&lt;span class="_ _7"&gt;&lt;/span&gt;ec&lt;span class="_ _7"&gt;&lt;/span&gt;og&lt;span class="_ _7"&gt;&lt;/span&gt;ni&lt;span class="_ _7"&gt;&lt;/span&gt;se&lt;span class="_ _7"&gt;&lt;/span&gt;d at f&lt;span class="_ _7"&gt;&lt;/span&gt;ai&lt;span class="_ _7"&gt;&lt;/span&gt;r &lt;/span&gt;&lt;span style="display:inherit;clear:left;"&gt;val&lt;span class="_ _7"&gt;&lt;/span&gt;ue le&lt;span class="_ _7"&gt;&lt;/span&gt;s&lt;span class="_ _7"&gt;&lt;/span&gt;s tr&lt;span class="_ _7"&gt;&lt;/span&gt;an&lt;span class="_ _7"&gt;&lt;/span&gt;s&lt;span class="_ _7"&gt;&lt;/span&gt;act&lt;span class="_ _7"&gt;&lt;/span&gt;io&lt;span class="_ _7"&gt;&lt;/span&gt;n co&lt;span class="_ _7"&gt;&lt;/span&gt;st&lt;span class="_ _7"&gt;&lt;/span&gt;s&lt;span class="_ _7"&gt;&lt;/span&gt;, exce&lt;span class="_ _7"&gt;&lt;/span&gt;pt fo&lt;span class="_ _7"&gt;&lt;/span&gt;r th&lt;span class="_ _7"&gt;&lt;/span&gt;os&lt;span class="_ _7"&gt;&lt;/span&gt;e f&lt;span class="_ _7"&gt;&lt;/span&gt;ina&lt;span class="_ _7"&gt;&lt;/span&gt;nc&lt;span class="_ _7"&gt;&lt;/span&gt;ial l&lt;span class="_ _7"&gt;&lt;/span&gt;iab&lt;span class="_ _7"&gt;&lt;/span&gt;il&lt;span class="_ _7"&gt;&lt;/span&gt;iti&lt;span class="_ _7"&gt;&lt;/span&gt;es &lt;/span&gt;&lt;span style="display:inherit;clear:left;"&gt;ca&lt;span class="_ _7"&gt;&lt;/span&gt;rr&lt;span class="_ _7"&gt;&lt;/span&gt;ie&lt;span class="_ _7"&gt;&lt;/span&gt;d at fa&lt;span class="_ _7"&gt;&lt;/span&gt;ir v&lt;span class="_ _7"&gt;&lt;/span&gt;alu&lt;span class="_ _7"&gt;&lt;/span&gt;e thr&lt;span class="_ _7"&gt;&lt;/span&gt;oug&lt;span class="_ _7"&gt;&lt;/span&gt;h pr&lt;span class="_ _7"&gt;&lt;/span&gt;of&lt;span class="_ _7"&gt;&lt;/span&gt;it o&lt;span class="_ _7"&gt;&lt;/span&gt;r lo&lt;span class="_ _7"&gt;&lt;/span&gt;s&lt;span class="_ _7"&gt;&lt;/span&gt;s. Fo&lt;span class="_ _7"&gt;&lt;/span&gt;r th&lt;span class="_ _7"&gt;&lt;/span&gt;es&lt;span class="_ _7"&gt;&lt;/span&gt;e li&lt;span class="_ _7"&gt;&lt;/span&gt;ab&lt;span class="_ _7"&gt;&lt;/span&gt;ili&lt;span class="_ _7"&gt;&lt;/span&gt;tie&lt;span class="_ _7"&gt;&lt;/span&gt;s tr&lt;span class="_ _7"&gt;&lt;/span&gt;an&lt;span class="_ _7"&gt;&lt;/span&gt;s-&lt;/span&gt;&lt;span style="display:inherit;clear:left;"&gt;action costs are&lt;span class="_ _2"&gt;&lt;/span&gt; expense&lt;span class="_ _7"&gt;&lt;/span&gt;d in&lt;span class="_ _2"&gt;&lt;/span&gt; the income statement.&lt;/span&gt;&lt;span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a&lt;span class="_ _7"&gt;&lt;/span&gt;s&lt;span class="_ _7"&gt;&lt;/span&gt;se&lt;span class="_ _7"&gt;&lt;/span&gt;ts o&lt;span class="_ _7"&gt;&lt;/span&gt;r a po&lt;span class="_ _7"&gt;&lt;/span&gt;r&lt;span class="_ _7"&gt;&lt;/span&gt;ti&lt;span class="_ _7"&gt;&lt;/span&gt;on of a&lt;span class="_ _7"&gt;&lt;/span&gt; &lt;/span&gt;&lt;span style="display:inherit;clear:left;"&gt;fi&lt;span class="_ _7"&gt;&lt;/span&gt;nan&lt;span class="_ _7"&gt;&lt;/span&gt;ci&lt;span class="_ _7"&gt;&lt;/span&gt;al a&lt;span class="_ _7"&gt;&lt;/span&gt;s&lt;span class="_ _7"&gt;&lt;/span&gt;se&lt;span class="_ _7"&gt;&lt;/span&gt;t fr&lt;span class="_ _7"&gt;&lt;/span&gt;om th&lt;span class="_ _7"&gt;&lt;/span&gt;e ba&lt;span class="_ _7"&gt;&lt;/span&gt;la&lt;span class="_ _7"&gt;&lt;/span&gt;nc&lt;span class="_ _7"&gt;&lt;/span&gt;e sh&lt;span class="_ _7"&gt;&lt;/span&gt;ee&lt;span class="_ _7"&gt;&lt;/span&gt;t up&lt;span class="_ _7"&gt;&lt;/span&gt;on ex&lt;span class="_ _7"&gt;&lt;/span&gt;pir&lt;span class="_ _9"&gt;&lt;/span&gt;y, when i&lt;span class="_ _7"&gt;&lt;/span&gt;t ha&lt;span class="_ _7"&gt;&lt;/span&gt;s be&lt;span class="_ _7"&gt;&lt;/span&gt;en &lt;/span&gt;&lt;span style="display:inherit;clear:left;"&gt;se&lt;span class="_ _7"&gt;&lt;/span&gt;t&lt;span class="_ _7"&gt;&lt;/span&gt;tle&lt;span class="_ _7"&gt;&lt;/span&gt;d or wh&lt;span class="_ _7"&gt;&lt;/span&gt;en a&lt;span class="_ _7"&gt;&lt;/span&gt;ll s&lt;span class="_ _7"&gt;&lt;/span&gt;ign&lt;span class="_ _7"&gt;&lt;/span&gt;if&lt;span class="_ _7"&gt;&lt;/span&gt;ic&lt;span class="_ _7"&gt;&lt;/span&gt;a&lt;span class="_ _7"&gt;&lt;/span&gt;nt ri&lt;span class="_ _7"&gt;&lt;/span&gt;sk&lt;span class="_ _7"&gt;&lt;/span&gt;s an&lt;span class="_ _7"&gt;&lt;/span&gt;d rew&lt;span class="_ _7"&gt;&lt;/span&gt;ard&lt;span class="_ _7"&gt;&lt;/span&gt;s li&lt;span class="_ _7"&gt;&lt;/span&gt;nked t&lt;span class="_ _7"&gt;&lt;/span&gt;o the a&lt;span class="_ _7"&gt;&lt;/span&gt;s&lt;span class="_ _7"&gt;&lt;/span&gt;se&lt;span class="_ _7"&gt;&lt;/span&gt;t &lt;/span&gt;&lt;span style="display:inherit;clear:left;"&gt;have b&lt;span class="_ _7"&gt;&lt;/span&gt;e&lt;span class="_ _7"&gt;&lt;/span&gt;en tr&lt;span class="_ _7"&gt;&lt;/span&gt;an&lt;span class="_ _7"&gt;&lt;/span&gt;s&lt;span class="_ _7"&gt;&lt;/span&gt;fer&lt;span class="_ _7"&gt;&lt;/span&gt;re&lt;span class="_ _7"&gt;&lt;/span&gt;d to a th&lt;span class="_ _7"&gt;&lt;/span&gt;ir&lt;span class="_ _7"&gt;&lt;/span&gt;d pa&lt;span class="_ _7"&gt;&lt;/span&gt;r&lt;span class="_ _7"&gt;&lt;/span&gt;t&lt;span class="_ _7"&gt;&lt;/span&gt;y. In tho&lt;span class="_ _7"&gt;&lt;/span&gt;se c&lt;span class="_ _7"&gt;&lt;/span&gt;as&lt;span class="_ _7"&gt;&lt;/span&gt;e&lt;span class="_ _7"&gt;&lt;/span&gt;s wh&lt;span class="_ _7"&gt;&lt;/span&gt;er&lt;span class="_ _7"&gt;&lt;/span&gt;e Volvo Car&lt;span class="_ _7"&gt;&lt;/span&gt; &lt;/span&gt;&lt;span style="display:inherit;clear:left;"&gt;Gro&lt;span class="_ _7"&gt;&lt;/span&gt;up c&lt;span class="_ _7"&gt;&lt;/span&gt;on&lt;span class="_ _7"&gt;&lt;/span&gt;clu&lt;span class="_ _7"&gt;&lt;/span&gt;de&lt;span class="_ _7"&gt;&lt;/span&gt;s tha&lt;span class="_ _7"&gt;&lt;/span&gt;t all s&lt;span class="_ _7"&gt;&lt;/span&gt;ig&lt;span class="_ _7"&gt;&lt;/span&gt;ni&lt;span class="_ _7"&gt;&lt;/span&gt;fi&lt;span class="_ _7"&gt;&lt;/span&gt;c&lt;span class="_ _7"&gt;&lt;/span&gt;ant r&lt;span class="_ _7"&gt;&lt;/span&gt;is&lt;span class="_ _7"&gt;&lt;/span&gt;ks an&lt;span class="_ _7"&gt;&lt;/span&gt;d re&lt;span class="_ _7"&gt;&lt;/span&gt;war&lt;span class="_ _7"&gt;&lt;/span&gt;ds h&lt;span class="_ _7"&gt;&lt;/span&gt;ave n&lt;span class="_ _7"&gt;&lt;/span&gt;ot b&lt;span class="_ _7"&gt;&lt;/span&gt;ee&lt;span class="_ _7"&gt;&lt;/span&gt;n &lt;/span&gt;&lt;span style="display:inherit;clear:left;"&gt;tr&lt;span class="_ _7"&gt;&lt;/span&gt;ans&lt;span class="_ _7"&gt;&lt;/span&gt;f&lt;span class="_ _7"&gt;&lt;/span&gt;er&lt;span class="_ _7"&gt;&lt;/span&gt;re&lt;span class="_ _7"&gt;&lt;/span&gt;d, th&lt;span class="_ _7"&gt;&lt;/span&gt;e po&lt;span class="_ _7"&gt;&lt;/span&gt;r&lt;span class="_ _7"&gt;&lt;/span&gt;ti&lt;span class="_ _7"&gt;&lt;/span&gt;on o&lt;span class="_ _7"&gt;&lt;/span&gt;f the f&lt;span class="_ _7"&gt;&lt;/span&gt;in&lt;span class="_ _7"&gt;&lt;/span&gt;an&lt;span class="_ _7"&gt;&lt;/span&gt;cia&lt;span class="_ _7"&gt;&lt;/span&gt;l as&lt;span class="_ _7"&gt;&lt;/span&gt;s&lt;span class="_ _7"&gt;&lt;/span&gt;et&lt;span class="_ _7"&gt;&lt;/span&gt;s co&lt;span class="_ _7"&gt;&lt;/span&gt;rr&lt;span class="_ _7"&gt;&lt;/span&gt;es&lt;span class="_ _7"&gt;&lt;/span&gt;p&lt;span class="_ _7"&gt;&lt;/span&gt;ond&lt;span class="_ _7"&gt;&lt;/span&gt;in&lt;span class="_ _7"&gt;&lt;/span&gt;g to Volvo &lt;/span&gt;&lt;span style="display:inherit;clear:left;"&gt;Ca&lt;span class="_ _7"&gt;&lt;/span&gt;r Gro&lt;span class="_ _7"&gt;&lt;/span&gt;up&lt;span class="_ _7"&gt;&lt;/span&gt;s’ co&lt;span class="_ _7"&gt;&lt;/span&gt;nti&lt;span class="_ _7"&gt;&lt;/span&gt;nu&lt;span class="_ _7"&gt;&lt;/span&gt;ou&lt;span class="_ _7"&gt;&lt;/span&gt;s invo&lt;span class="_ _7"&gt;&lt;/span&gt;lve&lt;span class="_ _7"&gt;&lt;/span&gt;men&lt;span class="_ _7"&gt;&lt;/span&gt;t co&lt;span class="_ _7"&gt;&lt;/span&gt;nti&lt;span class="_ _7"&gt;&lt;/span&gt;nue&lt;span class="_ _7"&gt;&lt;/span&gt;s to b&lt;span class="_ _7"&gt;&lt;/span&gt;e re&lt;span class="_ _7"&gt;&lt;/span&gt;cog&lt;span class="_ _7"&gt;&lt;/span&gt;ni&lt;span class="_ _7"&gt;&lt;/span&gt;s&lt;span class="_ _7"&gt;&lt;/span&gt;ed&lt;span class="_ _7"&gt;&lt;/span&gt;.&lt;/span&gt;&lt;span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li&lt;span class="_ _7"&gt;&lt;/span&gt;ab&lt;span class="_ _7"&gt;&lt;/span&gt;ili&lt;span class="_ _7"&gt;&lt;/span&gt;ti&lt;span class="_ _7"&gt;&lt;/span&gt;es o&lt;span class="_ _7"&gt;&lt;/span&gt;r&lt;span class="fc5"&gt; a po&lt;span class="_ _7"&gt;&lt;/span&gt;r&lt;span class="_ _7"&gt;&lt;/span&gt;tio&lt;span class="_ _7"&gt;&lt;/span&gt;n of a &lt;/span&gt;&lt;/span&gt;&lt;span style="display:inherit;clear:left;"&gt;fi&lt;span class="_ _7"&gt;&lt;/span&gt;nan&lt;span class="_ _7"&gt;&lt;/span&gt;ci&lt;span class="_ _7"&gt;&lt;/span&gt;al li&lt;span class="_ _7"&gt;&lt;/span&gt;ab&lt;span class="_ _7"&gt;&lt;/span&gt;ili&lt;span class="_ _7"&gt;&lt;/span&gt;t&lt;span class="_ _7"&gt;&lt;/span&gt;y fr&lt;span class="_ _7"&gt;&lt;/span&gt;om th&lt;span class="_ _7"&gt;&lt;/span&gt;e b&lt;span class="_ _7"&gt;&lt;/span&gt;al&lt;span class="_ _7"&gt;&lt;/span&gt;anc&lt;span class="_ _7"&gt;&lt;/span&gt;e sh&lt;span class="_ _7"&gt;&lt;/span&gt;ee&lt;span class="_ _7"&gt;&lt;/span&gt;t wh&lt;span class="_ _7"&gt;&lt;/span&gt;en th&lt;span class="_ _7"&gt;&lt;/span&gt;e ob&lt;span class="_ _7"&gt;&lt;/span&gt;lig&lt;span class="_ _7"&gt;&lt;/span&gt;ati&lt;span class="_ _7"&gt;&lt;/span&gt;on i&lt;span class="_ _7"&gt;&lt;/span&gt;n the &lt;/span&gt;&lt;span style="display:inherit;clear:left;"&gt;con&lt;span class="_ _7"&gt;&lt;/span&gt;tr&lt;span class="_ _7"&gt;&lt;/span&gt;ac&lt;span class="_ _7"&gt;&lt;/span&gt;t ha&lt;span class="_ _7"&gt;&lt;/span&gt;s be&lt;span class="_ _7"&gt;&lt;/span&gt;en s&lt;span class="_ _7"&gt;&lt;/span&gt;et&lt;span class="_ _7"&gt;&lt;/span&gt;tl&lt;span class="_ _7"&gt;&lt;/span&gt;ed&lt;span class="_ _7"&gt;&lt;/span&gt;, ca&lt;span class="_ _7"&gt;&lt;/span&gt;nc&lt;span class="_ _7"&gt;&lt;/span&gt;el&lt;span class="_ _7"&gt;&lt;/span&gt;led&lt;span class="_ _7"&gt;&lt;/span&gt;, or ex&lt;span class="_ _7"&gt;&lt;/span&gt;pi&lt;span class="_ _7"&gt;&lt;/span&gt;re&lt;span class="_ _7"&gt;&lt;/span&gt;d.&lt;/span&gt;&lt;span style="display:inherit;clear:left;"&gt;Classi&lt;span class="_ _7"&gt;&lt;/span&gt;fication of financial assets &lt;/span&gt;&lt;span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fi&lt;span class="_ _7"&gt;&lt;/span&gt;nan&lt;span class="_ _7"&gt;&lt;/span&gt;ci&lt;span class="_ _7"&gt;&lt;/span&gt;al a&lt;span class="_ _7"&gt;&lt;/span&gt;ss&lt;span class="_ _7"&gt;&lt;/span&gt;e&lt;span class="_ _7"&gt;&lt;/span&gt;ts d&lt;span class="_ _7"&gt;&lt;/span&gt;ep&lt;span class="_ _7"&gt;&lt;/span&gt;en&lt;span class="_ _7"&gt;&lt;/span&gt;din&lt;span class="_ _7"&gt;&lt;/span&gt;g on h&lt;span class="_ _7"&gt;&lt;/span&gt;ow th&lt;span class="_ _7"&gt;&lt;/span&gt;e &lt;/span&gt;&lt;span style="display:inherit;clear:left;"&gt;as&lt;span class="_ _7"&gt;&lt;/span&gt;s&lt;span class="_ _7"&gt;&lt;/span&gt;et i&lt;span class="_ _7"&gt;&lt;/span&gt;s ma&lt;span class="_ _7"&gt;&lt;/span&gt;nag&lt;span class="_ _7"&gt;&lt;/span&gt;ed a&lt;span class="_ _7"&gt;&lt;/span&gt;nd th&lt;span class="_ _7"&gt;&lt;/span&gt;e ch&lt;span class="_ _7"&gt;&lt;/span&gt;ar&lt;span class="_ _7"&gt;&lt;/span&gt;act&lt;span class="_ _7"&gt;&lt;/span&gt;er&lt;span class="_ _7"&gt;&lt;/span&gt;is&lt;span class="_ _7"&gt;&lt;/span&gt;tic&lt;span class="_ _7"&gt;&lt;/span&gt;s o&lt;span class="_ _7"&gt;&lt;/span&gt;f th&lt;span class="_ _7"&gt;&lt;/span&gt;e as&lt;span class="_ _7"&gt;&lt;/span&gt;s&lt;span class="_ _7"&gt;&lt;/span&gt;et&lt;span class="_ _7"&gt;&lt;/span&gt;s’ co&lt;span class="_ _7"&gt;&lt;/span&gt;ntr&lt;span class="_ _7"&gt;&lt;/span&gt;ac&lt;span class="_ _7"&gt;&lt;/span&gt;tu&lt;span class="_ _7"&gt;&lt;/span&gt;al &lt;/span&gt;&lt;span style="display:inherit;clear:left;"&gt;ca&lt;span class="_ _7"&gt;&lt;/span&gt;sh&lt;span class="_ _7"&gt;&lt;/span&gt;fl&lt;span class="_ _7"&gt;&lt;/span&gt;ows&lt;span class="_ _7"&gt;&lt;/span&gt;. T&lt;span class="_ _7"&gt;&lt;/span&gt;he fo&lt;span class="_ _7"&gt;&lt;/span&gt;llo&lt;span class="_ _7"&gt;&lt;/span&gt;win&lt;span class="_ _7"&gt;&lt;/span&gt;g me&lt;span class="_ _7"&gt;&lt;/span&gt;as&lt;span class="_ _7"&gt;&lt;/span&gt;ure&lt;span class="_ _7"&gt;&lt;/span&gt;me&lt;span class="_ _7"&gt;&lt;/span&gt;nt c&lt;span class="_ _7"&gt;&lt;/span&gt;ate&lt;span class="_ _7"&gt;&lt;/span&gt;gor&lt;span class="_ _7"&gt;&lt;/span&gt;ie&lt;span class="_ _7"&gt;&lt;/span&gt;s ar&lt;span class="_ _7"&gt;&lt;/span&gt;e ap&lt;span class="_ _7"&gt;&lt;/span&gt;pli&lt;span class="_ _7"&gt;&lt;/span&gt;ed a&lt;span class="_ _7"&gt;&lt;/span&gt;t &lt;/span&gt;&lt;span style="display:inherit;clear:left;"&gt;Volvo Ca&lt;span class="_ _7"&gt;&lt;/span&gt;r Gro&lt;span class="_ _7"&gt;&lt;/span&gt;up: &lt;/span&gt;&lt;span style="display:inherit;clear:left;"&gt;• &lt;span class="_ _17"&gt; &lt;/span&gt;f&lt;span class="_ _7"&gt;&lt;/span&gt;in&lt;span class="_ _7"&gt;&lt;/span&gt;anc&lt;span class="_ _7"&gt;&lt;/span&gt;ia&lt;span class="_ _7"&gt;&lt;/span&gt;l as&lt;span class="_ _7"&gt;&lt;/span&gt;s&lt;span class="_ _7"&gt;&lt;/span&gt;et&lt;span class="_ _7"&gt;&lt;/span&gt;s at am&lt;span class="_ _7"&gt;&lt;/span&gt;or&lt;span class="_ _7"&gt;&lt;/span&gt;t&lt;span class="_ _7"&gt;&lt;/span&gt;is&lt;span class="_ _7"&gt;&lt;/span&gt;ed c&lt;span class="_ _7"&gt;&lt;/span&gt;o&lt;span class="_ _7"&gt;&lt;/span&gt;st&lt;/span&gt;&lt;span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pr&lt;span class="_ _7"&gt;&lt;/span&gt;of&lt;span class="_ _7"&gt;&lt;/span&gt;it o&lt;span class="_ _7"&gt;&lt;/span&gt;r lo&lt;span class="_ _7"&gt;&lt;/span&gt;s&lt;span class="_ _7"&gt;&lt;/span&gt;s&lt;/span&gt;&lt;span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oth&lt;span class="_ _7"&gt;&lt;/span&gt;er c&lt;span class="_ _7"&gt;&lt;/span&gt;om&lt;span class="_ _7"&gt;&lt;/span&gt;pr&lt;span class="_ _7"&gt;&lt;/span&gt;ehe&lt;span class="_ _7"&gt;&lt;/span&gt;ns&lt;span class="_ _7"&gt;&lt;/span&gt;iv&lt;span class="_ _7"&gt;&lt;/span&gt;e in&lt;span class="_ _7"&gt;&lt;/span&gt;com&lt;span class="_ _7"&gt;&lt;/span&gt;e&lt;/span&gt;&lt;span style="display:inherit;clear:left;"&gt;Accounts r&lt;span class="_ _2"&gt;&lt;/span&gt;eceivable and o&lt;span class="_ _2"&gt;&lt;/span&gt;ther financial receiv&lt;span class="_ _2"&gt;&lt;/span&gt;ables&lt;/span&gt;&lt;span style="display:inherit;clear:left;"&gt;Acc&lt;span class="_ _7"&gt;&lt;/span&gt;oun&lt;span class="_ _7"&gt;&lt;/span&gt;ts r&lt;span class="_ _7"&gt;&lt;/span&gt;ec&lt;span class="_ _7"&gt;&lt;/span&gt;ei&lt;span class="_ _7"&gt;&lt;/span&gt;vab&lt;span class="_ _7"&gt;&lt;/span&gt;le a&lt;span class="_ _7"&gt;&lt;/span&gt;re cl&lt;span class="_ _7"&gt;&lt;/span&gt;as&lt;span class="_ _7"&gt;&lt;/span&gt;s&lt;span class="_ _7"&gt;&lt;/span&gt;i&lt;span class="_ _7"&gt;&lt;/span&gt;fi&lt;span class="_ _7"&gt;&lt;/span&gt;ed at a&lt;span class="_ _7"&gt;&lt;/span&gt;mo&lt;span class="_ _7"&gt;&lt;/span&gt;r&lt;span class="_ _7"&gt;&lt;/span&gt;ti&lt;span class="_ _7"&gt;&lt;/span&gt;se&lt;span class="_ _7"&gt;&lt;/span&gt;d co&lt;span class="_ _7"&gt;&lt;/span&gt;s&lt;span class="_ _7"&gt;&lt;/span&gt;t,  a&lt;span class="_ _7"&gt;&lt;/span&gt;nd ar&lt;span class="_ _7"&gt;&lt;/span&gt;e me&lt;span class="_ _7"&gt;&lt;/span&gt;as-&lt;/span&gt;&lt;span style="display:inherit;clear:left;"&gt;ure&lt;span class="_ _7"&gt;&lt;/span&gt;d at th&lt;span class="_ _7"&gt;&lt;/span&gt;ei&lt;span class="_ _7"&gt;&lt;/span&gt;r no&lt;span class="_ _7"&gt;&lt;/span&gt;min&lt;span class="_ _7"&gt;&lt;/span&gt;al v&lt;span class="_ _7"&gt;&lt;/span&gt;alu&lt;span class="_ _7"&gt;&lt;/span&gt;e, re&lt;span class="_ _7"&gt;&lt;/span&gt;f&lt;span class="_ _7"&gt;&lt;/span&gt;lec&lt;span class="_ _7"&gt;&lt;/span&gt;ti&lt;span class="_ _7"&gt;&lt;/span&gt;ng th&lt;span class="_ _7"&gt;&lt;/span&gt;e sh&lt;span class="_ _7"&gt;&lt;/span&gt;or&lt;span class="_ _7"&gt;&lt;/span&gt;t&lt;span class="_ _2"&gt;&lt;/span&gt;-ter&lt;span class="_ _7"&gt;&lt;/span&gt;m nat&lt;span class="_ _7"&gt;&lt;/span&gt;ur&lt;span class="_ _7"&gt;&lt;/span&gt;e of th&lt;span class="_ _7"&gt;&lt;/span&gt;es&lt;span class="_ _7"&gt;&lt;/span&gt;e &lt;/span&gt;&lt;span style="display:inherit;clear:left;"&gt;as&lt;span class="_ _7"&gt;&lt;/span&gt;s&lt;span class="_ _7"&gt;&lt;/span&gt;et&lt;span class="_ _7"&gt;&lt;/span&gt;s an&lt;span class="_ _7"&gt;&lt;/span&gt;d the i&lt;span class="_ _7"&gt;&lt;/span&gt;mm&lt;span class="_ _7"&gt;&lt;/span&gt;ate&lt;span class="_ _7"&gt;&lt;/span&gt;ria&lt;span class="_ _7"&gt;&lt;/span&gt;l im&lt;span class="_ _7"&gt;&lt;/span&gt;pa&lt;span class="_ _7"&gt;&lt;/span&gt;ct o&lt;span class="_ _7"&gt;&lt;/span&gt;f dis&lt;span class="_ _7"&gt;&lt;/span&gt;c&lt;span class="_ _7"&gt;&lt;/span&gt;oun&lt;span class="_ _7"&gt;&lt;/span&gt;tin&lt;span class="_ _7"&gt;&lt;/span&gt;g are r&lt;span class="_ _7"&gt;&lt;/span&gt;ec&lt;span class="_ _7"&gt;&lt;/span&gt;og&lt;span class="_ _7"&gt;&lt;/span&gt;ni&lt;span class="_ _7"&gt;&lt;/span&gt;se&lt;span class="_ _7"&gt;&lt;/span&gt;d.  &lt;/span&gt;&lt;span style="display:inherit;clear:left;"&gt;Acc&lt;span class="_ _7"&gt;&lt;/span&gt;oun&lt;span class="_ _7"&gt;&lt;/span&gt;ts r&lt;span class="_ _7"&gt;&lt;/span&gt;ec&lt;span class="_ _7"&gt;&lt;/span&gt;ei&lt;span class="_ _7"&gt;&lt;/span&gt;vab&lt;span class="_ _7"&gt;&lt;/span&gt;le a&lt;span class="_ _7"&gt;&lt;/span&gt;re pr&lt;span class="_ _7"&gt;&lt;/span&gt;e&lt;span class="_ _7"&gt;&lt;/span&gt;se&lt;span class="_ _7"&gt;&lt;/span&gt;nte&lt;span class="_ _7"&gt;&lt;/span&gt;d net a&lt;span class="_ _7"&gt;&lt;/span&gt;f&lt;span class="_ _7"&gt;&lt;/span&gt;te&lt;span class="_ _7"&gt;&lt;/span&gt;r all&lt;span class="_ _7"&gt;&lt;/span&gt;owa&lt;span class="_ _7"&gt;&lt;/span&gt;nc&lt;span class="_ _7"&gt;&lt;/span&gt;e for ex&lt;span class="_ _7"&gt;&lt;/span&gt;pe&lt;span class="_ _7"&gt;&lt;/span&gt;c&lt;span class="_ _7"&gt;&lt;/span&gt;ted &lt;/span&gt;&lt;span style="display:inherit;clear:left;"&gt;cre&lt;span class="_ _7"&gt;&lt;/span&gt;di&lt;span class="_ _7"&gt;&lt;/span&gt;t los&lt;span class="_ _7"&gt;&lt;/span&gt;s&lt;span class="_ _7"&gt;&lt;/span&gt;, s&lt;span class="_ _7"&gt;&lt;/span&gt;e&lt;span class="_ _7"&gt;&lt;/span&gt;e Note 18 – Ac&lt;span class="_ _7"&gt;&lt;/span&gt;co&lt;span class="_ _7"&gt;&lt;/span&gt;unt&lt;span class="_ _7"&gt;&lt;/span&gt;s re&lt;span class="_ _7"&gt;&lt;/span&gt;ce&lt;span class="_ _7"&gt;&lt;/span&gt;iv&lt;span class="_ _7"&gt;&lt;/span&gt;ab&lt;span class="_ _7"&gt;&lt;/span&gt;le an&lt;span class="_ _7"&gt;&lt;/span&gt;d oth&lt;span class="_ _7"&gt;&lt;/span&gt;er cu&lt;span class="_ _7"&gt;&lt;/span&gt;rr&lt;span class="_ _7"&gt;&lt;/span&gt;en&lt;span class="_ _7"&gt;&lt;/span&gt;t and &lt;/span&gt;&lt;span style="display:inherit;clear:left;"&gt;&lt;span&gt;&lt;span style="display:inherit;clear:left;"&gt;no&lt;span class="_ _7"&gt;&lt;/span&gt;n-cur&lt;span class="_ _7"&gt;&lt;/span&gt;ren&lt;span class="_ _7"&gt;&lt;/span&gt;t as&lt;span class="_ _7"&gt;&lt;/span&gt;s&lt;span class="_ _7"&gt;&lt;/span&gt;et&lt;span class="_ _7"&gt;&lt;/span&gt;s&lt;span class="_ _7"&gt;&lt;/span&gt;.&lt;/span&gt;&lt;/span&gt; &lt;/span&gt;&lt;span style="display:inherit;clear:left;"&gt;Customer in&lt;span class="_ _2"&gt;&lt;/span&gt;voices may be subject&lt;span class="_ _2"&gt;&lt;/span&gt; to factoring&lt;span class="_ _2"&gt;&lt;/span&gt; arrangements with &lt;/span&gt;&lt;span style="display:inherit;clear:left;"&gt;a fi&lt;span class="_ _7"&gt;&lt;/span&gt;nan&lt;span class="_ _7"&gt;&lt;/span&gt;ci&lt;span class="_ _7"&gt;&lt;/span&gt;al in&lt;span class="_ _7"&gt;&lt;/span&gt;s&lt;span class="_ _7"&gt;&lt;/span&gt;tit&lt;span class="_ _7"&gt;&lt;/span&gt;uti&lt;span class="_ _7"&gt;&lt;/span&gt;on&lt;span class="_ _7"&gt;&lt;/span&gt;. In th&lt;span class="_ _7"&gt;&lt;/span&gt;o&lt;span class="_ _7"&gt;&lt;/span&gt;se c&lt;span class="_ _7"&gt;&lt;/span&gt;as&lt;span class="_ _7"&gt;&lt;/span&gt;e&lt;span class="_ _7"&gt;&lt;/span&gt;s&lt;span class="_ _7"&gt;&lt;/span&gt;, the i&lt;span class="_ _7"&gt;&lt;/span&gt;nvoi&lt;span class="_ _7"&gt;&lt;/span&gt;ce&lt;span class="_ _7"&gt;&lt;/span&gt;s ar&lt;span class="_ _7"&gt;&lt;/span&gt;e de&lt;span class="_ _7"&gt;&lt;/span&gt;re&lt;span class="_ _7"&gt;&lt;/span&gt;cog&lt;span class="_ _7"&gt;&lt;/span&gt;ni&lt;span class="_ _7"&gt;&lt;/span&gt;s&lt;span class="_ _7"&gt;&lt;/span&gt;ed &lt;/span&gt;&lt;span style="display:inherit;clear:left;"&gt;fr&lt;span class="_ _7"&gt;&lt;/span&gt;om ac&lt;span class="_ _7"&gt;&lt;/span&gt;co&lt;span class="_ _7"&gt;&lt;/span&gt;un&lt;span class="_ _7"&gt;&lt;/span&gt;ts r&lt;span class="_ _7"&gt;&lt;/span&gt;ec&lt;span class="_ _7"&gt;&lt;/span&gt;ei&lt;span class="_ _7"&gt;&lt;/span&gt;vab&lt;span class="_ _7"&gt;&lt;/span&gt;le im&lt;span class="_ _7"&gt;&lt;/span&gt;me&lt;span class="_ _7"&gt;&lt;/span&gt;di&lt;span class="_ _7"&gt;&lt;/span&gt;ate&lt;span class="_ _7"&gt;&lt;/span&gt;ly up&lt;span class="_ _7"&gt;&lt;/span&gt;on s&lt;span class="_ _7"&gt;&lt;/span&gt;et&lt;span class="_ _7"&gt;&lt;/span&gt;tl&lt;span class="_ _7"&gt;&lt;/span&gt;em&lt;span class="_ _7"&gt;&lt;/span&gt;ent&lt;span class="_ _7"&gt;&lt;/span&gt;. If th&lt;span class="_ _7"&gt;&lt;/span&gt;e cr&lt;span class="_ _7"&gt;&lt;/span&gt;ed&lt;span class="_ _7"&gt;&lt;/span&gt;it &lt;/span&gt;&lt;span style="display:inherit;clear:left;"&gt;ri&lt;span class="_ _7"&gt;&lt;/span&gt;sk h&lt;span class="_ _7"&gt;&lt;/span&gt;as n&lt;span class="_ _7"&gt;&lt;/span&gt;ot tr&lt;span class="_ _7"&gt;&lt;/span&gt;an&lt;span class="_ _7"&gt;&lt;/span&gt;s&lt;span class="_ _7"&gt;&lt;/span&gt;fer&lt;span class="_ _7"&gt;&lt;/span&gt;re&lt;span class="_ _7"&gt;&lt;/span&gt;d to th&lt;span class="_ _7"&gt;&lt;/span&gt;e fi&lt;span class="_ _7"&gt;&lt;/span&gt;na&lt;span class="_ _7"&gt;&lt;/span&gt;nci&lt;span class="_ _7"&gt;&lt;/span&gt;al i&lt;span class="_ _7"&gt;&lt;/span&gt;ns&lt;span class="_ _7"&gt;&lt;/span&gt;ti&lt;span class="_ _7"&gt;&lt;/span&gt;tut&lt;span class="_ _7"&gt;&lt;/span&gt;ion t&lt;span class="_ _7"&gt;&lt;/span&gt;he r&lt;span class="_ _7"&gt;&lt;/span&gt;ec&lt;span class="_ _7"&gt;&lt;/span&gt;ei&lt;span class="_ _7"&gt;&lt;/span&gt;vab&lt;span class="_ _7"&gt;&lt;/span&gt;le&lt;span class="_ _7"&gt;&lt;/span&gt;s &lt;/span&gt;&lt;span style="display:inherit;clear:left;"&gt;rem&lt;span class="_ _7"&gt;&lt;/span&gt;ai&lt;span class="_ _7"&gt;&lt;/span&gt;n on th&lt;span class="_ _7"&gt;&lt;/span&gt;e ba&lt;span class="_ _7"&gt;&lt;/span&gt;la&lt;span class="_ _7"&gt;&lt;/span&gt;nc&lt;span class="_ _7"&gt;&lt;/span&gt;e sh&lt;span class="_ _7"&gt;&lt;/span&gt;ee&lt;span class="_ _7"&gt;&lt;/span&gt;t an&lt;span class="_ _7"&gt;&lt;/span&gt;d are p&lt;span class="_ _7"&gt;&lt;/span&gt;re&lt;span class="_ _7"&gt;&lt;/span&gt;s&lt;span class="_ _7"&gt;&lt;/span&gt;ente&lt;span class="_ _7"&gt;&lt;/span&gt;d as O&lt;span class="_ _7"&gt;&lt;/span&gt;th&lt;span class="_ _7"&gt;&lt;/span&gt;er n&lt;span class="_ _7"&gt;&lt;/span&gt;on- &lt;/span&gt;&lt;span style="display:inherit;clear:left;"&gt;&lt;span&gt;&lt;span style="display:inherit;clear:left;"&gt;cur&lt;span class="_ _7"&gt;&lt;/span&gt;re&lt;span class="_ _7"&gt;&lt;/span&gt;nt an&lt;span class="_ _7"&gt;&lt;/span&gt;d cur&lt;span class="_ _7"&gt;&lt;/span&gt;re&lt;span class="_ _7"&gt;&lt;/span&gt;nt f&lt;span class="_ _7"&gt;&lt;/span&gt;in&lt;span class="_ _7"&gt;&lt;/span&gt;anc&lt;span class="_ _7"&gt;&lt;/span&gt;ia&lt;span class="_ _7"&gt;&lt;/span&gt;l as&lt;span class="_ _7"&gt;&lt;/span&gt;s&lt;span class="_ _7"&gt;&lt;/span&gt;et&lt;span class="_ _7"&gt;&lt;/span&gt;s&lt;span class="_ _7"&gt;&lt;/span&gt;.&lt;/span&gt;&lt;/span&gt; &lt;/span&gt;&lt;span style="display:inherit;clear:left;"&gt;Other financial r&lt;span class="_ _2"&gt;&lt;/span&gt;ecei&lt;span class="_ _7"&gt;&lt;/span&gt;vables presented&lt;span class="_ _2"&gt;&lt;/span&gt; as non-curren&lt;span class="_ _2"&gt;&lt;/span&gt;t or/&lt;span class="_ _2"&gt;&lt;/span&gt;and &lt;span class="ls3 ws3"&gt; &lt;/span&gt;&lt;/span&gt;&lt;span style="display:inherit;clear:left;"&gt;cur&lt;span class="_ _7"&gt;&lt;/span&gt;re&lt;span class="_ _7"&gt;&lt;/span&gt;nt oth&lt;span class="_ _7"&gt;&lt;/span&gt;er i&lt;span class="_ _7"&gt;&lt;/span&gt;nte&lt;span class="_ _7"&gt;&lt;/span&gt;re&lt;span class="_ _7"&gt;&lt;/span&gt;st-bear&lt;span class="_ _7"&gt;&lt;/span&gt;ing r&lt;span class="_ _7"&gt;&lt;/span&gt;ec&lt;span class="_ _7"&gt;&lt;/span&gt;ei&lt;span class="_ _7"&gt;&lt;/span&gt;vab&lt;span class="_ _7"&gt;&lt;/span&gt;le&lt;span class="_ _7"&gt;&lt;/span&gt;s an&lt;span class="_ _7"&gt;&lt;/span&gt;d oth&lt;span class="_ _7"&gt;&lt;/span&gt;er a&lt;span class="_ _7"&gt;&lt;/span&gt;s&lt;span class="_ _7"&gt;&lt;/span&gt;se&lt;span class="_ _7"&gt;&lt;/span&gt;ts&lt;span class="_ _7"&gt;&lt;/span&gt;, a&lt;span class="_ _7"&gt;&lt;/span&gt;re &lt;/span&gt;&lt;span style="display:inherit;clear:left;"&gt;me&lt;span class="_ _7"&gt;&lt;/span&gt;as&lt;span class="_ _7"&gt;&lt;/span&gt;ure&lt;span class="_ _7"&gt;&lt;/span&gt;d at a&lt;span class="_ _7"&gt;&lt;/span&gt;mor&lt;span class="_ _9"&gt;&lt;/span&gt;tis&lt;span class="_ _7"&gt;&lt;/span&gt;ed c&lt;span class="_ _7"&gt;&lt;/span&gt;os&lt;span class="_ _7"&gt;&lt;/span&gt;t&lt;span class="_ _7"&gt;&lt;/span&gt;.&lt;/span&gt;&lt;span style="display:inherit;clear:left;"&gt;Deposits&lt;/span&gt;&lt;span style="display:inherit;clear:left;"&gt;A dep&lt;span class="_ _7"&gt;&lt;/span&gt;o&lt;span class="_ _7"&gt;&lt;/span&gt;si&lt;span class="_ _7"&gt;&lt;/span&gt;t is a t&lt;span class="_ _7"&gt;&lt;/span&gt;y&lt;span class="_ _7"&gt;&lt;/span&gt;pe o&lt;span class="_ _7"&gt;&lt;/span&gt;f int&lt;span class="_ _7"&gt;&lt;/span&gt;ere&lt;span class="_ _7"&gt;&lt;/span&gt;s&lt;span class="_ _7"&gt;&lt;/span&gt;t&lt;span class="_ _2"&gt;&lt;/span&gt;-be&lt;span class="_ _7"&gt;&lt;/span&gt;ar&lt;span class="_ _7"&gt;&lt;/span&gt;ing i&lt;span class="_ _7"&gt;&lt;/span&gt;ns&lt;span class="_ _7"&gt;&lt;/span&gt;tr&lt;span class="_ _7"&gt;&lt;/span&gt;um&lt;span class="_ _7"&gt;&lt;/span&gt;ent h&lt;span class="_ _7"&gt;&lt;/span&gt;el&lt;span class="_ _7"&gt;&lt;/span&gt;d at a f&lt;span class="_ _7"&gt;&lt;/span&gt;in&lt;span class="_ _7"&gt;&lt;/span&gt;anc&lt;span class="_ _7"&gt;&lt;/span&gt;ial &lt;/span&gt;&lt;span style="display:inherit;clear:left;"&gt;in&lt;span class="_ _7"&gt;&lt;/span&gt;sti&lt;span class="_ _7"&gt;&lt;/span&gt;tu&lt;span class="_ _7"&gt;&lt;/span&gt;tio&lt;span class="_ _7"&gt;&lt;/span&gt;n wh&lt;span class="_ _7"&gt;&lt;/span&gt;er&lt;span class="_ _7"&gt;&lt;/span&gt;e fu&lt;span class="_ _7"&gt;&lt;/span&gt;nd&lt;span class="_ _7"&gt;&lt;/span&gt;s are p&lt;span class="_ _7"&gt;&lt;/span&gt;l&lt;span class="_ _7"&gt;&lt;/span&gt;ace&lt;span class="_ _7"&gt;&lt;/span&gt;d fo&lt;span class="_ _7"&gt;&lt;/span&gt;r a fi&lt;span class="_ _7"&gt;&lt;/span&gt;xe&lt;span class="_ _7"&gt;&lt;/span&gt;d ter&lt;span class="_ _7"&gt;&lt;/span&gt;m at a pr&lt;span class="_ _7"&gt;&lt;/span&gt;ed&lt;span class="_ _7"&gt;&lt;/span&gt;ete&lt;span class="_ _7"&gt;&lt;/span&gt;r&lt;span class="_ _2"&gt;&lt;/span&gt;-&lt;/span&gt;&lt;span style="display:inherit;clear:left;"&gt;min&lt;span class="_ _7"&gt;&lt;/span&gt;ed i&lt;span class="_ _7"&gt;&lt;/span&gt;nte&lt;span class="_ _7"&gt;&lt;/span&gt;re&lt;span class="_ _7"&gt;&lt;/span&gt;st r&lt;span class="_ _7"&gt;&lt;/span&gt;ate a&lt;span class="_ _7"&gt;&lt;/span&gt;nd c&lt;span class="_ _7"&gt;&lt;/span&gt;an&lt;span class="_ _7"&gt;&lt;/span&gt;no&lt;span class="_ _7"&gt;&lt;/span&gt;t be w&lt;span class="_ _7"&gt;&lt;/span&gt;ith&lt;span class="_ _7"&gt;&lt;/span&gt;dr&lt;span class="_ _7"&gt;&lt;/span&gt;awn b&lt;span class="_ _7"&gt;&lt;/span&gt;ef&lt;span class="_ _7"&gt;&lt;/span&gt;or&lt;span class="_ _7"&gt;&lt;/span&gt;e mat&lt;span class="_ _7"&gt;&lt;/span&gt;ur&lt;span class="_ _7"&gt;&lt;/span&gt;it&lt;span class="_ _7"&gt;&lt;/span&gt;y.&lt;span class="fc9"&gt; &lt;/span&gt;&lt;/span&gt;&lt;span style="display:inherit;clear:left;"&gt;A dep&lt;span class="_ _7"&gt;&lt;/span&gt;o&lt;span class="_ _7"&gt;&lt;/span&gt;si&lt;span class="_ _7"&gt;&lt;/span&gt;t al&lt;span class="_ _7"&gt;&lt;/span&gt;so ex&lt;span class="_ _7"&gt;&lt;/span&gt;i&lt;span class="_ _7"&gt;&lt;/span&gt;st w&lt;span class="_ _7"&gt;&lt;/span&gt;ith&lt;span class="_ _7"&gt;&lt;/span&gt;ou&lt;span class="_ _7"&gt;&lt;/span&gt;t a fi&lt;span class="_ _7"&gt;&lt;/span&gt;xe&lt;span class="_ _7"&gt;&lt;/span&gt;d mat&lt;span class="_ _7"&gt;&lt;/span&gt;ur&lt;span class="_ _7"&gt;&lt;/span&gt;it&lt;span class="_ _7"&gt;&lt;/span&gt;y da&lt;span class="_ _7"&gt;&lt;/span&gt;te, i&lt;span class="_ _7"&gt;&lt;/span&gt;n whi&lt;span class="_ _7"&gt;&lt;/span&gt;ch c&lt;span class="_ _7"&gt;&lt;/span&gt;as&lt;span class="_ _7"&gt;&lt;/span&gt;e &lt;/span&gt;&lt;span style="display:inherit;clear:left;"&gt;ad&lt;span class="_ _7"&gt;&lt;/span&gt;van&lt;span class="_ _7"&gt;&lt;/span&gt;ce n&lt;span class="_ _7"&gt;&lt;/span&gt;oti&lt;span class="_ _7"&gt;&lt;/span&gt;ce i&lt;span class="_ _7"&gt;&lt;/span&gt;s re&lt;span class="_ _7"&gt;&lt;/span&gt;qui&lt;span class="_ _7"&gt;&lt;/span&gt;re&lt;span class="_ _7"&gt;&lt;/span&gt;d be&lt;span class="_ _7"&gt;&lt;/span&gt;fo&lt;span class="_ _7"&gt;&lt;/span&gt;re f&lt;span class="_ _7"&gt;&lt;/span&gt;un&lt;span class="_ _7"&gt;&lt;/span&gt;ds c&lt;span class="_ _7"&gt;&lt;/span&gt;an b&lt;span class="_ _7"&gt;&lt;/span&gt;e wi&lt;span class="_ _7"&gt;&lt;/span&gt;thd&lt;span class="_ _7"&gt;&lt;/span&gt;raw&lt;span class="_ _7"&gt;&lt;/span&gt;n&lt;span class="_ _7"&gt;&lt;/span&gt;. De&lt;span class="_ _7"&gt;&lt;/span&gt;po&lt;span class="_ _7"&gt;&lt;/span&gt;si&lt;span class="_ _7"&gt;&lt;/span&gt;ts &lt;/span&gt;&lt;span style="display:inherit;clear:left;"&gt;are m&lt;span class="_ _7"&gt;&lt;/span&gt;ea&lt;span class="_ _7"&gt;&lt;/span&gt;su&lt;span class="_ _7"&gt;&lt;/span&gt;re&lt;span class="_ _7"&gt;&lt;/span&gt;d at am&lt;span class="_ _7"&gt;&lt;/span&gt;or&lt;span class="_ _7"&gt;&lt;/span&gt;t&lt;span class="_ _7"&gt;&lt;/span&gt;is&lt;span class="_ _7"&gt;&lt;/span&gt;ed c&lt;span class="_ _7"&gt;&lt;/span&gt;os&lt;span class="_ _7"&gt;&lt;/span&gt;t&lt;span class="_ _7"&gt;&lt;/span&gt;. &lt;/span&gt;&lt;span style="display:inherit;clear:left;"&gt;Equity repurchase&lt;span class="_ _2"&gt;&lt;/span&gt; agreements&lt;/span&gt;&lt;span style="display:inherit;clear:left;"&gt;Equi&lt;span class="_ _7"&gt;&lt;/span&gt;t&lt;span class="_ _7"&gt;&lt;/span&gt;y re&lt;span class="_ _7"&gt;&lt;/span&gt;pu&lt;span class="_ _7"&gt;&lt;/span&gt;rch&lt;span class="_ _7"&gt;&lt;/span&gt;as&lt;span class="_ _7"&gt;&lt;/span&gt;e ag&lt;span class="_ _7"&gt;&lt;/span&gt;re&lt;span class="_ _7"&gt;&lt;/span&gt;em&lt;span class="_ _7"&gt;&lt;/span&gt;ent&lt;span class="_ _7"&gt;&lt;/span&gt;s re&lt;span class="_ _7"&gt;&lt;/span&gt;fe&lt;span class="_ _7"&gt;&lt;/span&gt;r to ar&lt;span clas</t>
  </si>
  <si>
    <t>f1__s8__6__156-1</t>
  </si>
  <si>
    <t>ifrs-full:DescriptionOfAccountingPolicyForFinancialAssetsExplanatory</t>
  </si>
  <si>
    <t xml:space="preserve">&lt;span style="display:inherit;clear:left;"&gt;ACCOUNTING&lt;span class="_ _2"&gt;&lt;/span&gt; POLICIES&lt;/span&gt;&lt;span style="display:inherit;clear:left;"&gt;Recog&lt;span class="_ _7"&gt;&lt;/span&gt;ni&lt;span class="_ _7"&gt;&lt;/span&gt;tion an&lt;span class="_ _7"&gt;&lt;/span&gt;d dere&lt;span class="_ _7"&gt;&lt;/span&gt;cog&lt;span class="_ _7"&gt;&lt;/span&gt;niti&lt;span class="_ _7"&gt;&lt;/span&gt;on &lt;/span&gt;&lt;span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style="display:inherit;clear:left;"&gt;&lt;span&gt;&lt;span style="display:inherit;clear:left;"&gt;contractual pro&lt;span class="_ _2"&gt;&lt;/span&gt;vis&lt;span class="_ _7"&gt;&lt;/span&gt;ions of t&lt;span class="_ _2"&gt;&lt;/span&gt;he instrument.&lt;/span&gt;&lt;/span&gt; &lt;/span&gt;&lt;span style="display:inherit;clear:left;"&gt;Fin&lt;span class="_ _7"&gt;&lt;/span&gt;an&lt;span class="_ _7"&gt;&lt;/span&gt;cia&lt;span class="_ _7"&gt;&lt;/span&gt;l as&lt;span class="_ _7"&gt;&lt;/span&gt;s&lt;span class="_ _7"&gt;&lt;/span&gt;et&lt;span class="_ _7"&gt;&lt;/span&gt;s ar&lt;span class="_ _7"&gt;&lt;/span&gt;e ini&lt;span class="_ _7"&gt;&lt;/span&gt;ti&lt;span class="_ _7"&gt;&lt;/span&gt;ally r&lt;span class="_ _7"&gt;&lt;/span&gt;ec&lt;span class="_ _7"&gt;&lt;/span&gt;og&lt;span class="_ _7"&gt;&lt;/span&gt;ni&lt;span class="_ _7"&gt;&lt;/span&gt;se&lt;span class="_ _7"&gt;&lt;/span&gt;d at f&lt;span class="_ _7"&gt;&lt;/span&gt;air v&lt;span class="_ _7"&gt;&lt;/span&gt;alu&lt;span class="_ _7"&gt;&lt;/span&gt;e pl&lt;span class="_ _7"&gt;&lt;/span&gt;us tr&lt;span class="_ _7"&gt;&lt;/span&gt;an&lt;span class="_ _7"&gt;&lt;/span&gt;s&lt;span class="_ _7"&gt;&lt;/span&gt;ac-&lt;/span&gt;&lt;span style="display:inherit;clear:left;"&gt;tio&lt;span class="_ _7"&gt;&lt;/span&gt;n co&lt;span class="_ _7"&gt;&lt;/span&gt;s&lt;span class="_ _7"&gt;&lt;/span&gt;ts&lt;span class="_ _7"&gt;&lt;/span&gt;, exce&lt;span class="_ _7"&gt;&lt;/span&gt;pt f&lt;span class="_ _7"&gt;&lt;/span&gt;or f&lt;span class="_ _7"&gt;&lt;/span&gt;in&lt;span class="_ _7"&gt;&lt;/span&gt;anc&lt;span class="_ _7"&gt;&lt;/span&gt;ia&lt;span class="_ _7"&gt;&lt;/span&gt;l as&lt;span class="_ _7"&gt;&lt;/span&gt;s&lt;span class="_ _7"&gt;&lt;/span&gt;et&lt;span class="_ _7"&gt;&lt;/span&gt;s ca&lt;span class="_ _7"&gt;&lt;/span&gt;rr&lt;span class="_ _7"&gt;&lt;/span&gt;ie&lt;span class="_ _7"&gt;&lt;/span&gt;d at f&lt;span class="_ _7"&gt;&lt;/span&gt;air v&lt;span class="_ _7"&gt;&lt;/span&gt;alu&lt;span class="_ _7"&gt;&lt;/span&gt;e thr&lt;span class="_ _7"&gt;&lt;/span&gt;oug&lt;span class="_ _7"&gt;&lt;/span&gt;h &lt;/span&gt;&lt;span style="display:inherit;clear:left;"&gt;pro&lt;span class="_ _7"&gt;&lt;/span&gt;f&lt;span class="_ _7"&gt;&lt;/span&gt;it or l&lt;span class="_ _7"&gt;&lt;/span&gt;os&lt;span class="_ _7"&gt;&lt;/span&gt;s&lt;span class="_ _7"&gt;&lt;/span&gt;. In t&lt;span class="_ _7"&gt;&lt;/span&gt;hi&lt;span class="_ _7"&gt;&lt;/span&gt;s ca&lt;span class="_ _7"&gt;&lt;/span&gt;se t&lt;span class="_ _7"&gt;&lt;/span&gt;ra&lt;span class="_ _7"&gt;&lt;/span&gt;ns&lt;span class="_ _7"&gt;&lt;/span&gt;ac&lt;span class="_ _7"&gt;&lt;/span&gt;ti&lt;span class="_ _7"&gt;&lt;/span&gt;on c&lt;span class="_ _7"&gt;&lt;/span&gt;os&lt;span class="_ _7"&gt;&lt;/span&gt;t&lt;span class="_ _7"&gt;&lt;/span&gt;s are ex&lt;span class="_ _7"&gt;&lt;/span&gt;pe&lt;span class="_ _7"&gt;&lt;/span&gt;ns&lt;span class="_ _7"&gt;&lt;/span&gt;e&lt;span class="_ _7"&gt;&lt;/span&gt;d in th&lt;span class="_ _7"&gt;&lt;/span&gt;e &lt;/span&gt;&lt;span style="display:inherit;clear:left;"&gt;inc&lt;span class="_ _7"&gt;&lt;/span&gt;om&lt;span class="_ _7"&gt;&lt;/span&gt;e s&lt;span class="_ _7"&gt;&lt;/span&gt;tat&lt;span class="_ _7"&gt;&lt;/span&gt;eme&lt;span class="_ _7"&gt;&lt;/span&gt;nt&lt;span class="_ _7"&gt;&lt;/span&gt;. Fi&lt;span class="_ _7"&gt;&lt;/span&gt;nan&lt;span class="_ _7"&gt;&lt;/span&gt;ci&lt;span class="_ _7"&gt;&lt;/span&gt;al li&lt;span class="_ _7"&gt;&lt;/span&gt;ab&lt;span class="_ _7"&gt;&lt;/span&gt;ili&lt;span class="_ _7"&gt;&lt;/span&gt;tie&lt;span class="_ _7"&gt;&lt;/span&gt;s ar&lt;span class="_ _7"&gt;&lt;/span&gt;e in&lt;span class="_ _7"&gt;&lt;/span&gt;iti&lt;span class="_ _7"&gt;&lt;/span&gt;ally r&lt;span class="_ _7"&gt;&lt;/span&gt;ec&lt;span class="_ _7"&gt;&lt;/span&gt;og&lt;span class="_ _7"&gt;&lt;/span&gt;ni&lt;span class="_ _7"&gt;&lt;/span&gt;se&lt;span class="_ _7"&gt;&lt;/span&gt;d at f&lt;span class="_ _7"&gt;&lt;/span&gt;ai&lt;span class="_ _7"&gt;&lt;/span&gt;r &lt;/span&gt;&lt;span style="display:inherit;clear:left;"&gt;val&lt;span class="_ _7"&gt;&lt;/span&gt;ue le&lt;span class="_ _7"&gt;&lt;/span&gt;s&lt;span class="_ _7"&gt;&lt;/span&gt;s tr&lt;span class="_ _7"&gt;&lt;/span&gt;an&lt;span class="_ _7"&gt;&lt;/span&gt;s&lt;span class="_ _7"&gt;&lt;/span&gt;act&lt;span class="_ _7"&gt;&lt;/span&gt;io&lt;span class="_ _7"&gt;&lt;/span&gt;n co&lt;span class="_ _7"&gt;&lt;/span&gt;st&lt;span class="_ _7"&gt;&lt;/span&gt;s&lt;span class="_ _7"&gt;&lt;/span&gt;, exce&lt;span class="_ _7"&gt;&lt;/span&gt;pt fo&lt;span class="_ _7"&gt;&lt;/span&gt;r th&lt;span class="_ _7"&gt;&lt;/span&gt;os&lt;span class="_ _7"&gt;&lt;/span&gt;e f&lt;span class="_ _7"&gt;&lt;/span&gt;ina&lt;span class="_ _7"&gt;&lt;/span&gt;nc&lt;span class="_ _7"&gt;&lt;/span&gt;ial l&lt;span class="_ _7"&gt;&lt;/span&gt;iab&lt;span class="_ _7"&gt;&lt;/span&gt;il&lt;span class="_ _7"&gt;&lt;/span&gt;iti&lt;span class="_ _7"&gt;&lt;/span&gt;es &lt;/span&gt;&lt;span style="display:inherit;clear:left;"&gt;ca&lt;span class="_ _7"&gt;&lt;/span&gt;rr&lt;span class="_ _7"&gt;&lt;/span&gt;ie&lt;span class="_ _7"&gt;&lt;/span&gt;d at fa&lt;span class="_ _7"&gt;&lt;/span&gt;ir v&lt;span class="_ _7"&gt;&lt;/span&gt;alu&lt;span class="_ _7"&gt;&lt;/span&gt;e thr&lt;span class="_ _7"&gt;&lt;/span&gt;oug&lt;span class="_ _7"&gt;&lt;/span&gt;h pr&lt;span class="_ _7"&gt;&lt;/span&gt;of&lt;span class="_ _7"&gt;&lt;/span&gt;it o&lt;span class="_ _7"&gt;&lt;/span&gt;r lo&lt;span class="_ _7"&gt;&lt;/span&gt;s&lt;span class="_ _7"&gt;&lt;/span&gt;s. Fo&lt;span class="_ _7"&gt;&lt;/span&gt;r th&lt;span class="_ _7"&gt;&lt;/span&gt;es&lt;span class="_ _7"&gt;&lt;/span&gt;e li&lt;span class="_ _7"&gt;&lt;/span&gt;ab&lt;span class="_ _7"&gt;&lt;/span&gt;ili&lt;span class="_ _7"&gt;&lt;/span&gt;tie&lt;span class="_ _7"&gt;&lt;/span&gt;s tr&lt;span class="_ _7"&gt;&lt;/span&gt;an&lt;span class="_ _7"&gt;&lt;/span&gt;s-&lt;/span&gt;&lt;span style="display:inherit;clear:left;"&gt;action costs are&lt;span class="_ _2"&gt;&lt;/span&gt; expense&lt;span class="_ _7"&gt;&lt;/span&gt;d in&lt;span class="_ _2"&gt;&lt;/span&gt; the income statement.&lt;/span&gt;&lt;span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a&lt;span class="_ _7"&gt;&lt;/span&gt;s&lt;span class="_ _7"&gt;&lt;/span&gt;se&lt;span class="_ _7"&gt;&lt;/span&gt;ts o&lt;span class="_ _7"&gt;&lt;/span&gt;r a po&lt;span class="_ _7"&gt;&lt;/span&gt;r&lt;span class="_ _7"&gt;&lt;/span&gt;ti&lt;span class="_ _7"&gt;&lt;/span&gt;on of a&lt;span class="_ _7"&gt;&lt;/span&gt; &lt;/span&gt;&lt;span style="display:inherit;clear:left;"&gt;fi&lt;span class="_ _7"&gt;&lt;/span&gt;nan&lt;span class="_ _7"&gt;&lt;/span&gt;ci&lt;span class="_ _7"&gt;&lt;/span&gt;al a&lt;span class="_ _7"&gt;&lt;/span&gt;s&lt;span class="_ _7"&gt;&lt;/span&gt;se&lt;span class="_ _7"&gt;&lt;/span&gt;t fr&lt;span class="_ _7"&gt;&lt;/span&gt;om th&lt;span class="_ _7"&gt;&lt;/span&gt;e ba&lt;span class="_ _7"&gt;&lt;/span&gt;la&lt;span class="_ _7"&gt;&lt;/span&gt;nc&lt;span class="_ _7"&gt;&lt;/span&gt;e sh&lt;span class="_ _7"&gt;&lt;/span&gt;ee&lt;span class="_ _7"&gt;&lt;/span&gt;t up&lt;span class="_ _7"&gt;&lt;/span&gt;on ex&lt;span class="_ _7"&gt;&lt;/span&gt;pir&lt;span class="_ _9"&gt;&lt;/span&gt;y, when i&lt;span class="_ _7"&gt;&lt;/span&gt;t ha&lt;span class="_ _7"&gt;&lt;/span&gt;s be&lt;span class="_ _7"&gt;&lt;/span&gt;en &lt;/span&gt;&lt;span style="display:inherit;clear:left;"&gt;se&lt;span class="_ _7"&gt;&lt;/span&gt;t&lt;span class="_ _7"&gt;&lt;/span&gt;tle&lt;span class="_ _7"&gt;&lt;/span&gt;d or wh&lt;span class="_ _7"&gt;&lt;/span&gt;en a&lt;span class="_ _7"&gt;&lt;/span&gt;ll s&lt;span class="_ _7"&gt;&lt;/span&gt;ign&lt;span class="_ _7"&gt;&lt;/span&gt;if&lt;span class="_ _7"&gt;&lt;/span&gt;ic&lt;span class="_ _7"&gt;&lt;/span&gt;a&lt;span class="_ _7"&gt;&lt;/span&gt;nt ri&lt;span class="_ _7"&gt;&lt;/span&gt;sk&lt;span class="_ _7"&gt;&lt;/span&gt;s an&lt;span class="_ _7"&gt;&lt;/span&gt;d rew&lt;span class="_ _7"&gt;&lt;/span&gt;ard&lt;span class="_ _7"&gt;&lt;/span&gt;s li&lt;span class="_ _7"&gt;&lt;/span&gt;nked t&lt;span class="_ _7"&gt;&lt;/span&gt;o the a&lt;span class="_ _7"&gt;&lt;/span&gt;s&lt;span class="_ _7"&gt;&lt;/span&gt;se&lt;span class="_ _7"&gt;&lt;/span&gt;t &lt;/span&gt;&lt;span style="display:inherit;clear:left;"&gt;have b&lt;span class="_ _7"&gt;&lt;/span&gt;e&lt;span class="_ _7"&gt;&lt;/span&gt;en tr&lt;span class="_ _7"&gt;&lt;/span&gt;an&lt;span class="_ _7"&gt;&lt;/span&gt;s&lt;span class="_ _7"&gt;&lt;/span&gt;fer&lt;span class="_ _7"&gt;&lt;/span&gt;re&lt;span class="_ _7"&gt;&lt;/span&gt;d to a th&lt;span class="_ _7"&gt;&lt;/span&gt;ir&lt;span class="_ _7"&gt;&lt;/span&gt;d pa&lt;span class="_ _7"&gt;&lt;/span&gt;r&lt;span class="_ _7"&gt;&lt;/span&gt;t&lt;span class="_ _7"&gt;&lt;/span&gt;y. In tho&lt;span class="_ _7"&gt;&lt;/span&gt;se c&lt;span class="_ _7"&gt;&lt;/span&gt;as&lt;span class="_ _7"&gt;&lt;/span&gt;e&lt;span class="_ _7"&gt;&lt;/span&gt;s wh&lt;span class="_ _7"&gt;&lt;/span&gt;er&lt;span class="_ _7"&gt;&lt;/span&gt;e Volvo Car&lt;span class="_ _7"&gt;&lt;/span&gt; &lt;/span&gt;&lt;span style="display:inherit;clear:left;"&gt;Gro&lt;span class="_ _7"&gt;&lt;/span&gt;up c&lt;span class="_ _7"&gt;&lt;/span&gt;on&lt;span class="_ _7"&gt;&lt;/span&gt;clu&lt;span class="_ _7"&gt;&lt;/span&gt;de&lt;span class="_ _7"&gt;&lt;/span&gt;s tha&lt;span class="_ _7"&gt;&lt;/span&gt;t all s&lt;span class="_ _7"&gt;&lt;/span&gt;ig&lt;span class="_ _7"&gt;&lt;/span&gt;ni&lt;span class="_ _7"&gt;&lt;/span&gt;fi&lt;span class="_ _7"&gt;&lt;/span&gt;c&lt;span class="_ _7"&gt;&lt;/span&gt;ant r&lt;span class="_ _7"&gt;&lt;/span&gt;is&lt;span class="_ _7"&gt;&lt;/span&gt;ks an&lt;span class="_ _7"&gt;&lt;/span&gt;d re&lt;span class="_ _7"&gt;&lt;/span&gt;war&lt;span class="_ _7"&gt;&lt;/span&gt;ds h&lt;span class="_ _7"&gt;&lt;/span&gt;ave n&lt;span class="_ _7"&gt;&lt;/span&gt;ot b&lt;span class="_ _7"&gt;&lt;/span&gt;ee&lt;span class="_ _7"&gt;&lt;/span&gt;n &lt;/span&gt;&lt;span style="display:inherit;clear:left;"&gt;tr&lt;span class="_ _7"&gt;&lt;/span&gt;ans&lt;span class="_ _7"&gt;&lt;/span&gt;f&lt;span class="_ _7"&gt;&lt;/span&gt;er&lt;span class="_ _7"&gt;&lt;/span&gt;re&lt;span class="_ _7"&gt;&lt;/span&gt;d, th&lt;span class="_ _7"&gt;&lt;/span&gt;e po&lt;span class="_ _7"&gt;&lt;/span&gt;r&lt;span class="_ _7"&gt;&lt;/span&gt;ti&lt;span class="_ _7"&gt;&lt;/span&gt;on o&lt;span class="_ _7"&gt;&lt;/span&gt;f the f&lt;span class="_ _7"&gt;&lt;/span&gt;in&lt;span class="_ _7"&gt;&lt;/span&gt;an&lt;span class="_ _7"&gt;&lt;/span&gt;cia&lt;span class="_ _7"&gt;&lt;/span&gt;l as&lt;span class="_ _7"&gt;&lt;/span&gt;s&lt;span class="_ _7"&gt;&lt;/span&gt;et&lt;span class="_ _7"&gt;&lt;/span&gt;s co&lt;span class="_ _7"&gt;&lt;/span&gt;rr&lt;span class="_ _7"&gt;&lt;/span&gt;es&lt;span class="_ _7"&gt;&lt;/span&gt;p&lt;span class="_ _7"&gt;&lt;/span&gt;ond&lt;span class="_ _7"&gt;&lt;/span&gt;in&lt;span class="_ _7"&gt;&lt;/span&gt;g to Volvo &lt;/span&gt;&lt;span style="display:inherit;clear:left;"&gt;Ca&lt;span class="_ _7"&gt;&lt;/span&gt;r Gro&lt;span class="_ _7"&gt;&lt;/span&gt;up&lt;span class="_ _7"&gt;&lt;/span&gt;s’ co&lt;span class="_ _7"&gt;&lt;/span&gt;nti&lt;span class="_ _7"&gt;&lt;/span&gt;nu&lt;span class="_ _7"&gt;&lt;/span&gt;ou&lt;span class="_ _7"&gt;&lt;/span&gt;s invo&lt;span class="_ _7"&gt;&lt;/span&gt;lve&lt;span class="_ _7"&gt;&lt;/span&gt;men&lt;span class="_ _7"&gt;&lt;/span&gt;t co&lt;span class="_ _7"&gt;&lt;/span&gt;nti&lt;span class="_ _7"&gt;&lt;/span&gt;nue&lt;span class="_ _7"&gt;&lt;/span&gt;s to b&lt;span class="_ _7"&gt;&lt;/span&gt;e re&lt;span class="_ _7"&gt;&lt;/span&gt;cog&lt;span class="_ _7"&gt;&lt;/span&gt;ni&lt;span class="_ _7"&gt;&lt;/span&gt;s&lt;span class="_ _7"&gt;&lt;/span&gt;ed&lt;span class="_ _7"&gt;&lt;/span&gt;.&lt;/span&gt;&lt;span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li&lt;span class="_ _7"&gt;&lt;/span&gt;ab&lt;span class="_ _7"&gt;&lt;/span&gt;ili&lt;span class="_ _7"&gt;&lt;/span&gt;ti&lt;span class="_ _7"&gt;&lt;/span&gt;es o&lt;span class="_ _7"&gt;&lt;/span&gt;r&lt;span class="fc5"&gt; a po&lt;span class="_ _7"&gt;&lt;/span&gt;r&lt;span class="_ _7"&gt;&lt;/span&gt;tio&lt;span class="_ _7"&gt;&lt;/span&gt;n of a &lt;/span&gt;&lt;/span&gt;&lt;span style="display:inherit;clear:left;"&gt;fi&lt;span class="_ _7"&gt;&lt;/span&gt;nan&lt;span class="_ _7"&gt;&lt;/span&gt;ci&lt;span class="_ _7"&gt;&lt;/span&gt;al li&lt;span class="_ _7"&gt;&lt;/span&gt;ab&lt;span class="_ _7"&gt;&lt;/span&gt;ili&lt;span class="_ _7"&gt;&lt;/span&gt;t&lt;span class="_ _7"&gt;&lt;/span&gt;y fr&lt;span class="_ _7"&gt;&lt;/span&gt;om th&lt;span class="_ _7"&gt;&lt;/span&gt;e b&lt;span class="_ _7"&gt;&lt;/span&gt;al&lt;span class="_ _7"&gt;&lt;/span&gt;anc&lt;span class="_ _7"&gt;&lt;/span&gt;e sh&lt;span class="_ _7"&gt;&lt;/span&gt;ee&lt;span class="_ _7"&gt;&lt;/span&gt;t wh&lt;span class="_ _7"&gt;&lt;/span&gt;en th&lt;span class="_ _7"&gt;&lt;/span&gt;e ob&lt;span class="_ _7"&gt;&lt;/span&gt;lig&lt;span class="_ _7"&gt;&lt;/span&gt;ati&lt;span class="_ _7"&gt;&lt;/span&gt;on i&lt;span class="_ _7"&gt;&lt;/span&gt;n the &lt;/span&gt;&lt;span style="display:inherit;clear:left;"&gt;con&lt;span class="_ _7"&gt;&lt;/span&gt;tr&lt;span class="_ _7"&gt;&lt;/span&gt;ac&lt;span class="_ _7"&gt;&lt;/span&gt;t ha&lt;span class="_ _7"&gt;&lt;/span&gt;s be&lt;span class="_ _7"&gt;&lt;/span&gt;en s&lt;span class="_ _7"&gt;&lt;/span&gt;et&lt;span class="_ _7"&gt;&lt;/span&gt;tl&lt;span class="_ _7"&gt;&lt;/span&gt;ed&lt;span class="_ _7"&gt;&lt;/span&gt;, ca&lt;span class="_ _7"&gt;&lt;/span&gt;nc&lt;span class="_ _7"&gt;&lt;/span&gt;el&lt;span class="_ _7"&gt;&lt;/span&gt;led&lt;span class="_ _7"&gt;&lt;/span&gt;, or ex&lt;span class="_ _7"&gt;&lt;/span&gt;pi&lt;span class="_ _7"&gt;&lt;/span&gt;re&lt;span class="_ _7"&gt;&lt;/span&gt;d.&lt;/span&gt;&lt;span style="display:inherit;clear:left;"&gt;Classi&lt;span class="_ _7"&gt;&lt;/span&gt;fication of financial assets &lt;/span&gt;&lt;span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fi&lt;span class="_ _7"&gt;&lt;/span&gt;nan&lt;span class="_ _7"&gt;&lt;/span&gt;ci&lt;span class="_ _7"&gt;&lt;/span&gt;al a&lt;span class="_ _7"&gt;&lt;/span&gt;ss&lt;span class="_ _7"&gt;&lt;/span&gt;e&lt;span class="_ _7"&gt;&lt;/span&gt;ts d&lt;span class="_ _7"&gt;&lt;/span&gt;ep&lt;span class="_ _7"&gt;&lt;/span&gt;en&lt;span class="_ _7"&gt;&lt;/span&gt;din&lt;span class="_ _7"&gt;&lt;/span&gt;g on h&lt;span class="_ _7"&gt;&lt;/span&gt;ow th&lt;span class="_ _7"&gt;&lt;/span&gt;e &lt;/span&gt;&lt;span style="display:inherit;clear:left;"&gt;as&lt;span class="_ _7"&gt;&lt;/span&gt;s&lt;span class="_ _7"&gt;&lt;/span&gt;et i&lt;span class="_ _7"&gt;&lt;/span&gt;s ma&lt;span class="_ _7"&gt;&lt;/span&gt;nag&lt;span class="_ _7"&gt;&lt;/span&gt;ed a&lt;span class="_ _7"&gt;&lt;/span&gt;nd th&lt;span class="_ _7"&gt;&lt;/span&gt;e ch&lt;span class="_ _7"&gt;&lt;/span&gt;ar&lt;span class="_ _7"&gt;&lt;/span&gt;act&lt;span class="_ _7"&gt;&lt;/span&gt;er&lt;span class="_ _7"&gt;&lt;/span&gt;is&lt;span class="_ _7"&gt;&lt;/span&gt;tic&lt;span class="_ _7"&gt;&lt;/span&gt;s o&lt;span class="_ _7"&gt;&lt;/span&gt;f th&lt;span class="_ _7"&gt;&lt;/span&gt;e as&lt;span class="_ _7"&gt;&lt;/span&gt;s&lt;span class="_ _7"&gt;&lt;/span&gt;et&lt;span class="_ _7"&gt;&lt;/span&gt;s’ co&lt;span class="_ _7"&gt;&lt;/span&gt;ntr&lt;span class="_ _7"&gt;&lt;/span&gt;ac&lt;span class="_ _7"&gt;&lt;/span&gt;tu&lt;span class="_ _7"&gt;&lt;/span&gt;al &lt;/span&gt;&lt;span style="display:inherit;clear:left;"&gt;ca&lt;span class="_ _7"&gt;&lt;/span&gt;sh&lt;span class="_ _7"&gt;&lt;/span&gt;fl&lt;span class="_ _7"&gt;&lt;/span&gt;ows&lt;span class="_ _7"&gt;&lt;/span&gt;. T&lt;span class="_ _7"&gt;&lt;/span&gt;he fo&lt;span class="_ _7"&gt;&lt;/span&gt;llo&lt;span class="_ _7"&gt;&lt;/span&gt;win&lt;span class="_ _7"&gt;&lt;/span&gt;g me&lt;span class="_ _7"&gt;&lt;/span&gt;as&lt;span class="_ _7"&gt;&lt;/span&gt;ure&lt;span class="_ _7"&gt;&lt;/span&gt;me&lt;span class="_ _7"&gt;&lt;/span&gt;nt c&lt;span class="_ _7"&gt;&lt;/span&gt;ate&lt;span class="_ _7"&gt;&lt;/span&gt;gor&lt;span class="_ _7"&gt;&lt;/span&gt;ie&lt;span class="_ _7"&gt;&lt;/span&gt;s ar&lt;span class="_ _7"&gt;&lt;/span&gt;e ap&lt;span class="_ _7"&gt;&lt;/span&gt;pli&lt;span class="_ _7"&gt;&lt;/span&gt;ed a&lt;span class="_ _7"&gt;&lt;/span&gt;t &lt;/span&gt;&lt;span style="display:inherit;clear:left;"&gt;Volvo Ca&lt;span class="_ _7"&gt;&lt;/span&gt;r Gro&lt;span class="_ _7"&gt;&lt;/span&gt;up: &lt;/span&gt;&lt;span style="display:inherit;clear:left;"&gt;• &lt;span class="_ _17"&gt; &lt;/span&gt;f&lt;span class="_ _7"&gt;&lt;/span&gt;in&lt;span class="_ _7"&gt;&lt;/span&gt;anc&lt;span class="_ _7"&gt;&lt;/span&gt;ia&lt;span class="_ _7"&gt;&lt;/span&gt;l as&lt;span class="_ _7"&gt;&lt;/span&gt;s&lt;span class="_ _7"&gt;&lt;/span&gt;et&lt;span class="_ _7"&gt;&lt;/span&gt;s at am&lt;span class="_ _7"&gt;&lt;/span&gt;or&lt;span class="_ _7"&gt;&lt;/span&gt;t&lt;span class="_ _7"&gt;&lt;/span&gt;is&lt;span class="_ _7"&gt;&lt;/span&gt;ed c&lt;span class="_ _7"&gt;&lt;/span&gt;o&lt;span class="_ _7"&gt;&lt;/span&gt;st&lt;/span&gt;&lt;span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pr&lt;span class="_ _7"&gt;&lt;/span&gt;of&lt;span class="_ _7"&gt;&lt;/span&gt;it o&lt;span class="_ _7"&gt;&lt;/span&gt;r lo&lt;span class="_ _7"&gt;&lt;/span&gt;s&lt;span class="_ _7"&gt;&lt;/span&gt;s&lt;/span&gt;&lt;span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oth&lt;span class="_ _7"&gt;&lt;/span&gt;er c&lt;span class="_ _7"&gt;&lt;/span&gt;om&lt;span class="_ _7"&gt;&lt;/span&gt;pr&lt;span class="_ _7"&gt;&lt;/span&gt;ehe&lt;span class="_ _7"&gt;&lt;/span&gt;ns&lt;span class="_ _7"&gt;&lt;/span&gt;iv&lt;span class="_ _7"&gt;&lt;/span&gt;e in&lt;span class="_ _7"&gt;&lt;/span&gt;com&lt;span class="_ _7"&gt;&lt;/span&gt;e&lt;/span&gt;&lt;span style="display:inherit;clear:left;"&gt;Accounts r&lt;span class="_ _2"&gt;&lt;/span&gt;eceivable and o&lt;span class="_ _2"&gt;&lt;/span&gt;ther financial receiv&lt;span class="_ _2"&gt;&lt;/span&gt;ables&lt;/span&gt;&lt;span style="display:inherit;clear:left;"&gt;Acc&lt;span class="_ _7"&gt;&lt;/span&gt;oun&lt;span class="_ _7"&gt;&lt;/span&gt;ts r&lt;span class="_ _7"&gt;&lt;/span&gt;ec&lt;span class="_ _7"&gt;&lt;/span&gt;ei&lt;span class="_ _7"&gt;&lt;/span&gt;vab&lt;span class="_ _7"&gt;&lt;/span&gt;le a&lt;span class="_ _7"&gt;&lt;/span&gt;re cl&lt;span class="_ _7"&gt;&lt;/span&gt;as&lt;span class="_ _7"&gt;&lt;/span&gt;s&lt;span class="_ _7"&gt;&lt;/span&gt;i&lt;span class="_ _7"&gt;&lt;/span&gt;fi&lt;span class="_ _7"&gt;&lt;/span&gt;ed at a&lt;span class="_ _7"&gt;&lt;/span&gt;mo&lt;span class="_ _7"&gt;&lt;/span&gt;r&lt;span class="_ _7"&gt;&lt;/span&gt;ti&lt;span class="_ _7"&gt;&lt;/span&gt;se&lt;span class="_ _7"&gt;&lt;/span&gt;d co&lt;span class="_ _7"&gt;&lt;/span&gt;s&lt;span class="_ _7"&gt;&lt;/span&gt;t,  a&lt;span class="_ _7"&gt;&lt;/span&gt;nd ar&lt;span class="_ _7"&gt;&lt;/span&gt;e me&lt;span class="_ _7"&gt;&lt;/span&gt;as-&lt;/span&gt;&lt;span style="display:inherit;clear:left;"&gt;ure&lt;span class="_ _7"&gt;&lt;/span&gt;d at th&lt;span class="_ _7"&gt;&lt;/span&gt;ei&lt;span class="_ _7"&gt;&lt;/span&gt;r no&lt;span class="_ _7"&gt;&lt;/span&gt;min&lt;span class="_ _7"&gt;&lt;/span&gt;al v&lt;span class="_ _7"&gt;&lt;/span&gt;alu&lt;span class="_ _7"&gt;&lt;/span&gt;e, re&lt;span class="_ _7"&gt;&lt;/span&gt;f&lt;span class="_ _7"&gt;&lt;/span&gt;lec&lt;span class="_ _7"&gt;&lt;/span&gt;ti&lt;span class="_ _7"&gt;&lt;/span&gt;ng th&lt;span class="_ _7"&gt;&lt;/span&gt;e sh&lt;span class="_ _7"&gt;&lt;/span&gt;or&lt;span class="_ _7"&gt;&lt;/span&gt;t&lt;span class="_ _2"&gt;&lt;/span&gt;-ter&lt;span class="_ _7"&gt;&lt;/span&gt;m nat&lt;span class="_ _7"&gt;&lt;/span&gt;ur&lt;span class="_ _7"&gt;&lt;/span&gt;e of th&lt;span class="_ _7"&gt;&lt;/span&gt;es&lt;span class="_ _7"&gt;&lt;/span&gt;e &lt;/span&gt;&lt;span style="display:inherit;clear:left;"&gt;as&lt;span class="_ _7"&gt;&lt;/span&gt;s&lt;span class="_ _7"&gt;&lt;/span&gt;et&lt;span class="_ _7"&gt;&lt;/span&gt;s an&lt;span class="_ _7"&gt;&lt;/span&gt;d the i&lt;span class="_ _7"&gt;&lt;/span&gt;mm&lt;span class="_ _7"&gt;&lt;/span&gt;ate&lt;span class="_ _7"&gt;&lt;/span&gt;ria&lt;span class="_ _7"&gt;&lt;/span&gt;l im&lt;span class="_ _7"&gt;&lt;/span&gt;pa&lt;span class="_ _7"&gt;&lt;/span&gt;ct o&lt;span class="_ _7"&gt;&lt;/span&gt;f dis&lt;span class="_ _7"&gt;&lt;/span&gt;c&lt;span class="_ _7"&gt;&lt;/span&gt;oun&lt;span class="_ _7"&gt;&lt;/span&gt;tin&lt;span class="_ _7"&gt;&lt;/span&gt;g are r&lt;span class="_ _7"&gt;&lt;/span&gt;ec&lt;span class="_ _7"&gt;&lt;/span&gt;og&lt;span class="_ _7"&gt;&lt;/span&gt;ni&lt;span class="_ _7"&gt;&lt;/span&gt;se&lt;span class="_ _7"&gt;&lt;/span&gt;d.  &lt;/span&gt;&lt;span style="display:inherit;clear:left;"&gt;Acc&lt;span class="_ _7"&gt;&lt;/span&gt;oun&lt;span class="_ _7"&gt;&lt;/span&gt;ts r&lt;span class="_ _7"&gt;&lt;/span&gt;ec&lt;span class="_ _7"&gt;&lt;/span&gt;ei&lt;span class="_ _7"&gt;&lt;/span&gt;vab&lt;span class="_ _7"&gt;&lt;/span&gt;le a&lt;span class="_ _7"&gt;&lt;/span&gt;re pr&lt;span class="_ _7"&gt;&lt;/span&gt;e&lt;span class="_ _7"&gt;&lt;/span&gt;se&lt;span class="_ _7"&gt;&lt;/span&gt;nte&lt;span class="_ _7"&gt;&lt;/span&gt;d net a&lt;span class="_ _7"&gt;&lt;/span&gt;f&lt;span class="_ _7"&gt;&lt;/span&gt;te&lt;span class="_ _7"&gt;&lt;/span&gt;r all&lt;span class="_ _7"&gt;&lt;/span&gt;owa&lt;span class="_ _7"&gt;&lt;/span&gt;nc&lt;span class="_ _7"&gt;&lt;/span&gt;e for ex&lt;span class="_ _7"&gt;&lt;/span&gt;pe&lt;span class="_ _7"&gt;&lt;/span&gt;c&lt;span class="_ _7"&gt;&lt;/span&gt;ted &lt;/span&gt;&lt;span style="display:inherit;clear:left;"&gt;cre&lt;span class="_ _7"&gt;&lt;/span&gt;di&lt;span class="_ _7"&gt;&lt;/span&gt;t los&lt;span class="_ _7"&gt;&lt;/span&gt;s&lt;span class="_ _7"&gt;&lt;/span&gt;, s&lt;span class="_ _7"&gt;&lt;/span&gt;e&lt;span class="_ _7"&gt;&lt;/span&gt;e Note 18 – Ac&lt;span class="_ _7"&gt;&lt;/span&gt;co&lt;span class="_ _7"&gt;&lt;/span&gt;unt&lt;span class="_ _7"&gt;&lt;/span&gt;s re&lt;span class="_ _7"&gt;&lt;/span&gt;ce&lt;span class="_ _7"&gt;&lt;/span&gt;iv&lt;span class="_ _7"&gt;&lt;/span&gt;ab&lt;span class="_ _7"&gt;&lt;/span&gt;le an&lt;span class="_ _7"&gt;&lt;/span&gt;d oth&lt;span class="_ _7"&gt;&lt;/span&gt;er cu&lt;span class="_ _7"&gt;&lt;/span&gt;rr&lt;span class="_ _7"&gt;&lt;/span&gt;en&lt;span class="_ _7"&gt;&lt;/span&gt;t and &lt;/span&gt;&lt;span style="display:inherit;clear:left;"&gt;no&lt;span class="_ _7"&gt;&lt;/span&gt;n-cur&lt;span class="_ _7"&gt;&lt;/span&gt;ren&lt;span class="_ _7"&gt;&lt;/span&gt;t as&lt;span class="_ _7"&gt;&lt;/span&gt;s&lt;span class="_ _7"&gt;&lt;/span&gt;et&lt;span class="_ _7"&gt;&lt;/span&gt;s&lt;span class="_ _7"&gt;&lt;/span&gt;.&lt;/span&gt;&lt;span style="display:inherit;clear:left;"&gt;Convertible loan&lt;/span&gt;&lt;span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the c&lt;span class="_ _7"&gt;&lt;/span&gt;onve&lt;span class="_ _7"&gt;&lt;/span&gt;r&lt;span class="_ _7"&gt;&lt;/span&gt;ti&lt;span class="_ _7"&gt;&lt;/span&gt;ble l&lt;span class="_ _7"&gt;&lt;/span&gt;oa&lt;span class="_ _7"&gt;&lt;/span&gt;n rec&lt;span class="_ _7"&gt;&lt;/span&gt;ei&lt;span class="_ _7"&gt;&lt;/span&gt;va&lt;span class="_ _7"&gt;&lt;/span&gt;ble a&lt;span class="_ _7"&gt;&lt;/span&gt;s fi&lt;span class="_ _7"&gt;&lt;/span&gt;na&lt;span class="_ _7"&gt;&lt;/span&gt;n-&lt;/span&gt;&lt;span style="display:inherit;clear:left;"&gt;cia&lt;span class="_ _7"&gt;&lt;/span&gt;l as&lt;span class="_ _7"&gt;&lt;/span&gt;s&lt;span class="_ _7"&gt;&lt;/span&gt;et&lt;span class="_ _7"&gt;&lt;/span&gt;s at f&lt;span class="_ _7"&gt;&lt;/span&gt;air v&lt;span class="_ _7"&gt;&lt;/span&gt;alu&lt;span class="_ _7"&gt;&lt;/span&gt;e thr&lt;span class="_ _7"&gt;&lt;/span&gt;ou&lt;span class="_ _7"&gt;&lt;/span&gt;gh p&lt;span class="_ _7"&gt;&lt;/span&gt;rof&lt;span class="_ _7"&gt;&lt;/span&gt;i&lt;span class="_ _7"&gt;&lt;/span&gt;t or lo&lt;span class="_ _7"&gt;&lt;/span&gt;s&lt;span class="_ _7"&gt;&lt;/span&gt;s&lt;span class="_ _7"&gt;&lt;/span&gt;. Th&lt;span class="_ _7"&gt;&lt;/span&gt;e con&lt;span class="_ _7"&gt;&lt;/span&gt;ver&lt;span class="_ _7"&gt;&lt;/span&gt;ti&lt;span class="_ _7"&gt;&lt;/span&gt;bl&lt;span class="_ _7"&gt;&lt;/span&gt;e loa&lt;span class="_ _7"&gt;&lt;/span&gt;n &lt;/span&gt;&lt;span style="display:inherit;clear:left;"&gt;was i&lt;span class="_ _7"&gt;&lt;/span&gt;ni&lt;span class="_ _7"&gt;&lt;/span&gt;tia&lt;span class="_ _7"&gt;&lt;/span&gt;lly r&lt;span class="_ _7"&gt;&lt;/span&gt;ec&lt;span class="_ _7"&gt;&lt;/span&gt;ogn&lt;span class="_ _7"&gt;&lt;/span&gt;is&lt;span class="_ _7"&gt;&lt;/span&gt;e&lt;span class="_ _7"&gt;&lt;/span&gt;d at fa&lt;span class="_ _7"&gt;&lt;/span&gt;ir v&lt;span class="_ _7"&gt;&lt;/span&gt;alue&lt;span class="_ _7"&gt;&lt;/span&gt;. Th&lt;span class="_ _7"&gt;&lt;/span&gt;e co&lt;span class="_ _7"&gt;&lt;/span&gt;nver&lt;span class="_ _7"&gt;&lt;/span&gt;t&lt;span class="_ _7"&gt;&lt;/span&gt;ib&lt;span class="_ _7"&gt;&lt;/span&gt;le lo&lt;span class="_ _7"&gt;&lt;/span&gt;an re&lt;span class="_ _7"&gt;&lt;/span&gt;ce&lt;span class="_ _7"&gt;&lt;/span&gt;iv&lt;span class="_ _7"&gt;&lt;/span&gt;ab&lt;span class="_ _7"&gt;&lt;/span&gt;le &lt;/span&gt;&lt;span style="display:inherit;clear:left;"&gt;includes a&lt;span class="_ _2"&gt;&lt;/span&gt; conversion option, whic&lt;span class="_ _2"&gt;&lt;/span&gt;h provides the holder&lt;span class="_ _2"&gt;&lt;/span&gt; with a&lt;span class="_ _2"&gt;&lt;/span&gt; &lt;/span&gt;&lt;span style="display:inherit;clear:left;"&gt; &lt;span class="_ _1"&gt;&lt;/span&gt;po&lt;span class="_ _7"&gt;&lt;/span&gt;s&lt;span class="_ _7"&gt;&lt;/span&gt;s&lt;span class="_ _7"&gt;&lt;/span&gt;ibi&lt;span class="_ _7"&gt;&lt;/span&gt;lit&lt;span class="_ _7"&gt;&lt;/span&gt;y t&lt;span class="_ _7"&gt;&lt;/span&gt;o con&lt;span class="_ _7"&gt;&lt;/span&gt;ver&lt;span class="_ _7"&gt;&lt;/span&gt;t t&lt;span class="_ _7"&gt;&lt;/span&gt;he lo&lt;span class="_ _7"&gt;&lt;/span&gt;an b&lt;span class="_ _7"&gt;&lt;/span&gt;al&lt;span class="_ _7"&gt;&lt;/span&gt;an&lt;span class="_ _7"&gt;&lt;/span&gt;ce in&lt;span class="_ _7"&gt;&lt;/span&gt;to eq&lt;span class="_ _7"&gt;&lt;/span&gt;ui&lt;span class="_ _7"&gt;&lt;/span&gt;t&lt;span class="_ _7"&gt;&lt;/span&gt;y in&lt;span class="_ _7"&gt;&lt;/span&gt;st&lt;span class="_ _7"&gt;&lt;/span&gt;rum&lt;span class="_ _7"&gt;&lt;/span&gt;en&lt;span class="_ _7"&gt;&lt;/span&gt;ts&lt;span class="_ _7"&gt;&lt;/span&gt;, &lt;span class="ls3"&gt; &lt;/span&gt;&lt;/span&gt;&lt;span style="display:inherit;clear:left;"&gt;as s&lt;span class="_ _7"&gt;&lt;/span&gt;har&lt;span class="_ _7"&gt;&lt;/span&gt;e&lt;span class="_ _7"&gt;&lt;/span&gt;s in th&lt;span class="_ _7"&gt;&lt;/span&gt;e co&lt;span class="_ _7"&gt;&lt;/span&gt;mp&lt;span class="_ _7"&gt;&lt;/span&gt;any. Thi&lt;span class="_ _7"&gt;&lt;/span&gt;s re&lt;span class="_ _7"&gt;&lt;/span&gt;su&lt;span class="_ _7"&gt;&lt;/span&gt;lts i&lt;span class="_ _7"&gt;&lt;/span&gt;n sub&lt;span class="_ _7"&gt;&lt;/span&gt;s&lt;span class="_ _7"&gt;&lt;/span&gt;eq&lt;span class="_ _7"&gt;&lt;/span&gt;ue&lt;span class="_ _7"&gt;&lt;/span&gt;nt va&lt;span class="_ _7"&gt;&lt;/span&gt;lua&lt;span class="_ _7"&gt;&lt;/span&gt;tio&lt;span class="_ _7"&gt;&lt;/span&gt;n &lt;/span&gt;&lt;span style="display:inherit;clear:left;"&gt;ba&lt;span class="_ _7"&gt;&lt;/span&gt;se&lt;span class="_ _7"&gt;&lt;/span&gt;d on p&lt;span class="_ _7"&gt;&lt;/span&gt;rev&lt;span class="_ _7"&gt;&lt;/span&gt;ai&lt;span class="_ _7"&gt;&lt;/span&gt;ling m&lt;span class="_ _7"&gt;&lt;/span&gt;ar&lt;span class="_ _7"&gt;&lt;/span&gt;ket qu&lt;span class="_ _7"&gt;&lt;/span&gt;ot&lt;span class="_ _7"&gt;&lt;/span&gt;ati&lt;span class="_ _7"&gt;&lt;/span&gt;on&lt;span class="_ _7"&gt;&lt;/span&gt;s&lt;span class="_ _7"&gt;&lt;/span&gt;, whi&lt;span class="_ _7"&gt;&lt;/span&gt;ch en&lt;span class="_ _7"&gt;&lt;/span&gt;s&lt;span class="_ _7"&gt;&lt;/span&gt;ure&lt;span class="_ _7"&gt;&lt;/span&gt;s th&lt;span class="_ _7"&gt;&lt;/span&gt;at ch&lt;span class="_ _7"&gt;&lt;/span&gt;an&lt;span class="_ _7"&gt;&lt;/span&gt;ge&lt;span class="_ _7"&gt;&lt;/span&gt;s &lt;/span&gt;&lt;span style="display:inherit;clear:left;"&gt;in f&lt;span class="_ _7"&gt;&lt;/span&gt;air v&lt;span class="_ _7"&gt;&lt;/span&gt;alu&lt;span class="_ _7"&gt;&lt;/span&gt;e are c&lt;span class="_ _7"&gt;&lt;/span&gt;ont&lt;span class="_ _7"&gt;&lt;/span&gt;in&lt;span class="_ _7"&gt;&lt;/span&gt;uou&lt;span class="_ _7"&gt;&lt;/span&gt;sl&lt;span class="_ _7"&gt;&lt;/span&gt;y re&lt;span class="_ _7"&gt;&lt;/span&gt;cog&lt;span class="_ _7"&gt;&lt;/span&gt;ni&lt;span class="_ _7"&gt;&lt;/span&gt;se&lt;span class="_ _7"&gt;&lt;/span&gt;d in t&lt;span class="_ _7"&gt;&lt;/span&gt;he in&lt;span class="_ _7"&gt;&lt;/span&gt;co&lt;span class="_ _7"&gt;&lt;/span&gt;me s&lt;span class="_ _7"&gt;&lt;/span&gt;t&lt;span class="_ _7"&gt;&lt;/span&gt;ate&lt;span class="_ _7"&gt;&lt;/span&gt;men&lt;span class="_ _7"&gt;&lt;/span&gt;t. &lt;/span&gt;&lt;span style="display:inherit;clear:left;"&gt;Equity instr&lt;span class="_ _7"&gt;&lt;/span&gt;uments &lt;/span&gt;&lt;span style="display:inherit;clear:left;"&gt;Volvo Ca&lt;span class="_ _7"&gt;&lt;/span&gt;r Gro&lt;span class="_ _7"&gt;&lt;/span&gt;up i&lt;span class="_ _7"&gt;&lt;/span&gt;ncl&lt;span class="_ _7"&gt;&lt;/span&gt;ude&lt;span class="_ _7"&gt;&lt;/span&gt;s e&lt;span class="_ _7"&gt;&lt;/span&gt;qui&lt;span class="_ _7"&gt;&lt;/span&gt;t&lt;span class="_ _7"&gt;&lt;/span&gt;y in&lt;span class="_ _7"&gt;&lt;/span&gt;s&lt;span class="_ _7"&gt;&lt;/span&gt;tru&lt;span class="_ _7"&gt;&lt;/span&gt;me&lt;span class="_ _7"&gt;&lt;/span&gt;nt&lt;span class="_ _7"&gt;&lt;/span&gt;s as f&lt;span class="_ _7"&gt;&lt;/span&gt;in&lt;span class="_ _7"&gt;&lt;/span&gt;anc&lt;span class="_ _7"&gt;&lt;/span&gt;ia&lt;span class="_ _7"&gt;&lt;/span&gt;l as&lt;span class="_ _7"&gt;&lt;/span&gt;s&lt;span class="_ _7"&gt;&lt;/span&gt;et&lt;span class="_ _7"&gt;&lt;/span&gt;s at &lt;/span&gt;&lt;span style="display:inherit;clear:left;"&gt;fa&lt;span class="_ _7"&gt;&lt;/span&gt;ir va&lt;span class="_ _7"&gt;&lt;/span&gt;lue th&lt;span class="_ _7"&gt;&lt;/span&gt;ro&lt;span class="_ _7"&gt;&lt;/span&gt;ug&lt;span class="_ _7"&gt;&lt;/span&gt;h pro&lt;span class="_ _7"&gt;&lt;/span&gt;f&lt;span class="_ _7"&gt;&lt;/span&gt;it or l&lt;span class="_ _7"&gt;&lt;/span&gt;os&lt;span class="_ _7"&gt;&lt;/span&gt;s&lt;span class="_ _7"&gt;&lt;/span&gt;, wh&lt;span class="_ _7"&gt;&lt;/span&gt;ic&lt;span class="_ _7"&gt;&lt;/span&gt;h is c&lt;span class="_ _7"&gt;&lt;/span&gt;omp&lt;span class="_ _7"&gt;&lt;/span&gt;ri&lt;span class="_ _7"&gt;&lt;/span&gt;se&lt;span class="_ _7"&gt;&lt;/span&gt;d o&lt;span class="_ _7"&gt;&lt;/span&gt;f ho&lt;span class="_ _7"&gt;&lt;/span&gt;ldi&lt;span class="_ _7"&gt;&lt;/span&gt;ng&lt;span class="_ _7"&gt;&lt;/span&gt;s in &lt;/span&gt;&lt;span style="display:inherit;clear:left;"&gt;listed&lt;span class="_ _2"&gt;&lt;/span&gt; and unlisted&lt;span class="_ _2"&gt;&lt;/span&gt; equity instruments, un&lt;span class="_ _2"&gt;&lt;/span&gt;listed warran&lt;span class="_ _2"&gt;&lt;/span&gt;ts and earn&lt;span class="_ _2"&gt;&lt;/span&gt;-&lt;/span&gt;&lt;span style="display:inherit;clear:left;"&gt;out r&lt;span class="_ _7"&gt;&lt;/span&gt;ig&lt;span class="_ _7"&gt;&lt;/span&gt;ht&lt;span class="_ _7"&gt;&lt;/span&gt;s. Volvo C&lt;span class="_ _7"&gt;&lt;/span&gt;ar G&lt;span class="_ _7"&gt;&lt;/span&gt;ro&lt;span class="_ _7"&gt;&lt;/span&gt;up p&lt;span class="_ _7"&gt;&lt;/span&gt;re&lt;span class="_ _7"&gt;&lt;/span&gt;se&lt;span class="_ _7"&gt;&lt;/span&gt;nt&lt;span class="_ _7"&gt;&lt;/span&gt;s ch&lt;span class="_ _7"&gt;&lt;/span&gt;ang&lt;span class="_ _7"&gt;&lt;/span&gt;es i&lt;span class="_ _7"&gt;&lt;/span&gt;n fai&lt;span class="_ _7"&gt;&lt;/span&gt;r va&lt;span class="_ _7"&gt;&lt;/span&gt;lue o&lt;span class="_ _7"&gt;&lt;/span&gt;f eq&lt;span class="_ _7"&gt;&lt;/span&gt;uit&lt;span class="_ _7"&gt;&lt;/span&gt;y &lt;/span&gt;&lt;span style="display:inherit;clear:left;"&gt;in&lt;span class="_ _7"&gt;&lt;/span&gt;st&lt;span class="_ _7"&gt;&lt;/span&gt;rum&lt;span class="_ _7"&gt;&lt;/span&gt;en&lt;span class="_ _7"&gt;&lt;/span&gt;ts i&lt;span class="_ _7"&gt;&lt;/span&gt;n Sh&lt;span class="_ _7"&gt;&lt;/span&gt;are o&lt;span class="_ _7"&gt;&lt;/span&gt;f in&lt;span class="_ _7"&gt;&lt;/span&gt;co&lt;span class="_ _7"&gt;&lt;/span&gt;me in j&lt;span class="_ _7"&gt;&lt;/span&gt;oi&lt;span class="_ _7"&gt;&lt;/span&gt;nt ve&lt;span class="_ _7"&gt;&lt;/span&gt;ntu&lt;span class="_ _7"&gt;&lt;/span&gt;re&lt;span class="_ _7"&gt;&lt;/span&gt;s an&lt;span class="_ _7"&gt;&lt;/span&gt;d as&lt;span class="_ _7"&gt;&lt;/span&gt;s&lt;span class="_ _7"&gt;&lt;/span&gt;oci&lt;span class="_ _7"&gt;&lt;/span&gt;ate&lt;span class="_ _7"&gt;&lt;/span&gt;s an&lt;span class="_ _7"&gt;&lt;/span&gt;d &lt;/span&gt;&lt;span style="display:inherit;clear:left;"&gt;Other financial&lt;span class="_ _2"&gt;&lt;/span&gt; income and e&lt;span class="_ _2"&gt;&lt;/span&gt;xpense&lt;span class="_ _7"&gt;&lt;/span&gt;s.&lt;/span&gt;&lt;span style="display:inherit;clear:left;"&gt;Bank acceptanc&lt;span class="_ _7"&gt;&lt;/span&gt;e draf&lt;span class="_ _7"&gt;&lt;/span&gt;ts&lt;/span&gt;&lt;span style="display:inherit;clear:left;"&gt;Bank acceptance&lt;span class="_ _2"&gt;&lt;/span&gt; draf&lt;span class="_ _7"&gt;&lt;/span&gt;ts (BADs&lt;span class="_ _2"&gt;&lt;/span&gt;) are received&lt;span class="_ _2"&gt;&lt;/span&gt; primarily in connection&lt;span class="_ _2"&gt;&lt;/span&gt; &lt;/span&gt;&lt;span style="display:inherit;clear:left;"&gt;wit&lt;span class="_ _7"&gt;&lt;/span&gt;h ca&lt;span class="_ _7"&gt;&lt;/span&gt;r s&lt;span class="_ _7"&gt;&lt;/span&gt;ale&lt;span class="_ _7"&gt;&lt;/span&gt;s to de&lt;span class="_ _7"&gt;&lt;/span&gt;al&lt;span class="_ _7"&gt;&lt;/span&gt;er&lt;span class="_ _7"&gt;&lt;/span&gt;s in Ch&lt;span class="_ _7"&gt;&lt;/span&gt;in&lt;span class="_ _7"&gt;&lt;/span&gt;a an&lt;span class="_ _7"&gt;&lt;/span&gt;d rep&lt;span class="_ _7"&gt;&lt;/span&gt;re&lt;span class="_ _7"&gt;&lt;/span&gt;s&lt;span class="_ _7"&gt;&lt;/span&gt;ent a c&lt;span class="_ </t>
  </si>
  <si>
    <t>f1__s8__6__158-1</t>
  </si>
  <si>
    <t>ifrs-full:DescriptionOfAccountingPolicyForTradeAndOtherReceivablesExplanatory</t>
  </si>
  <si>
    <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style="display:inherit;clear:left;"&gt;contractual pro&lt;span class="_ _2"&gt;&lt;/span&gt;vis&lt;span class="_ _7"&gt;&lt;/span&gt;ions of t&lt;span class="_ _2"&gt;&lt;/span&gt;he instrument.&lt;/span&gt;&lt;span style="display:inherit;clear:left;"&gt;Customer in&lt;span class="_ _2"&gt;&lt;/span&gt;voices may be subject&lt;span class="_ _2"&gt;&lt;/span&gt; to factoring&lt;span class="_ _2"&gt;&lt;/span&gt; arrangements with &lt;/span&gt;&lt;span style="display:inherit;clear:left;"&gt;a fi&lt;span class="_ _7"&gt;&lt;/span&gt;nan&lt;span class="_ _7"&gt;&lt;/span&gt;ci&lt;span class="_ _7"&gt;&lt;/span&gt;al in&lt;span class="_ _7"&gt;&lt;/span&gt;s&lt;span class="_ _7"&gt;&lt;/span&gt;tit&lt;span class="_ _7"&gt;&lt;/span&gt;uti&lt;span class="_ _7"&gt;&lt;/span&gt;on&lt;span class="_ _7"&gt;&lt;/span&gt;. In th&lt;span class="_ _7"&gt;&lt;/span&gt;o&lt;span class="_ _7"&gt;&lt;/span&gt;se c&lt;span class="_ _7"&gt;&lt;/span&gt;as&lt;span class="_ _7"&gt;&lt;/span&gt;e&lt;span class="_ _7"&gt;&lt;/span&gt;s&lt;span class="_ _7"&gt;&lt;/span&gt;, the i&lt;span class="_ _7"&gt;&lt;/span&gt;nvoi&lt;span class="_ _7"&gt;&lt;/span&gt;ce&lt;span class="_ _7"&gt;&lt;/span&gt;s ar&lt;span class="_ _7"&gt;&lt;/span&gt;e de&lt;span class="_ _7"&gt;&lt;/span&gt;re&lt;span class="_ _7"&gt;&lt;/span&gt;cog&lt;span class="_ _7"&gt;&lt;/span&gt;ni&lt;span class="_ _7"&gt;&lt;/span&gt;s&lt;span class="_ _7"&gt;&lt;/span&gt;ed &lt;/span&gt;&lt;span style="display:inherit;clear:left;"&gt;fr&lt;span class="_ _7"&gt;&lt;/span&gt;om ac&lt;span class="_ _7"&gt;&lt;/span&gt;co&lt;span class="_ _7"&gt;&lt;/span&gt;un&lt;span class="_ _7"&gt;&lt;/span&gt;ts r&lt;span class="_ _7"&gt;&lt;/span&gt;ec&lt;span class="_ _7"&gt;&lt;/span&gt;ei&lt;span class="_ _7"&gt;&lt;/span&gt;vab&lt;span class="_ _7"&gt;&lt;/span&gt;le im&lt;span class="_ _7"&gt;&lt;/span&gt;me&lt;span class="_ _7"&gt;&lt;/span&gt;di&lt;span class="_ _7"&gt;&lt;/span&gt;ate&lt;span class="_ _7"&gt;&lt;/span&gt;ly up&lt;span class="_ _7"&gt;&lt;/span&gt;on s&lt;span class="_ _7"&gt;&lt;/span&gt;et&lt;span class="_ _7"&gt;&lt;/span&gt;tl&lt;span class="_ _7"&gt;&lt;/span&gt;em&lt;span class="_ _7"&gt;&lt;/span&gt;ent&lt;span class="_ _7"&gt;&lt;/span&gt;. If th&lt;span class="_ _7"&gt;&lt;/span&gt;e cr&lt;span class="_ _7"&gt;&lt;/span&gt;ed&lt;span class="_ _7"&gt;&lt;/span&gt;it &lt;/span&gt;&lt;span style="display:inherit;clear:left;"&gt;ri&lt;span class="_ _7"&gt;&lt;/span&gt;sk h&lt;span class="_ _7"&gt;&lt;/span&gt;as n&lt;span class="_ _7"&gt;&lt;/span&gt;ot tr&lt;span class="_ _7"&gt;&lt;/span&gt;an&lt;span class="_ _7"&gt;&lt;/span&gt;s&lt;span class="_ _7"&gt;&lt;/span&gt;fer&lt;span class="_ _7"&gt;&lt;/span&gt;re&lt;span class="_ _7"&gt;&lt;/span&gt;d to th&lt;span class="_ _7"&gt;&lt;/span&gt;e fi&lt;span class="_ _7"&gt;&lt;/span&gt;na&lt;span class="_ _7"&gt;&lt;/span&gt;nci&lt;span class="_ _7"&gt;&lt;/span&gt;al i&lt;span class="_ _7"&gt;&lt;/span&gt;ns&lt;span class="_ _7"&gt;&lt;/span&gt;ti&lt;span class="_ _7"&gt;&lt;/span&gt;tut&lt;span class="_ _7"&gt;&lt;/span&gt;ion t&lt;span class="_ _7"&gt;&lt;/span&gt;he r&lt;span class="_ _7"&gt;&lt;/span&gt;ec&lt;span class="_ _7"&gt;&lt;/span&gt;ei&lt;span class="_ _7"&gt;&lt;/span&gt;vab&lt;span class="_ _7"&gt;&lt;/span&gt;le&lt;span class="_ _7"&gt;&lt;/span&gt;s &lt;/span&gt;&lt;span style="display:inherit;clear:left;"&gt;rem&lt;span class="_ _7"&gt;&lt;/span&gt;ai&lt;span class="_ _7"&gt;&lt;/span&gt;n on th&lt;span class="_ _7"&gt;&lt;/span&gt;e ba&lt;span class="_ _7"&gt;&lt;/span&gt;la&lt;span class="_ _7"&gt;&lt;/span&gt;nc&lt;span class="_ _7"&gt;&lt;/span&gt;e sh&lt;span class="_ _7"&gt;&lt;/span&gt;ee&lt;span class="_ _7"&gt;&lt;/span&gt;t an&lt;span class="_ _7"&gt;&lt;/span&gt;d are p&lt;span class="_ _7"&gt;&lt;/span&gt;re&lt;span class="_ _7"&gt;&lt;/span&gt;s&lt;span class="_ _7"&gt;&lt;/span&gt;ente&lt;span class="_ _7"&gt;&lt;/span&gt;d as O&lt;span class="_ _7"&gt;&lt;/span&gt;th&lt;span class="_ _7"&gt;&lt;/span&gt;er n&lt;span class="_ _7"&gt;&lt;/span&gt;on- &lt;/span&gt;&lt;span style="display:inherit;clear:left;"&gt;cur&lt;span class="_ _7"&gt;&lt;/span&gt;re&lt;span class="_ _7"&gt;&lt;/span&gt;nt an&lt;span class="_ _7"&gt;&lt;/span&gt;d cur&lt;span class="_ _7"&gt;&lt;/span&gt;re&lt;span class="_ _7"&gt;&lt;/span&gt;nt f&lt;span class="_ _7"&gt;&lt;/span&gt;in&lt;span class="_ _7"&gt;&lt;/span&gt;anc&lt;span class="_ _7"&gt;&lt;/span&gt;ia&lt;span class="_ _7"&gt;&lt;/span&gt;l as&lt;span class="_ _7"&gt;&lt;/span&gt;s&lt;span class="_ _7"&gt;&lt;/span&gt;et&lt;span class="_ _7"&gt;&lt;/span&gt;s&lt;span class="_ _7"&gt;&lt;/span&gt;.&lt;/span&gt;&lt;span style="display:inherit;clear:left;"&gt;Factoring&lt;/span&gt;&lt;span style="display:inherit;clear:left;"&gt;Volvo Ca&lt;span class="_ _7"&gt;&lt;/span&gt;rs c&lt;span class="_ _7"&gt;&lt;/span&gt;us&lt;span class="_ _7"&gt;&lt;/span&gt;tom&lt;span class="_ _7"&gt;&lt;/span&gt;er i&lt;span class="_ _7"&gt;&lt;/span&gt;nvoi&lt;span class="_ _7"&gt;&lt;/span&gt;ce&lt;span class="_ _7"&gt;&lt;/span&gt;s m&lt;span class="_ _7"&gt;&lt;/span&gt;ay be s&lt;span class="_ _7"&gt;&lt;/span&gt;ub&lt;span class="_ _7"&gt;&lt;/span&gt;je&lt;span class="_ _7"&gt;&lt;/span&gt;ct to f&lt;span class="_ _7"&gt;&lt;/span&gt;ac&lt;span class="_ _7"&gt;&lt;/span&gt;tor&lt;span class="_ _7"&gt;&lt;/span&gt;ing w&lt;span class="_ _7"&gt;&lt;/span&gt;ith a &lt;/span&gt;&lt;span style="display:inherit;clear:left;"&gt;fi&lt;span class="_ _7"&gt;&lt;/span&gt;nan&lt;span class="_ _7"&gt;&lt;/span&gt;ci&lt;span class="_ _7"&gt;&lt;/span&gt;al in&lt;span class="_ _7"&gt;&lt;/span&gt;s&lt;span class="_ _7"&gt;&lt;/span&gt;tit&lt;span class="_ _7"&gt;&lt;/span&gt;uti&lt;span class="_ _7"&gt;&lt;/span&gt;on&lt;span class="_ _7"&gt;&lt;/span&gt;. Th&lt;span class="_ _7"&gt;&lt;/span&gt;is e&lt;span class="_ _7"&gt;&lt;/span&gt;na&lt;span class="_ _7"&gt;&lt;/span&gt;ble&lt;span class="_ _7"&gt;&lt;/span&gt;s Volvo C&lt;span class="_ _7"&gt;&lt;/span&gt;ar&lt;span class="_ _7"&gt;&lt;/span&gt;s to re&lt;span class="_ _7"&gt;&lt;/span&gt;ce&lt;span class="_ _7"&gt;&lt;/span&gt;ive p&lt;span class="_ _7"&gt;&lt;/span&gt;ay&lt;span class="_ _7"&gt;&lt;/span&gt;me&lt;span class="_ _7"&gt;&lt;/span&gt;nt fo&lt;span class="_ _7"&gt;&lt;/span&gt;r &lt;/span&gt;&lt;span style="display:inherit;clear:left;"&gt;it&lt;span class="_ _7"&gt;&lt;/span&gt;s re&lt;span class="_ _7"&gt;&lt;/span&gt;ce&lt;span class="_ _7"&gt;&lt;/span&gt;iva&lt;span class="_ _7"&gt;&lt;/span&gt;bl&lt;span class="_ _7"&gt;&lt;/span&gt;e wit&lt;span class="_ _7"&gt;&lt;/span&gt;hin a f&lt;span class="_ _7"&gt;&lt;/span&gt;ew da&lt;span class="_ _7"&gt;&lt;/span&gt;ys a&lt;span class="_ _7"&gt;&lt;/span&gt;f&lt;span class="_ _7"&gt;&lt;/span&gt;ter i&lt;span class="_ _7"&gt;&lt;/span&gt;nvoi&lt;span class="_ _7"&gt;&lt;/span&gt;ci&lt;span class="_ _7"&gt;&lt;/span&gt;ng an&lt;span class="_ _7"&gt;&lt;/span&gt;d thu&lt;span class="_ _7"&gt;&lt;/span&gt;s be a&lt;span class="_ _7"&gt;&lt;/span&gt;ble t&lt;span class="_ _7"&gt;&lt;/span&gt;o &lt;/span&gt;&lt;span style="display:inherit;clear:left;"&gt;re&lt;span class="_ _7"&gt;&lt;/span&gt;lea&lt;span class="_ _7"&gt;&lt;/span&gt;se l&lt;span class="_ _7"&gt;&lt;/span&gt;iq&lt;span class="_ _7"&gt;&lt;/span&gt;uid&lt;span class="_ _7"&gt;&lt;/span&gt;it&lt;span class="_ _7"&gt;&lt;/span&gt;y at a&lt;span class="_ _7"&gt;&lt;/span&gt;n ea&lt;span class="_ _7"&gt;&lt;/span&gt;rli&lt;span class="_ _7"&gt;&lt;/span&gt;er s&lt;span class="_ _7"&gt;&lt;/span&gt;t&lt;span class="_ _7"&gt;&lt;/span&gt;age t&lt;span class="_ _7"&gt;&lt;/span&gt;han w&lt;span class="_ _7"&gt;&lt;/span&gt;ou&lt;span class="_ _7"&gt;&lt;/span&gt;ld oth&lt;span class="_ _7"&gt;&lt;/span&gt;er&lt;span class="_ _7"&gt;&lt;/span&gt;w&lt;span class="_ _7"&gt;&lt;/span&gt;is&lt;span class="_ _7"&gt;&lt;/span&gt;e ha&lt;span class="_ _7"&gt;&lt;/span&gt;ve be&lt;span class="_ _7"&gt;&lt;/span&gt;en &lt;/span&gt;&lt;span style="display:inherit;clear:left;"&gt;the c&lt;span class="_ _7"&gt;&lt;/span&gt;as&lt;span class="_ _7"&gt;&lt;/span&gt;e&lt;span class="_ _7"&gt;&lt;/span&gt;. &lt;/span&gt;&lt;span style="display:inherit;clear:left;"&gt;Supplier financing&lt;span class="_ _2"&gt;&lt;/span&gt; programmes&lt;span class="_ _2"&gt;&lt;/span&gt; &lt;/span&gt;&lt;span style="display:inherit;clear:left;"&gt;Volvo Ca&lt;span class="_ _7"&gt;&lt;/span&gt;rs p&lt;span class="_ _7"&gt;&lt;/span&gt;ar&lt;span class="_ _7"&gt;&lt;/span&gt;t&lt;span class="_ _7"&gt;&lt;/span&gt;ici&lt;span class="_ _7"&gt;&lt;/span&gt;pa&lt;span class="_ _7"&gt;&lt;/span&gt;tes i&lt;span class="_ _7"&gt;&lt;/span&gt;n su&lt;span class="_ _7"&gt;&lt;/span&gt;pp&lt;span class="_ _7"&gt;&lt;/span&gt;lie&lt;span class="_ _7"&gt;&lt;/span&gt;r fi&lt;span class="_ _7"&gt;&lt;/span&gt;na&lt;span class="_ _7"&gt;&lt;/span&gt;nci&lt;span class="_ _7"&gt;&lt;/span&gt;ng pr&lt;span class="_ _7"&gt;&lt;/span&gt;og&lt;span class="_ _7"&gt;&lt;/span&gt;ra&lt;span class="_ _7"&gt;&lt;/span&gt;mm&lt;span class="_ _7"&gt;&lt;/span&gt;es&lt;span class="_ _7"&gt;&lt;/span&gt;. T&lt;span class="_ _7"&gt;&lt;/span&gt;he pr&lt;span class="_ _7"&gt;&lt;/span&gt;in-&lt;/span&gt;&lt;span style="display:inherit;clear:left;"&gt;cip&lt;span class="_ _7"&gt;&lt;/span&gt;al p&lt;span class="_ _7"&gt;&lt;/span&gt;ur&lt;span class="_ _7"&gt;&lt;/span&gt;po&lt;span class="_ _7"&gt;&lt;/span&gt;se o&lt;span class="_ _7"&gt;&lt;/span&gt;f th&lt;span class="_ _7"&gt;&lt;/span&gt;e ar&lt;span class="_ _7"&gt;&lt;/span&gt;ra&lt;span class="_ _7"&gt;&lt;/span&gt;nge&lt;span class="_ _7"&gt;&lt;/span&gt;me&lt;span class="_ _7"&gt;&lt;/span&gt;nt&lt;span class="_ _7"&gt;&lt;/span&gt;s is to f&lt;span class="_ _7"&gt;&lt;/span&gt;aci&lt;span class="_ _7"&gt;&lt;/span&gt;lit&lt;span class="_ _7"&gt;&lt;/span&gt;at&lt;span class="_ _7"&gt;&lt;/span&gt;e ef&lt;span class="_ _7"&gt;&lt;/span&gt;f&lt;span class="_ _7"&gt;&lt;/span&gt;i&lt;span class="_ _7"&gt;&lt;/span&gt;cie&lt;span class="_ _7"&gt;&lt;/span&gt;nt p&lt;span class="_ _7"&gt;&lt;/span&gt;aym&lt;span class="_ _7"&gt;&lt;/span&gt;ent &lt;/span&gt;&lt;span style="display:inherit;clear:left;"&gt;process&lt;span class="_ _7"&gt;&lt;/span&gt;ing a&lt;span class="_ _2"&gt;&lt;/span&gt;nd enable the wi&lt;span class="_ _2"&gt;&lt;/span&gt;lling suppliers to&lt;span class="_ _2"&gt;&lt;/span&gt; receive payments &lt;/span&gt;&lt;span style="display:inherit;clear:left;"&gt;fr&lt;span class="_ _7"&gt;&lt;/span&gt;om th&lt;span class="_ _7"&gt;&lt;/span&gt;e fi&lt;span class="_ _7"&gt;&lt;/span&gt;na&lt;span class="_ _7"&gt;&lt;/span&gt;nci&lt;span class="_ _7"&gt;&lt;/span&gt;al i&lt;span class="_ _7"&gt;&lt;/span&gt;ns&lt;span class="_ _7"&gt;&lt;/span&gt;ti&lt;span class="_ _7"&gt;&lt;/span&gt;tut&lt;span class="_ _7"&gt;&lt;/span&gt;ion&lt;span class="_ _7"&gt;&lt;/span&gt;s b&lt;span class="_ _7"&gt;&lt;/span&gt;efo&lt;span class="_ _7"&gt;&lt;/span&gt;re t&lt;span class="_ _7"&gt;&lt;/span&gt;he in&lt;span class="_ _7"&gt;&lt;/span&gt;voi&lt;span class="_ _7"&gt;&lt;/span&gt;ce du&lt;span class="_ _7"&gt;&lt;/span&gt;e da&lt;span class="_ _7"&gt;&lt;/span&gt;te. T&lt;span class="_ _7"&gt;&lt;/span&gt;he &lt;/span&gt;&lt;span style="display:inherit;clear:left;"&gt;arr&lt;span class="_ _7"&gt;&lt;/span&gt;an&lt;span class="_ _7"&gt;&lt;/span&gt;ge&lt;span class="_ _7"&gt;&lt;/span&gt;men&lt;span class="_ _7"&gt;&lt;/span&gt;t do&lt;span class="_ _7"&gt;&lt;/span&gt;es n&lt;span class="_ _7"&gt;&lt;/span&gt;ot ex&lt;span class="_ _7"&gt;&lt;/span&gt;te&lt;span class="_ _7"&gt;&lt;/span&gt;nd t&lt;span class="_ _7"&gt;&lt;/span&gt;he p&lt;span class="_ _7"&gt;&lt;/span&gt;aym&lt;span class="_ _7"&gt;&lt;/span&gt;en&lt;span class="_ _7"&gt;&lt;/span&gt;t ter&lt;span class="_ _7"&gt;&lt;/span&gt;ms o&lt;span class="_ _7"&gt;&lt;/span&gt;r alte&lt;span class="_ _7"&gt;&lt;/span&gt;r the t&lt;span class="_ _7"&gt;&lt;/span&gt;imi&lt;span class="_ _7"&gt;&lt;/span&gt;ng &lt;/span&gt;&lt;span style="display:inherit;clear:left;"&gt;of th&lt;span class="_ _7"&gt;&lt;/span&gt;e Gr&lt;span class="_ _7"&gt;&lt;/span&gt;oup’s c&lt;span class="_ _7"&gt;&lt;/span&gt;as&lt;span class="_ _7"&gt;&lt;/span&gt;h ou&lt;span class="_ _7"&gt;&lt;/span&gt;t&lt;span class="_ _7"&gt;&lt;/span&gt;flo&lt;span class="_ _7"&gt;&lt;/span&gt;ws b&lt;span class="_ _7"&gt;&lt;/span&gt;eyo&lt;span class="_ _7"&gt;&lt;/span&gt;nd th&lt;span class="_ _7"&gt;&lt;/span&gt;e no&lt;span class="_ _7"&gt;&lt;/span&gt;rm&lt;span class="_ _7"&gt;&lt;/span&gt;al te&lt;span class="_ _7"&gt;&lt;/span&gt;rm&lt;span class="_ _7"&gt;&lt;/span&gt;s ag&lt;span class="_ _7"&gt;&lt;/span&gt;re&lt;span class="_ _7"&gt;&lt;/span&gt;ed w&lt;span class="_ _7"&gt;&lt;/span&gt;ith &lt;/span&gt;&lt;span style="display:inherit;clear:left;"&gt;non-parti&lt;span class="_ _7"&gt;&lt;/span&gt;cipating supp&lt;span class="_ _7"&gt;&lt;/span&gt;liers&lt;span class="_ _7"&gt;&lt;/span&gt;. However&lt;span class="_ _2"&gt;&lt;/span&gt;, par&lt;span class="_ _7"&gt;&lt;/span&gt;ticip&lt;span class="_ _7"&gt;&lt;/span&gt;ating suppli&lt;span class="_ _7"&gt;&lt;/span&gt;ers may &lt;/span&gt;&lt;span style="display:inherit;clear:left;"&gt;under the&lt;span class="_ _2"&gt;&lt;/span&gt; programme, issue invoices earlier&lt;span class="_ _2"&gt;&lt;/span&gt; than under standard &lt;/span&gt;&lt;span style="display:inherit;clear:left;"&gt;commercial practice,&lt;span class="_ _2"&gt;&lt;/span&gt; enabling earlier&lt;span class="_ _2"&gt;&lt;/span&gt; set&lt;span class="_ _7"&gt;&lt;/span&gt;tlement b&lt;span class="_ _2"&gt;&lt;/span&gt;y the financial&lt;span class="_ _2"&gt;&lt;/span&gt; &lt;/span&gt;&lt;span style="display:inherit;clear:left;"&gt;insti&lt;span class="_ _7"&gt;&lt;/span&gt;tution.&lt;/span&gt;&lt;span style="display:inherit;clear:left;"&gt;Status at yea&lt;span class="_ _7"&gt;&lt;/span&gt;r end&lt;/span&gt;</t>
  </si>
  <si>
    <t>f1__s8__6__159-1</t>
  </si>
  <si>
    <t>ifrs-full:DescriptionOfAccountingPolicyForTradeAndOtherPayablesExplanatory</t>
  </si>
  <si>
    <t>&lt;span style="display:inherit;clear:left;"&gt;Acc&lt;span class="_ _7"&gt;&lt;/span&gt;oun&lt;span class="_ _7"&gt;&lt;/span&gt;ts r&lt;span class="_ _7"&gt;&lt;/span&gt;ec&lt;span class="_ _7"&gt;&lt;/span&gt;ei&lt;span class="_ _7"&gt;&lt;/span&gt;vab&lt;span class="_ _7"&gt;&lt;/span&gt;le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 w&lt;span class="_ _7"&gt;&lt;/span&gt;he&lt;span class="_ _7"&gt;&lt;/span&gt;n th&lt;span class="_ _7"&gt;&lt;/span&gt;ey &lt;/span&gt;&lt;span style="display:inherit;clear:left;"&gt;are i&lt;span class="_ _7"&gt;&lt;/span&gt;s&lt;span class="_ _7"&gt;&lt;/span&gt;su&lt;span class="_ _7"&gt;&lt;/span&gt;ed b&lt;span class="_ _7"&gt;&lt;/span&gt;y the G&lt;span class="_ _7"&gt;&lt;/span&gt;ro&lt;span class="_ _7"&gt;&lt;/span&gt;up. Ac&lt;span class="_ _7"&gt;&lt;/span&gt;co&lt;span class="_ _7"&gt;&lt;/span&gt;unt&lt;span class="_ _7"&gt;&lt;/span&gt;s p&lt;span class="_ _7"&gt;&lt;/span&gt;ayab&lt;span class="_ _7"&gt;&lt;/span&gt;le a&lt;span class="_ _7"&gt;&lt;/span&gt;re re&lt;span class="_ _7"&gt;&lt;/span&gt;co&lt;span class="_ _7"&gt;&lt;/span&gt;gn&lt;span class="_ _7"&gt;&lt;/span&gt;is&lt;span class="_ _7"&gt;&lt;/span&gt;ed o&lt;span class="_ _7"&gt;&lt;/span&gt;n th&lt;span class="_ _7"&gt;&lt;/span&gt;e &lt;/span&gt;&lt;span style="display:inherit;clear:left;"&gt;ba&lt;span class="_ _7"&gt;&lt;/span&gt;la&lt;span class="_ _7"&gt;&lt;/span&gt;nc&lt;span class="_ _7"&gt;&lt;/span&gt;e sh&lt;span class="_ _7"&gt;&lt;/span&gt;eet w&lt;span class="_ _7"&gt;&lt;/span&gt;he&lt;span class="_ _7"&gt;&lt;/span&gt;n th&lt;span class="_ _7"&gt;&lt;/span&gt;e invo&lt;span class="_ _7"&gt;&lt;/span&gt;ic&lt;span class="_ _7"&gt;&lt;/span&gt;e is re&lt;span class="_ _7"&gt;&lt;/span&gt;ce&lt;span class="_ _7"&gt;&lt;/span&gt;iv&lt;span class="_ _7"&gt;&lt;/span&gt;ed&lt;span class="_ _7"&gt;&lt;/span&gt;. Reg&lt;span class="_ _7"&gt;&lt;/span&gt;ul&lt;span class="_ _7"&gt;&lt;/span&gt;ar-way acq&lt;span class="_ _7"&gt;&lt;/span&gt;ui&lt;span class="_ _7"&gt;&lt;/span&gt;si-&lt;/span&gt;&lt;span style="display:inherit;clear:left;"&gt;tio&lt;span class="_ _7"&gt;&lt;/span&gt;ns o&lt;span class="_ _7"&gt;&lt;/span&gt;f fi&lt;span class="_ _7"&gt;&lt;/span&gt;na&lt;span class="_ _7"&gt;&lt;/span&gt;nci&lt;span class="_ _7"&gt;&lt;/span&gt;al a&lt;span class="_ _7"&gt;&lt;/span&gt;s&lt;span class="_ _7"&gt;&lt;/span&gt;se&lt;span class="_ _7"&gt;&lt;/span&gt;ts a&lt;span class="_ _7"&gt;&lt;/span&gt;re r&lt;span class="_ _7"&gt;&lt;/span&gt;ec&lt;span class="_ _7"&gt;&lt;/span&gt;og&lt;span class="_ _7"&gt;&lt;/span&gt;nis&lt;span class="_ _7"&gt;&lt;/span&gt;e&lt;span class="_ _7"&gt;&lt;/span&gt;d on th&lt;span class="_ _7"&gt;&lt;/span&gt;e ba&lt;span class="_ _7"&gt;&lt;/span&gt;la&lt;span class="_ _7"&gt;&lt;/span&gt;nc&lt;span class="_ _7"&gt;&lt;/span&gt;e sh&lt;span class="_ _7"&gt;&lt;/span&gt;ee&lt;span class="_ _7"&gt;&lt;/span&gt;t up&lt;span class="_ _7"&gt;&lt;/span&gt;on &lt;/span&gt;&lt;span style="display:inherit;clear:left;"&gt;the a&lt;span class="_ _7"&gt;&lt;/span&gt;ct&lt;span class="_ _7"&gt;&lt;/span&gt;ual t&lt;span class="_ _7"&gt;&lt;/span&gt;ra&lt;span class="_ _7"&gt;&lt;/span&gt;ns&lt;span class="_ _7"&gt;&lt;/span&gt;fe&lt;span class="_ _7"&gt;&lt;/span&gt;r, which o&lt;span class="_ _7"&gt;&lt;/span&gt;cc&lt;span class="_ _7"&gt;&lt;/span&gt;ur&lt;span class="_ _7"&gt;&lt;/span&gt;s on th&lt;span class="_ _7"&gt;&lt;/span&gt;e s&lt;span class="_ _7"&gt;&lt;/span&gt;et&lt;span class="_ _7"&gt;&lt;/span&gt;tle&lt;span class="_ _7"&gt;&lt;/span&gt;me&lt;span class="_ _7"&gt;&lt;/span&gt;nt da&lt;span class="_ _7"&gt;&lt;/span&gt;te. F&lt;span class="_ _7"&gt;&lt;/span&gt;in&lt;span class="_ _7"&gt;&lt;/span&gt;anc&lt;span class="_ _7"&gt;&lt;/span&gt;ia&lt;span class="_ _7"&gt;&lt;/span&gt;l &lt;/span&gt;&lt;span style="display:inherit;clear:left;"&gt;lia&lt;span class="_ _7"&gt;&lt;/span&gt;bi&lt;span class="_ _7"&gt;&lt;/span&gt;lit&lt;span class="_ _7"&gt;&lt;/span&gt;ie&lt;span class="_ _7"&gt;&lt;/span&gt;s su&lt;span class="_ _7"&gt;&lt;/span&gt;ch as i&lt;span class="_ _7"&gt;&lt;/span&gt;s&lt;span class="_ _7"&gt;&lt;/span&gt;su&lt;span class="_ _7"&gt;&lt;/span&gt;ed b&lt;span class="_ _7"&gt;&lt;/span&gt;on&lt;span class="_ _7"&gt;&lt;/span&gt;ds a&lt;span class="_ _7"&gt;&lt;/span&gt;nd lo&lt;span class="_ _7"&gt;&lt;/span&gt;an l&lt;span class="_ _7"&gt;&lt;/span&gt;ia&lt;span class="_ _7"&gt;&lt;/span&gt;bil&lt;span class="_ _7"&gt;&lt;/span&gt;iti&lt;span class="_ _7"&gt;&lt;/span&gt;es t&lt;span class="_ _7"&gt;&lt;/span&gt;o fi&lt;span class="_ _7"&gt;&lt;/span&gt;nan&lt;span class="_ _7"&gt;&lt;/span&gt;ci&lt;span class="_ _7"&gt;&lt;/span&gt;al in&lt;span class="_ _7"&gt;&lt;/span&gt;s&lt;span class="_ _7"&gt;&lt;/span&gt;ti-&lt;/span&gt;&lt;span style="display:inherit;clear:left;"&gt;tut&lt;span class="_ _7"&gt;&lt;/span&gt;ion&lt;span class="_ _7"&gt;&lt;/span&gt;s&lt;span class="_ _7"&gt;&lt;/span&gt;, ar&lt;span class="_ _7"&gt;&lt;/span&gt;e 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o&lt;span class="_ _7"&gt;&lt;/span&gt;n the s&lt;span class="_ _7"&gt;&lt;/span&gt;et&lt;span class="_ _7"&gt;&lt;/span&gt;tl&lt;span class="_ _7"&gt;&lt;/span&gt;em&lt;span class="_ _7"&gt;&lt;/span&gt;ent d&lt;span class="_ _7"&gt;&lt;/span&gt;ate&lt;span class="_ _7"&gt;&lt;/span&gt;. &lt;/span&gt;&lt;span style="display:inherit;clear:left;"&gt;Ot&lt;span class="_ _7"&gt;&lt;/span&gt;he&lt;span class="_ _7"&gt;&lt;/span&gt;r fi&lt;span class="_ _7"&gt;&lt;/span&gt;nan&lt;span class="_ _7"&gt;&lt;/span&gt;ci&lt;span class="_ _7"&gt;&lt;/span&gt;al as&lt;span class="_ _7"&gt;&lt;/span&gt;s&lt;span class="_ _7"&gt;&lt;/span&gt;et&lt;span class="_ _7"&gt;&lt;/span&gt;s a&lt;span class="_ _7"&gt;&lt;/span&gt;nd li&lt;span class="_ _7"&gt;&lt;/span&gt;ab&lt;span class="_ _7"&gt;&lt;/span&gt;ili&lt;span class="_ _7"&gt;&lt;/span&gt;tie&lt;span class="_ _7"&gt;&lt;/span&gt;s ar&lt;span class="_ _7"&gt;&lt;/span&gt;e re&lt;span class="_ _7"&gt;&lt;/span&gt;co&lt;span class="_ _7"&gt;&lt;/span&gt;gni&lt;span class="_ _7"&gt;&lt;/span&gt;s&lt;span class="_ _7"&gt;&lt;/span&gt;ed o&lt;span class="_ _7"&gt;&lt;/span&gt;n the b&lt;span class="_ _7"&gt;&lt;/span&gt;al&lt;span class="_ _7"&gt;&lt;/span&gt;an&lt;span class="_ _7"&gt;&lt;/span&gt;ce &lt;/span&gt;&lt;span style="display:inherit;clear:left;"&gt;sh&lt;span class="_ _7"&gt;&lt;/span&gt;ee&lt;span class="_ _7"&gt;&lt;/span&gt;t whe&lt;span class="_ _7"&gt;&lt;/span&gt;n Volvo Ca&lt;span class="_ _7"&gt;&lt;/span&gt;r Gr&lt;span class="_ _7"&gt;&lt;/span&gt;oup b&lt;span class="_ _7"&gt;&lt;/span&gt;e&lt;span class="_ _7"&gt;&lt;/span&gt;com&lt;span class="_ _7"&gt;&lt;/span&gt;e&lt;span class="_ _7"&gt;&lt;/span&gt;s invo&lt;span class="_ _7"&gt;&lt;/span&gt;lve&lt;span class="_ _7"&gt;&lt;/span&gt;d ac&lt;span class="_ _7"&gt;&lt;/span&gt;cor&lt;span class="_ _7"&gt;&lt;/span&gt;di&lt;span class="_ _7"&gt;&lt;/span&gt;ng to th&lt;span class="_ _7"&gt;&lt;/span&gt;e &lt;/span&gt;&lt;span style="display:inherit;clear:left;"&gt;contractual pro&lt;span class="_ _2"&gt;&lt;/span&gt;vis&lt;span class="_ _7"&gt;&lt;/span&gt;ions of t&lt;span class="_ _2"&gt;&lt;/span&gt;he instrument.&lt;/span&gt;&lt;span style="display:inherit;clear:left;"&gt;Pay&lt;span class="_ _2"&gt;&lt;/span&gt;ables under supplier&lt;span class="_ _2"&gt;&lt;/span&gt; financing program&lt;span class="_ _2"&gt;&lt;/span&gt;mes&lt;/span&gt;&lt;span style="display:inherit;clear:left;"&gt;Liabilities arisin&lt;span class="_ _2"&gt;&lt;/span&gt;g under supplier financi&lt;span class="_ _2"&gt;&lt;/span&gt;ng programmes are classi&lt;span class="ls3 ws3"&gt;-&lt;/span&gt;&lt;/span&gt;&lt;span style="display:inherit;clear:left;"&gt;fi&lt;span class="_ _7"&gt;&lt;/span&gt;ed b&lt;span class="_ _7"&gt;&lt;/span&gt;as&lt;span class="_ _7"&gt;&lt;/span&gt;e&lt;span class="_ _7"&gt;&lt;/span&gt;d on th&lt;span class="_ _7"&gt;&lt;/span&gt;ei&lt;span class="_ _7"&gt;&lt;/span&gt;r con&lt;span class="_ _7"&gt;&lt;/span&gt;tr&lt;span class="_ _7"&gt;&lt;/span&gt;ac&lt;span class="_ _7"&gt;&lt;/span&gt;tua&lt;span class="_ _7"&gt;&lt;/span&gt;l su&lt;span class="_ _7"&gt;&lt;/span&gt;bs&lt;span class="_ _7"&gt;&lt;/span&gt;t&lt;span class="_ _7"&gt;&lt;/span&gt;anc&lt;span class="_ _7"&gt;&lt;/span&gt;e at i&lt;span class="_ _7"&gt;&lt;/span&gt;nit&lt;span class="_ _7"&gt;&lt;/span&gt;ial r&lt;span class="_ _7"&gt;&lt;/span&gt;ec&lt;span class="_ _7"&gt;&lt;/span&gt;og&lt;span class="_ _7"&gt;&lt;/span&gt;ni&lt;span class="_ _7"&gt;&lt;/span&gt;tio&lt;span class="_ _7"&gt;&lt;/span&gt;n.  &lt;/span&gt;&lt;span style="display:inherit;clear:left;"&gt;Ce&lt;span class="_ _7"&gt;&lt;/span&gt;r&lt;span class="_ _7"&gt;&lt;/span&gt;ta&lt;span class="_ _7"&gt;&lt;/span&gt;in b&lt;span class="_ _7"&gt;&lt;/span&gt;al&lt;span class="_ _7"&gt;&lt;/span&gt;anc&lt;span class="_ _7"&gt;&lt;/span&gt;e&lt;span class="_ _7"&gt;&lt;/span&gt;s are r&lt;span class="_ _7"&gt;&lt;/span&gt;ec&lt;span class="_ _7"&gt;&lt;/span&gt;og&lt;span class="_ _7"&gt;&lt;/span&gt;ni&lt;span class="_ _7"&gt;&lt;/span&gt;se&lt;span class="_ _7"&gt;&lt;/span&gt;d an&lt;span class="_ _7"&gt;&lt;/span&gt;d pr&lt;span class="_ _7"&gt;&lt;/span&gt;es&lt;span class="_ _7"&gt;&lt;/span&gt;en&lt;span class="_ _7"&gt;&lt;/span&gt;ted a&lt;span class="_ _7"&gt;&lt;/span&gt;s Acc&lt;span class="_ _7"&gt;&lt;/span&gt;ou&lt;span class="_ _7"&gt;&lt;/span&gt;nt&lt;span class="_ _7"&gt;&lt;/span&gt;s pay&lt;span class="_ _7"&gt;&lt;/span&gt;a-&lt;/span&gt;&lt;span style="display:inherit;clear:left;"&gt;ble&lt;span class="_ _7"&gt;&lt;/span&gt;, wh&lt;span class="_ _7"&gt;&lt;/span&gt;ile ot&lt;span class="_ _7"&gt;&lt;/span&gt;he&lt;span class="_ _7"&gt;&lt;/span&gt;r ba&lt;span class="_ _7"&gt;&lt;/span&gt;la&lt;span class="_ _7"&gt;&lt;/span&gt;nc&lt;span class="_ _7"&gt;&lt;/span&gt;es a&lt;span class="_ _7"&gt;&lt;/span&gt;re in&lt;span class="_ _7"&gt;&lt;/span&gt;iti&lt;span class="_ _7"&gt;&lt;/span&gt;al&lt;span class="_ _7"&gt;&lt;/span&gt;ly re&lt;span class="_ _7"&gt;&lt;/span&gt;cog&lt;span class="_ _7"&gt;&lt;/span&gt;ni&lt;span class="_ _7"&gt;&lt;/span&gt;s&lt;span class="_ _7"&gt;&lt;/span&gt;ed an&lt;span class="_ _7"&gt;&lt;/span&gt;d pr&lt;span class="_ _7"&gt;&lt;/span&gt;e&lt;span class="_ _7"&gt;&lt;/span&gt;se&lt;span class="_ _7"&gt;&lt;/span&gt;nte&lt;span class="_ _7"&gt;&lt;/span&gt;d as &lt;/span&gt;&lt;span style="display:inherit;clear:left;"&gt;Ot&lt;span class="_ _7"&gt;&lt;/span&gt;he&lt;span class="_ _7"&gt;&lt;/span&gt;r cur&lt;span class="_ _7"&gt;&lt;/span&gt;re&lt;span class="_ _7"&gt;&lt;/span&gt;nt li&lt;span class="_ _7"&gt;&lt;/span&gt;abi&lt;span class="_ _7"&gt;&lt;/span&gt;lit&lt;span class="_ _7"&gt;&lt;/span&gt;ie&lt;span class="_ _7"&gt;&lt;/span&gt;s&lt;span class="_ _7"&gt;&lt;/span&gt;. Th&lt;span class="_ _7"&gt;&lt;/span&gt;e pro&lt;span class="_ _7"&gt;&lt;/span&gt;gr&lt;span class="_ _7"&gt;&lt;/span&gt;am&lt;span class="_ _7"&gt;&lt;/span&gt;me&lt;span class="_ _7"&gt;&lt;/span&gt;s do n&lt;span class="_ _7"&gt;&lt;/span&gt;ot re&lt;span class="_ _7"&gt;&lt;/span&gt;s&lt;span class="_ _7"&gt;&lt;/span&gt;ult in d&lt;span class="_ _7"&gt;&lt;/span&gt;er&lt;span class="_ _7"&gt;&lt;/span&gt;ec&lt;span class="_ _7"&gt;&lt;/span&gt;og-&lt;/span&gt;&lt;span style="display:inherit;clear:left;"&gt;nition of the liabili&lt;span class="_ _7"&gt;&lt;/span&gt;ties&lt;span class="_ _7"&gt;&lt;/span&gt;.&lt;/span&gt;&lt;span style="display:inherit;clear:left;"&gt;Payables u&lt;span class="_ _7"&gt;&lt;/span&gt;nde&lt;span class="_ _7"&gt;&lt;/span&gt;r sup&lt;span class="_ _7"&gt;&lt;/span&gt;plie&lt;span class="_ _7"&gt;&lt;/span&gt;r fin&lt;span class="_ _7"&gt;&lt;/span&gt;anci&lt;span class="_ _7"&gt;&lt;/span&gt;ng  &lt;span class="_ _0"&gt;&lt;/span&gt;prog&lt;span class="_ _7"&gt;&lt;/span&gt;ram&lt;span class="_ _7"&gt;&lt;/span&gt;me&lt;span class="_ _7"&gt;&lt;/span&gt;s&lt;/span&gt;&lt;span style="display:inherit;clear:left;"&gt;Supplier in&lt;span class="_ _2"&gt;&lt;/span&gt;voices may be&lt;span class="_ _2"&gt;&lt;/span&gt; subject to supplier&lt;span class="_ _2"&gt;&lt;/span&gt; financing programmes &lt;/span&gt;&lt;span style="display:inherit;clear:left;"&gt;und&lt;span class="_ _7"&gt;&lt;/span&gt;er w&lt;span class="_ _7"&gt;&lt;/span&gt;hi&lt;span class="_ _7"&gt;&lt;/span&gt;ch a f&lt;span class="_ _7"&gt;&lt;/span&gt;ina&lt;span class="_ _7"&gt;&lt;/span&gt;nc&lt;span class="_ _7"&gt;&lt;/span&gt;ial i&lt;span class="_ _7"&gt;&lt;/span&gt;ns&lt;span class="_ _7"&gt;&lt;/span&gt;ti&lt;span class="_ _7"&gt;&lt;/span&gt;tut&lt;span class="_ _7"&gt;&lt;/span&gt;io&lt;span class="_ _7"&gt;&lt;/span&gt;n pay&lt;span class="_ _7"&gt;&lt;/span&gt;s pa&lt;span class="_ _7"&gt;&lt;/span&gt;r&lt;span class="_ _7"&gt;&lt;/span&gt;ti&lt;span class="_ _7"&gt;&lt;/span&gt;cip&lt;span class="_ _7"&gt;&lt;/span&gt;ati&lt;span class="_ _7"&gt;&lt;/span&gt;ng su&lt;span class="_ _7"&gt;&lt;/span&gt;pp&lt;span class="_ _7"&gt;&lt;/span&gt;lie&lt;span class="_ _7"&gt;&lt;/span&gt;r&lt;span class="_ _7"&gt;&lt;/span&gt;s ea&lt;span class="_ _7"&gt;&lt;/span&gt;rly, &lt;/span&gt;&lt;span style="display:inherit;clear:left;"&gt;and Volvo C&lt;span class="_ _7"&gt;&lt;/span&gt;ar G&lt;span class="_ _7"&gt;&lt;/span&gt;ro&lt;span class="_ _7"&gt;&lt;/span&gt;up s&lt;span class="_ _7"&gt;&lt;/span&gt;et&lt;span class="_ _7"&gt;&lt;/span&gt;tl&lt;span class="_ _7"&gt;&lt;/span&gt;es th&lt;span class="_ _7"&gt;&lt;/span&gt;e or&lt;span class="_ _7"&gt;&lt;/span&gt;ig&lt;span class="_ _7"&gt;&lt;/span&gt;in&lt;span class="_ _7"&gt;&lt;/span&gt;al inv&lt;span class="_ _7"&gt;&lt;/span&gt;oic&lt;span class="_ _7"&gt;&lt;/span&gt;e am&lt;span class="_ _7"&gt;&lt;/span&gt;ou&lt;span class="_ _7"&gt;&lt;/span&gt;nt wi&lt;span class="_ _7"&gt;&lt;/span&gt;th th&lt;span class="_ _7"&gt;&lt;/span&gt;e &lt;/span&gt;&lt;span style="display:inherit;clear:left;"&gt;institution in&lt;span class="_ _2"&gt;&lt;/span&gt; accordance with a&lt;span class="_ _2"&gt;&lt;/span&gt;gree&lt;span class="_ _7"&gt;&lt;/span&gt;d payment&lt;span class="_ _2"&gt;&lt;/span&gt; terms. Payables aris&lt;span class="_ _2"&gt;&lt;/span&gt;&lt;span class="ls3 ws3"&gt;-&lt;/span&gt;&lt;/span&gt;&lt;span style="display:inherit;clear:left;"&gt;ing f&lt;span class="_ _7"&gt;&lt;/span&gt;ro&lt;span class="_ _7"&gt;&lt;/span&gt;m op&lt;span class="_ _7"&gt;&lt;/span&gt;er&lt;span class="_ _7"&gt;&lt;/span&gt;ati&lt;span class="_ _7"&gt;&lt;/span&gt;ng pu&lt;span class="_ _7"&gt;&lt;/span&gt;rc&lt;span class="_ _7"&gt;&lt;/span&gt;ha&lt;span class="_ _7"&gt;&lt;/span&gt;sin&lt;span class="_ _7"&gt;&lt;/span&gt;g ac&lt;span class="_ _7"&gt;&lt;/span&gt;tiv&lt;span class="_ _7"&gt;&lt;/span&gt;it&lt;span class="_ _7"&gt;&lt;/span&gt;ie&lt;span class="_ _7"&gt;&lt;/span&gt;s are p&lt;span class="_ _7"&gt;&lt;/span&gt;re&lt;span class="_ _7"&gt;&lt;/span&gt;s&lt;span class="_ _7"&gt;&lt;/span&gt;ent&lt;span class="_ _7"&gt;&lt;/span&gt;ed a&lt;span class="_ _7"&gt;&lt;/span&gt;s acc&lt;span class="_ _7"&gt;&lt;/span&gt;ou&lt;span class="_ _7"&gt;&lt;/span&gt;nt&lt;span class="_ _7"&gt;&lt;/span&gt;s &lt;/span&gt;&lt;span style="display:inherit;clear:left;"&gt;pay&lt;span class="_ _7"&gt;&lt;/span&gt;ab&lt;span class="_ _7"&gt;&lt;/span&gt;le unt&lt;span class="_ _7"&gt;&lt;/span&gt;il s&lt;span class="_ _7"&gt;&lt;/span&gt;et&lt;span class="_ _7"&gt;&lt;/span&gt;tl&lt;span class="_ _7"&gt;&lt;/span&gt;eme&lt;span class="_ _7"&gt;&lt;/span&gt;nt&lt;span class="_ _7"&gt;&lt;/span&gt;, wi&lt;span class="_ _7"&gt;&lt;/span&gt;th re&lt;span class="_ _7"&gt;&lt;/span&gt;la&lt;span class="_ _7"&gt;&lt;/span&gt;ted c&lt;span class="_ _7"&gt;&lt;/span&gt;a&lt;span class="_ _7"&gt;&lt;/span&gt;sh f&lt;span class="_ _7"&gt;&lt;/span&gt;low&lt;span class="_ _7"&gt;&lt;/span&gt;s re&lt;span class="_ _7"&gt;&lt;/span&gt;po&lt;span class="_ _7"&gt;&lt;/span&gt;r&lt;span class="_ _7"&gt;&lt;/span&gt;ted w&lt;span class="_ _7"&gt;&lt;/span&gt;ith&lt;span class="_ _7"&gt;&lt;/span&gt;in &lt;/span&gt;&lt;span style="display:inherit;clear:left;"&gt;op&lt;span class="_ _7"&gt;&lt;/span&gt;er&lt;span class="_ _7"&gt;&lt;/span&gt;ati&lt;span class="_ _7"&gt;&lt;/span&gt;ng c&lt;span class="_ _7"&gt;&lt;/span&gt;as&lt;span class="_ _7"&gt;&lt;/span&gt;h flo&lt;span class="_ _7"&gt;&lt;/span&gt;ws&lt;span class="_ _7"&gt;&lt;/span&gt;. &lt;/span&gt;&lt;span style="display:inherit;clear:left;"&gt;A sim&lt;span class="_ _7"&gt;&lt;/span&gt;il&lt;span class="_ _7"&gt;&lt;/span&gt;ar p&lt;span class="_ _7"&gt;&lt;/span&gt;rog&lt;span class="_ _7"&gt;&lt;/span&gt;r&lt;span class="_ _7"&gt;&lt;/span&gt;amm&lt;span class="_ _7"&gt;&lt;/span&gt;e is a&lt;span class="_ _7"&gt;&lt;/span&gt;ls&lt;span class="_ _7"&gt;&lt;/span&gt;o u&lt;span class="_ _7"&gt;&lt;/span&gt;se&lt;span class="_ _7"&gt;&lt;/span&gt;d fo&lt;span class="_ _7"&gt;&lt;/span&gt;r ce&lt;span class="_ _7"&gt;&lt;/span&gt;r&lt;span class="_ _7"&gt;&lt;/span&gt;ta&lt;span class="_ _7"&gt;&lt;/span&gt;in su&lt;span class="_ _7"&gt;&lt;/span&gt;pp&lt;span class="_ _7"&gt;&lt;/span&gt;li&lt;span class="_ _7"&gt;&lt;/span&gt;er&lt;span class="_ _7"&gt;&lt;/span&gt;s re&lt;span class="_ _7"&gt;&lt;/span&gt;la&lt;span class="_ _7"&gt;&lt;/span&gt;ted t&lt;span class="_ _7"&gt;&lt;/span&gt;o &lt;/span&gt;&lt;span style="display:inherit;clear:left;"&gt;investing ac&lt;span class="_ _7"&gt;&lt;/span&gt;tivitie&lt;span class="_ _7"&gt;&lt;/span&gt;s. Un&lt;span class="_ _7"&gt;&lt;/span&gt;der this progr&lt;span class="_ _7"&gt;&lt;/span&gt;amme, the fi&lt;span class="_ _7"&gt;&lt;/span&gt;nancial in&lt;span class="_ _7"&gt;&lt;/span&gt;stituti&lt;span class="_ _7"&gt;&lt;/span&gt;on &lt;/span&gt;&lt;span style="display:inherit;clear:left;"&gt;pay&lt;span class="_ _7"&gt;&lt;/span&gt;s su&lt;span class="_ _7"&gt;&lt;/span&gt;pp&lt;span class="_ _7"&gt;&lt;/span&gt;lie&lt;span class="_ _7"&gt;&lt;/span&gt;r&lt;span class="_ _7"&gt;&lt;/span&gt;s ear&lt;span class="_ _7"&gt;&lt;/span&gt;ly an&lt;span class="_ _7"&gt;&lt;/span&gt;d&lt;span class="_ _7"&gt;&lt;/span&gt;, in th&lt;span class="_ _7"&gt;&lt;/span&gt;is s&lt;span class="_ _7"&gt;&lt;/span&gt;pe&lt;span class="_ _7"&gt;&lt;/span&gt;ci&lt;span class="_ _7"&gt;&lt;/span&gt;fi&lt;span class="_ _7"&gt;&lt;/span&gt;c se&lt;span class="_ _7"&gt;&lt;/span&gt;tup&lt;span class="_ _7"&gt;&lt;/span&gt;, su&lt;span class="_ _7"&gt;&lt;/span&gt;pp&lt;span class="_ _7"&gt;&lt;/span&gt;lie&lt;span class="_ _7"&gt;&lt;/span&gt;r&lt;span class="_ _7"&gt;&lt;/span&gt;s are a&lt;span class="_ _7"&gt;&lt;/span&gt;ls&lt;span class="_ _7"&gt;&lt;/span&gt;o &lt;/span&gt;&lt;span style="display:inherit;clear:left;"&gt;abl&lt;span class="_ _7"&gt;&lt;/span&gt;e to is&lt;span class="_ _7"&gt;&lt;/span&gt;s&lt;span class="_ _7"&gt;&lt;/span&gt;ue i&lt;span class="_ _7"&gt;&lt;/span&gt;nvoi&lt;span class="_ _7"&gt;&lt;/span&gt;ce&lt;span class="_ _7"&gt;&lt;/span&gt;s at a&lt;span class="_ _7"&gt;&lt;/span&gt;n ea&lt;span class="_ _7"&gt;&lt;/span&gt;rli&lt;span class="_ _7"&gt;&lt;/span&gt;er s&lt;span class="_ _7"&gt;&lt;/span&gt;t&lt;span class="_ _7"&gt;&lt;/span&gt;age th&lt;span class="_ _7"&gt;&lt;/span&gt;an u&lt;span class="_ _7"&gt;&lt;/span&gt;nd&lt;span class="_ _7"&gt;&lt;/span&gt;er s&lt;span class="_ _7"&gt;&lt;/span&gt;ta&lt;span class="_ _7"&gt;&lt;/span&gt;nd&lt;span class="_ _7"&gt;&lt;/span&gt;ard c&lt;span class="_ _7"&gt;&lt;/span&gt;om-&lt;/span&gt;&lt;span style="display:inherit;clear:left;"&gt;mercial practice,&lt;span class="_ _2"&gt;&lt;/span&gt; thereby accelerati&lt;span class="_ _2"&gt;&lt;/span&gt;ng both in&lt;span class="_ _2"&gt;&lt;/span&gt;voice issuance and &lt;/span&gt;&lt;span style="display:inherit;clear:left;"&gt;pay&lt;span class="_ _7"&gt;&lt;/span&gt;me&lt;span class="_ _7"&gt;&lt;/span&gt;nt&lt;span class="_ _7"&gt;&lt;/span&gt;. Li&lt;span class="_ _7"&gt;&lt;/span&gt;abi&lt;span class="_ _7"&gt;&lt;/span&gt;lit&lt;span class="_ _7"&gt;&lt;/span&gt;ie&lt;span class="_ _7"&gt;&lt;/span&gt;s ar&lt;span class="_ _7"&gt;&lt;/span&gt;is&lt;span class="_ _7"&gt;&lt;/span&gt;ing f&lt;span class="_ _7"&gt;&lt;/span&gt;ro&lt;span class="_ _7"&gt;&lt;/span&gt;m thi&lt;span class="_ _7"&gt;&lt;/span&gt;s pr&lt;span class="_ _7"&gt;&lt;/span&gt;og&lt;span class="_ _7"&gt;&lt;/span&gt;ra&lt;span class="_ _7"&gt;&lt;/span&gt;mm&lt;span class="_ _7"&gt;&lt;/span&gt;e are p&lt;span class="_ _7"&gt;&lt;/span&gt;re&lt;span class="_ _7"&gt;&lt;/span&gt;s&lt;span class="_ _7"&gt;&lt;/span&gt;ente&lt;span class="_ _7"&gt;&lt;/span&gt;d as &lt;/span&gt;&lt;span style="display:inherit;clear:left;"&gt;oth&lt;span class="_ _7"&gt;&lt;/span&gt;er cu&lt;span class="_ _7"&gt;&lt;/span&gt;rr&lt;span class="_ _7"&gt;&lt;/span&gt;ent l&lt;span class="_ _7"&gt;&lt;/span&gt;iab&lt;span class="_ _7"&gt;&lt;/span&gt;il&lt;span class="_ _7"&gt;&lt;/span&gt;iti&lt;span class="_ _7"&gt;&lt;/span&gt;es u&lt;span class="_ _7"&gt;&lt;/span&gt;nti&lt;span class="_ _7"&gt;&lt;/span&gt;l se&lt;span class="_ _7"&gt;&lt;/span&gt;t&lt;span class="_ _7"&gt;&lt;/span&gt;tle&lt;span class="_ _7"&gt;&lt;/span&gt;me&lt;span class="_ _7"&gt;&lt;/span&gt;nt, w&lt;span class="_ _7"&gt;&lt;/span&gt;it&lt;span class="_ _7"&gt;&lt;/span&gt;h rel&lt;span class="_ _7"&gt;&lt;/span&gt;at&lt;span class="_ _7"&gt;&lt;/span&gt;ed c&lt;span class="_ _7"&gt;&lt;/span&gt;as&lt;span class="_ _7"&gt;&lt;/span&gt;h fl&lt;span class="_ _7"&gt;&lt;/span&gt;ows &lt;/span&gt;&lt;span style="display:inherit;clear:left;"&gt;rep&lt;span class="_ _7"&gt;&lt;/span&gt;or&lt;span class="_ _9"&gt;&lt;/span&gt;ted wi&lt;span class="_ _7"&gt;&lt;/span&gt;thi&lt;span class="_ _7"&gt;&lt;/span&gt;n inv&lt;span class="_ _7"&gt;&lt;/span&gt;es&lt;span class="_ _7"&gt;&lt;/span&gt;ti&lt;span class="_ _7"&gt;&lt;/span&gt;ng ca&lt;span class="_ _7"&gt;&lt;/span&gt;sh f&lt;span class="_ _7"&gt;&lt;/span&gt;lo&lt;span class="_ _7"&gt;&lt;/span&gt;ws&lt;span class="_ _7"&gt;&lt;/span&gt;, re&lt;span class="_ _7"&gt;&lt;/span&gt;fl&lt;span class="_ _7"&gt;&lt;/span&gt;ec&lt;span class="_ _7"&gt;&lt;/span&gt;tin&lt;span class="_ _7"&gt;&lt;/span&gt;g the n&lt;span class="_ _7"&gt;&lt;/span&gt;atu&lt;span class="_ _7"&gt;&lt;/span&gt;re o&lt;span class="_ _7"&gt;&lt;/span&gt;f the &lt;/span&gt;&lt;span style="display:inherit;clear:left;"&gt;under&lt;span class="_ _7"&gt;&lt;/span&gt;lying activ&lt;span class="_ _7"&gt;&lt;/span&gt;ities&lt;span class="_ _7"&gt;&lt;/span&gt;.&lt;/span&gt;&lt;span style="display:inherit;clear:left;"&gt;While t&lt;span class="_ _2"&gt;&lt;/span&gt;hes&lt;span class="_ _7"&gt;&lt;/span&gt;e programmes provide&lt;span class="_ _2"&gt;&lt;/span&gt; suppliers with earlier&lt;span class="_ _2"&gt;&lt;/span&gt; acce&lt;span class="_ _7"&gt;&lt;/span&gt;ss to &lt;/span&gt;&lt;span style="display:inherit;clear:left;"&gt;liq&lt;span class="_ _7"&gt;&lt;/span&gt;ui&lt;span class="_ _7"&gt;&lt;/span&gt;dit&lt;span class="_ _7"&gt;&lt;/span&gt;y (an&lt;span class="_ _7"&gt;&lt;/span&gt;d, i&lt;span class="_ _7"&gt;&lt;/span&gt;n the i&lt;span class="_ _7"&gt;&lt;/span&gt;nve&lt;span class="_ _7"&gt;&lt;/span&gt;s&lt;span class="_ _7"&gt;&lt;/span&gt;ting r&lt;span class="_ _7"&gt;&lt;/span&gt;el&lt;span class="_ _7"&gt;&lt;/span&gt;ate&lt;span class="_ _7"&gt;&lt;/span&gt;d s&lt;span class="_ _7"&gt;&lt;/span&gt;etu&lt;span class="_ _7"&gt;&lt;/span&gt;p, e&lt;span class="_ _7"&gt;&lt;/span&gt;arl&lt;span class="_ _7"&gt;&lt;/span&gt;ie&lt;span class="_ _7"&gt;&lt;/span&gt;r invo&lt;span class="_ _7"&gt;&lt;/span&gt;ic&lt;span class="_ _7"&gt;&lt;/span&gt;e is&lt;span class="_ _7"&gt;&lt;/span&gt;s&lt;span class="_ _7"&gt;&lt;/span&gt;ua&lt;span class="_ _7"&gt;&lt;/span&gt;nce), &lt;/span&gt;&lt;span style="display:inherit;clear:left;"&gt;the t&lt;span class="_ _7"&gt;&lt;/span&gt;imi&lt;span class="_ _7"&gt;&lt;/span&gt;ng of Volvo C&lt;span class="_ _7"&gt;&lt;/span&gt;ar G&lt;span class="_ _7"&gt;&lt;/span&gt;ro&lt;span class="_ _7"&gt;&lt;/span&gt;up’s own c&lt;span class="_ _7"&gt;&lt;/span&gt;as&lt;span class="_ _7"&gt;&lt;/span&gt;h ou&lt;span class="_ _7"&gt;&lt;/span&gt;t&lt;span class="_ _7"&gt;&lt;/span&gt;f&lt;span class="_ _7"&gt;&lt;/span&gt;low&lt;span class="_ _7"&gt;&lt;/span&gt;s rem&lt;span class="_ _7"&gt;&lt;/span&gt;ai&lt;span class="_ _7"&gt;&lt;/span&gt;ns b&lt;span class="_ _7"&gt;&lt;/span&gt;ro&lt;span class="_ _7"&gt;&lt;/span&gt;adl&lt;span class="_ _7"&gt;&lt;/span&gt;y &lt;/span&gt;&lt;span style="display:inherit;clear:left;"&gt;unchanged compared&lt;span class="_ _2"&gt;&lt;/span&gt; with previous commerc&lt;span class="_ _2"&gt;&lt;/span&gt;ial practice. &lt;/span&gt;&lt;span style="display:inherit;clear:left;"&gt;Pay&lt;span class="_ _7"&gt;&lt;/span&gt;me&lt;span class="_ _7"&gt;&lt;/span&gt;nt du&lt;span class="_ _7"&gt;&lt;/span&gt;e da&lt;span class="_ _7"&gt;&lt;/span&gt;tes f&lt;span class="_ _7"&gt;&lt;/span&gt;or th&lt;span class="_ _7"&gt;&lt;/span&gt;e op&lt;span class="_ _7"&gt;&lt;/span&gt;er&lt;span class="_ _7"&gt;&lt;/span&gt;ati&lt;span class="_ _7"&gt;&lt;/span&gt;ng re&lt;span class="_ _7"&gt;&lt;/span&gt;l&lt;span class="_ _7"&gt;&lt;/span&gt;ate&lt;span class="_ _7"&gt;&lt;/span&gt;d pr&lt;span class="_ _7"&gt;&lt;/span&gt;ogr&lt;span class="_ _7"&gt;&lt;/span&gt;am&lt;span class="_ _7"&gt;&lt;/span&gt;me p&lt;span class="_ _7"&gt;&lt;/span&gt;re&lt;span class="_ _7"&gt;&lt;/span&gt;s&lt;span class="_ _7"&gt;&lt;/span&gt;ente&lt;span class="_ _7"&gt;&lt;/span&gt;d &lt;/span&gt;&lt;span style="display:inherit;clear:left;"&gt;as ac&lt;span class="_ _7"&gt;&lt;/span&gt;co&lt;span class="_ _7"&gt;&lt;/span&gt;unt&lt;span class="_ _7"&gt;&lt;/span&gt;s p&lt;span class="_ _7"&gt;&lt;/span&gt;aya&lt;span class="_ _7"&gt;&lt;/span&gt;ble w&lt;span class="_ _7"&gt;&lt;/span&gt;ere 6&lt;span class="_ _7"&gt;&lt;/span&gt;0&lt;span class="_ _7"&gt;&lt;/span&gt;–&lt;span class="_ _2"&gt;&lt;/span&gt;75 (60&lt;span class="_ _7"&gt;&lt;/span&gt;–&lt;span class="_ _2"&gt;&lt;/span&gt;75) day&lt;span class="_ _7"&gt;&lt;/span&gt;s af&lt;span class="_ _7"&gt;&lt;/span&gt;t&lt;span class="_ _7"&gt;&lt;/span&gt;er inv&lt;span class="_ _7"&gt;&lt;/span&gt;oi&lt;span class="_ _7"&gt;&lt;/span&gt;ce da&lt;span class="_ _7"&gt;&lt;/span&gt;te. &lt;/span&gt;&lt;span style="display:inherit;clear:left;"&gt;For th&lt;span class="_ _7"&gt;&lt;/span&gt;e inv&lt;span class="_ _7"&gt;&lt;/span&gt;es&lt;span class="_ _7"&gt;&lt;/span&gt;ti&lt;span class="_ _7"&gt;&lt;/span&gt;ng re&lt;span class="_ _7"&gt;&lt;/span&gt;la&lt;span class="_ _7"&gt;&lt;/span&gt;ted p&lt;span class="_ _7"&gt;&lt;/span&gt;ro&lt;span class="_ _7"&gt;&lt;/span&gt;gr&lt;span class="_ _7"&gt;&lt;/span&gt;am&lt;span class="_ _7"&gt;&lt;/span&gt;me pr&lt;span class="_ _7"&gt;&lt;/span&gt;e&lt;span class="_ _7"&gt;&lt;/span&gt;se&lt;span class="_ _7"&gt;&lt;/span&gt;nte&lt;span class="_ _7"&gt;&lt;/span&gt;d as ot&lt;span class="_ _7"&gt;&lt;/span&gt;he&lt;span class="_ _7"&gt;&lt;/span&gt;r cur&lt;span class="_ _7"&gt;&lt;/span&gt;re&lt;span class="_ _7"&gt;&lt;/span&gt;nt li&lt;span class="_ _7"&gt;&lt;/span&gt;a-&lt;/span&gt;&lt;span style="display:inherit;clear:left;"&gt;bil&lt;span class="_ _7"&gt;&lt;/span&gt;iti&lt;span class="_ _7"&gt;&lt;/span&gt;e&lt;span class="_ _7"&gt;&lt;/span&gt;s, p&lt;span class="_ _7"&gt;&lt;/span&gt;ay&lt;span class="_ _7"&gt;&lt;/span&gt;me&lt;span class="_ _7"&gt;&lt;/span&gt;nt du&lt;span class="_ _7"&gt;&lt;/span&gt;e dat&lt;span class="_ _7"&gt;&lt;/span&gt;es f&lt;span class="_ _7"&gt;&lt;/span&gt;or am&lt;span class="_ _7"&gt;&lt;/span&gt;ou&lt;span class="_ _7"&gt;&lt;/span&gt;nt&lt;span class="_ _7"&gt;&lt;/span&gt;s in&lt;span class="_ _7"&gt;&lt;/span&gt;clud&lt;span class="_ _7"&gt;&lt;/span&gt;ed i&lt;span class="_ _7"&gt;&lt;/span&gt;n th&lt;span class="_ _7"&gt;&lt;/span&gt;e pro&lt;span class="_ _7"&gt;&lt;/span&gt;gr&lt;span class="_ _7"&gt;&lt;/span&gt;am&lt;span class="_ _7"&gt;&lt;/span&gt;me &lt;/span&gt;&lt;span style="display:inherit;clear:left;"&gt;wer&lt;span class="_ _7"&gt;&lt;/span&gt;e 180&lt;span class="_ _7"&gt;&lt;/span&gt;–36&lt;span class="_ _7"&gt;&lt;/span&gt;0 day&lt;span class="_ _7"&gt;&lt;/span&gt;s af&lt;span class="_ _7"&gt;&lt;/span&gt;t&lt;span class="_ _7"&gt;&lt;/span&gt;er in&lt;span class="_ _7"&gt;&lt;/span&gt;voi&lt;span class="_ _7"&gt;&lt;/span&gt;ce d&lt;span class="_ _7"&gt;&lt;/span&gt;ate. Fo&lt;span class="_ _7"&gt;&lt;/span&gt;r bo&lt;span class="_ _7"&gt;&lt;/span&gt;th pr&lt;span class="_ _7"&gt;&lt;/span&gt;og&lt;span class="_ _7"&gt;&lt;/span&gt;ra&lt;span class="_ _7"&gt;&lt;/span&gt;mm&lt;span class="_ _7"&gt;&lt;/span&gt;es&lt;span class="_ _7"&gt;&lt;/span&gt;,  &lt;/span&gt;&lt;span style="display:inherit;clear:left;"&gt;com&lt;span class="_ _7"&gt;&lt;/span&gt;pa&lt;span class="_ _7"&gt;&lt;/span&gt;ra&lt;span class="_ _7"&gt;&lt;/span&gt;bl&lt;span class="_ _7"&gt;&lt;/span&gt;e pay&lt;span class="_ _7"&gt;&lt;/span&gt;abl&lt;span class="_ _7"&gt;&lt;/span&gt;es o&lt;span class="_ _7"&gt;&lt;/span&gt;ut&lt;span class="_ _7"&gt;&lt;/span&gt;si&lt;span class="_ _7"&gt;&lt;/span&gt;de t&lt;span class="_ _7"&gt;&lt;/span&gt;he pr&lt;span class="_ _7"&gt;&lt;/span&gt;og&lt;span class="_ _7"&gt;&lt;/span&gt;ra&lt;span class="_ _7"&gt;&lt;/span&gt;mm&lt;span class="_ _7"&gt;&lt;/span&gt;es h&lt;span class="_ _7"&gt;&lt;/span&gt;ad p&lt;span class="_ _7"&gt;&lt;/span&gt;ay&lt;span class="_ _7"&gt;&lt;/span&gt;me&lt;span class="_ _7"&gt;&lt;/span&gt;nt du&lt;span class="_ _7"&gt;&lt;/span&gt;e &lt;/span&gt;&lt;span style="display:inherit;clear:left;"&gt;dat&lt;span class="_ _7"&gt;&lt;/span&gt;es o&lt;span class="_ _7"&gt;&lt;/span&gt;f 60&lt;span class="_ _7"&gt;&lt;/span&gt;–&lt;span class="_ _2"&gt;&lt;/span&gt;75 (60&lt;span class="_ _7"&gt;&lt;/span&gt;–&lt;span class="_ _2"&gt;&lt;/span&gt;75) da&lt;span class="_ _7"&gt;&lt;/span&gt;ys a&lt;span class="_ _7"&gt;&lt;/span&gt;f&lt;span class="_ _7"&gt;&lt;/span&gt;ter t&lt;span class="_ _7"&gt;&lt;/span&gt;he in&lt;span class="_ _7"&gt;&lt;/span&gt;voi&lt;span class="_ _7"&gt;&lt;/span&gt;ce d&lt;span class="_ _7"&gt;&lt;/span&gt;ate.&lt;/span&gt;&lt;span style="display:inherit;clear:left;"&gt;All p&lt;span class="_ _7"&gt;&lt;/span&gt;aya&lt;span class="_ _7"&gt;&lt;/span&gt;ble&lt;span class="_ _7"&gt;&lt;/span&gt;s in&lt;span class="_ _7"&gt;&lt;/span&gt;clu&lt;span class="_ _7"&gt;&lt;/span&gt;de&lt;span class="_ _7"&gt;&lt;/span&gt;d in th&lt;span class="_ _7"&gt;&lt;/span&gt;e pr&lt;span class="_ _7"&gt;&lt;/span&gt;og&lt;span class="_ _7"&gt;&lt;/span&gt;ra&lt;span class="_ _7"&gt;&lt;/span&gt;mme&lt;span class="_ _7"&gt;&lt;/span&gt;s&lt;span class="_ _7"&gt;&lt;/span&gt;, in&lt;span class="_ _7"&gt;&lt;/span&gt;clu&lt;span class="_ _7"&gt;&lt;/span&gt;di&lt;span class="_ _7"&gt;&lt;/span&gt;ng in&lt;span class="_ _7"&gt;&lt;/span&gt;for&lt;span class="_ _7"&gt;&lt;/span&gt;ma&lt;span class="_ _7"&gt;&lt;/span&gt;tio&lt;span class="_ _7"&gt;&lt;/span&gt;n &lt;/span&gt;&lt;span style="display:inherit;clear:left;"&gt;on p&lt;span class="_ _7"&gt;&lt;/span&gt;aym&lt;span class="_ _7"&gt;&lt;/span&gt;en&lt;span class="_ _7"&gt;&lt;/span&gt;t st&lt;span class="_ _7"&gt;&lt;/span&gt;atu&lt;span class="_ _7"&gt;&lt;/span&gt;s b&lt;span class="_ _7"&gt;&lt;/span&gt;et&lt;span class="_ _7"&gt;&lt;/span&gt;we&lt;span class="_ _7"&gt;&lt;/span&gt;en th&lt;span class="_ _7"&gt;&lt;/span&gt;e fi&lt;span class="_ _7"&gt;&lt;/span&gt;na&lt;span class="_ _7"&gt;&lt;/span&gt;nci&lt;span class="_ _7"&gt;&lt;/span&gt;al i&lt;span class="_ _7"&gt;&lt;/span&gt;ns&lt;span class="_ _7"&gt;&lt;/span&gt;ti&lt;span class="_ _7"&gt;&lt;/span&gt;tut&lt;span class="_ _7"&gt;&lt;/span&gt;ion a&lt;span class="_ _7"&gt;&lt;/span&gt;nd s&lt;span class="_ _7"&gt;&lt;/span&gt;up&lt;span class="_ _7"&gt;&lt;/span&gt;pli&lt;span class="_ _7"&gt;&lt;/span&gt;er&lt;span class="_ _7"&gt;&lt;/span&gt;s&lt;span class="_ _7"&gt;&lt;/span&gt;, &lt;/span&gt;&lt;span style="display:inherit;clear:left;"&gt;are i&lt;span class="_ _7"&gt;&lt;/span&gt;nc&lt;span class="_ _7"&gt;&lt;/span&gt;lud&lt;span class="_ _7"&gt;&lt;/span&gt;ed i&lt;span class="_ _7"&gt;&lt;/span&gt;n the t&lt;span class="_ _7"&gt;&lt;/span&gt;ab&lt;span class="_ _7"&gt;&lt;/span&gt;le fo&lt;span class="_ _7"&gt;&lt;/span&gt;r fi&lt;span class="_ _7"&gt;&lt;/span&gt;na&lt;span class="_ _7"&gt;&lt;/span&gt;nci&lt;span class="_ _7"&gt;&lt;/span&gt;al i&lt;span class="_ _7"&gt;&lt;/span&gt;ns&lt;span class="_ _7"&gt;&lt;/span&gt;tr&lt;span class="_ _7"&gt;&lt;/span&gt;um&lt;span class="_ _7"&gt;&lt;/span&gt;ent&lt;span class="_ _7"&gt;&lt;/span&gt;s by c&lt;span class="_ _7"&gt;&lt;/span&gt;ate&lt;span class="_ _7"&gt;&lt;/span&gt;gor&lt;span class="_ _9"&gt;&lt;/span&gt;y and &lt;/span&gt;&lt;span style="display:inherit;clear:left;"&gt;measurement l&lt;span class="_ _2"&gt;&lt;/span&gt;evel&lt;/span&gt;&lt;span style="display:inherit;clear:left;"&gt;Factoring&lt;/span&gt;&lt;span style="display:inherit;clear:left;"&gt;Volvo Ca&lt;span class="_ _7"&gt;&lt;/span&gt;rs c&lt;span class="_ _7"&gt;&lt;/span&gt;us&lt;span class="_ _7"&gt;&lt;/span&gt;tom&lt;span class="_ _7"&gt;&lt;/span&gt;er i&lt;span class="_ _7"&gt;&lt;/span&gt;nvoi&lt;span class="_ _7"&gt;&lt;/span&gt;ce&lt;span class="_ _7"&gt;&lt;/span&gt;s m&lt;span class="_ _7"&gt;&lt;/span&gt;ay be s&lt;span class="_ _7"&gt;&lt;/span&gt;ub&lt;span class="_ _7"&gt;&lt;/span&gt;je&lt;span class="_ _7"&gt;&lt;/span&gt;ct to f&lt;span class="_ _7"&gt;&lt;/span&gt;ac&lt;span class="_ _7"&gt;&lt;/span&gt;tor&lt;span class="_ _7"&gt;&lt;/span&gt;ing w&lt;span class="_ _7"&gt;&lt;/span&gt;ith a &lt;/span&gt;&lt;span style="display:inherit;clear:left;"&gt;fi&lt;span class="_ _7"&gt;&lt;/span&gt;nan&lt;span class="_ _7"&gt;&lt;/span&gt;ci&lt;span class="_ _7"&gt;&lt;/span&gt;al in&lt;span class="_ _7"&gt;&lt;/span&gt;s&lt;span class="_ _7"&gt;&lt;/span&gt;tit&lt;span class="_ _7"&gt;&lt;/span&gt;uti&lt;span class="_ _7"&gt;&lt;/span&gt;on&lt;span class="_ _7"&gt;&lt;/span&gt;. Th&lt;span class="_ _7"&gt;&lt;/span&gt;is e&lt;span class="_ _7"&gt;&lt;/span&gt;na&lt;span class="_ _7"&gt;&lt;/span&gt;ble&lt;span class="_ _7"&gt;&lt;/span&gt;s Volvo C&lt;span class="_ _7"&gt;&lt;/span&gt;ar&lt;span class="_ _7"&gt;&lt;/span&gt;s to re&lt;span class="_ _7"&gt;&lt;/span&gt;ce&lt;span class="_ _7"&gt;&lt;/span&gt;ive p&lt;span class="_ _7"&gt;&lt;/span&gt;ay&lt;span class="_ _7"&gt;&lt;/span&gt;me&lt;span class="_ _7"&gt;&lt;/span&gt;nt fo&lt;span class="_ _7"&gt;&lt;/span&gt;r &lt;/span&gt;&lt;span style="display:inherit;clear:left;"&gt;it&lt;span class="_ _7"&gt;&lt;/span&gt;s re&lt;span class="_ _7"&gt;&lt;/span&gt;ce&lt;span class="_ _7"&gt;&lt;/span&gt;iva&lt;span class="_ _7"&gt;&lt;/span&gt;bl&lt;span class="_ _7"&gt;&lt;/span&gt;e wit&lt;span class="_ _7"&gt;&lt;/span&gt;hin a f&lt;span class="_ _7"&gt;&lt;/span&gt;ew da&lt;span class="_ _7"&gt;&lt;/span&gt;ys a&lt;span class="_ _7"&gt;&lt;/span&gt;f&lt;span class="_ _7"&gt;&lt;/span&gt;ter i&lt;span class="_ _7"&gt;&lt;/span&gt;nvoi&lt;span class="_ _7"&gt;&lt;/span&gt;ci&lt;span class="_ _7"&gt;&lt;/span&gt;ng an&lt;span class="_ _7"&gt;&lt;/span&gt;d thu&lt;span class="_ _7"&gt;&lt;/span&gt;s be a&lt;span class="_ _7"&gt;&lt;/span&gt;ble t&lt;span class="_ _7"&gt;&lt;/span&gt;o &lt;/span&gt;&lt;span style="display:inherit;clear:left;"&gt;re&lt;span class="_ _7"&gt;&lt;/span&gt;lea&lt;span class="_ _7"&gt;&lt;/span&gt;se l&lt;span class="_ _7"&gt;&lt;/span&gt;iq&lt;span class="_ _7"&gt;&lt;/span&gt;uid&lt;span class="_ _7"&gt;&lt;/span&gt;it&lt;span class="_ _7"&gt;&lt;/span&gt;y at a&lt;span class="_ _7"&gt;&lt;/span&gt;n ea&lt;span class="_ _7"&gt;&lt;/span&gt;rli&lt;span class="_ _7"&gt;&lt;/span&gt;er s&lt;span class="_ _7"&gt;&lt;/span&gt;t&lt;span class="_ _7"&gt;&lt;/span&gt;age t&lt;span class="_ _7"&gt;&lt;/span&gt;han w&lt;span class="_ _7"&gt;&lt;/span&gt;ou&lt;span class="_ _7"&gt;&lt;/span&gt;ld oth&lt;span class="_ _7"&gt;&lt;/span&gt;er&lt;span class="_ _7"&gt;&lt;/span&gt;w&lt;span class="_ _7"&gt;&lt;/span&gt;is&lt;span class="_ _7"&gt;&lt;/span&gt;e ha&lt;span class="_ _7"&gt;&lt;/span&gt;ve be&lt;span class="_ _7"&gt;&lt;/span&gt;en &lt;/span&gt;&lt;span style="display:inherit;clear:left;"&gt;the c&lt;span class="_ _7"&gt;&lt;/span&gt;as&lt;span class="_ _7"&gt;&lt;/span&gt;e&lt;span class="_ _7"&gt;&lt;/span&gt;. &lt;/span&gt;&lt;span style="display:inherit;clear:left;"&gt;Supplier financing&lt;span class="_ _2"&gt;&lt;/span&gt; programmes&lt;span class="_ _2"&gt;&lt;/span&gt; &lt;/span&gt;&lt;span style="display:inherit;clear:left;"&gt;Volvo Ca&lt;span class="_ _7"&gt;&lt;/span&gt;rs p&lt;span class="_ _7"&gt;&lt;/span&gt;ar&lt;span class="_ _7"&gt;&lt;/span&gt;t&lt;span class="_ _7"&gt;&lt;/span&gt;ici&lt;span class="_ _7"&gt;&lt;/span&gt;pa&lt;span class="_ _7"&gt;&lt;/span&gt;tes i&lt;span class="_ _7"&gt;&lt;/span&gt;n su&lt;span class="_ _7"&gt;&lt;/span&gt;pp&lt;span class="_ _7"&gt;&lt;/span&gt;lie&lt;span class="_ _7"&gt;&lt;/span&gt;r fi&lt;span class="_ _7"&gt;&lt;/span&gt;na&lt;span class="_ _7"&gt;&lt;/span&gt;nci&lt;span class="_ _7"&gt;&lt;/span&gt;ng pr&lt;span class="_ _7"&gt;&lt;/span&gt;og&lt;span class="_ _7"&gt;&lt;/span&gt;ra&lt;span class="_ _7"&gt;&lt;/span&gt;mm&lt;span class="_ _7"&gt;&lt;/span&gt;es&lt;span class="_ _7"&gt;&lt;/span&gt;. T&lt;span class="_ _7"&gt;&lt;/span&gt;he pr&lt;span class="_ _7"&gt;&lt;/span&gt;in-&lt;/span&gt;&lt;span style="display:inherit;clear:left;"&gt;cip&lt;span class="_ _7"&gt;&lt;/span&gt;al p&lt;span class="_ _7"&gt;&lt;/span&gt;ur&lt;span class="_ _7"&gt;&lt;/span&gt;po&lt;span class="_ _7"&gt;&lt;/span&gt;se o&lt;span class="_ _7"&gt;&lt;/span&gt;f th&lt;span class="_ _7"&gt;&lt;/span&gt;e ar&lt;span class="_ _7"&gt;&lt;/span&gt;ra&lt;span class="_ _7"&gt;&lt;/span&gt;nge&lt;span class="_ _7"&gt;&lt;/span&gt;me&lt;span class="_ _7"&gt;&lt;/span&gt;nt&lt;span class="_ _7"&gt;&lt;/span&gt;s is to f&lt;span class="_ _7"&gt;&lt;/span&gt;aci&lt;span class="_ _7"&gt;&lt;/span&gt;lit&lt;span class="_ _7"&gt;&lt;/span&gt;at&lt;span class="_ _7"&gt;&lt;/span&gt;e ef&lt;span class="_ _7"&gt;&lt;/span&gt;f&lt;span class="_ _7"&gt;&lt;/span&gt;i&lt;span class="_ _7"&gt;&lt;/span&gt;cie&lt;span class="_ _7"&gt;&lt;/span&gt;nt p&lt;span class="_ _7"&gt;&lt;/span&gt;aym&lt;span class="_ _7"&gt;&lt;/span&gt;ent &lt;/span&gt;&lt;span style="display:inherit;clear:left;"&gt;process&lt;span class="_ _7"&gt;&lt;/span&gt;ing a&lt;span class="_ _2"&gt;&lt;/span&gt;nd enable the wi&lt;span class="_ _2"&gt;&lt;/span&gt;lling suppliers to&lt;span class="_ _2"&gt;&lt;/span&gt; receive payments &lt;/span&gt;&lt;span style="display:inherit;clear:left;"&gt;fr&lt;span class="_ _7"&gt;&lt;/span&gt;om th&lt;span class="_ _7"&gt;&lt;/span&gt;e fi&lt;span class="_ _7"&gt;&lt;/span&gt;na&lt;span class="_ _7"&gt;&lt;/span&gt;nci&lt;span class="_ _7"&gt;&lt;/span&gt;al i&lt;span class="_ _7"&gt;&lt;/span&gt;ns&lt;span class="_ _7"&gt;&lt;/span&gt;ti&lt;span class="_ _7"&gt;&lt;/span&gt;tut&lt;span class="_ _7"&gt;&lt;/span&gt;ion&lt;span class="_ _7"&gt;&lt;/span&gt;s b&lt;span class="_ _7"&gt;&lt;/span&gt;efo&lt;span class="_ _7"&gt;&lt;/span&gt;re t&lt;span class="_ _7"&gt;&lt;/span&gt;he in&lt;span class="_ _7"&gt;&lt;/span&gt;voi&lt;span class="_ _7"&gt;&lt;/span&gt;ce du&lt;span class="_ _7"&gt;&lt;/span&gt;e da&lt;span class="_ _7"&gt;&lt;/span&gt;te. T&lt;span class="_ _7"&gt;&lt;/span&gt;he &lt;/span&gt;&lt;span style="display:inherit;clear:left;"&gt;arr&lt;span class="_ _7"&gt;&lt;/span&gt;an&lt;span class="_ _7"&gt;&lt;/span&gt;ge&lt;span class="_ _7"&gt;&lt;/span&gt;men&lt;span class="_ _7"&gt;&lt;/span&gt;t do&lt;span class="_ _7"&gt;&lt;/span&gt;es n&lt;span class="_ _7"&gt;&lt;/span&gt;ot ex&lt;span class="_ _7"&gt;&lt;/span&gt;te&lt;span class="_ _7"&gt;&lt;/span&gt;nd t&lt;span class="_ _7"&gt;&lt;/span&gt;he p&lt;span class="_ _7"&gt;&lt;/span&gt;aym&lt;span class="_ _7"&gt;&lt;/span&gt;en&lt;span class="_ _7"&gt;&lt;/span&gt;t ter&lt;span class="_ _7"&gt;&lt;/span&gt;ms o&lt;span class="_ _7"&gt;&lt;/span&gt;r alte&lt;span class="_ _7"&gt;&lt;/span&gt;r the t&lt;span class="_ _7"&gt;&lt;/span&gt;imi&lt;span class="_ _7"&gt;&lt;/span&gt;ng &lt;/span&gt;&lt;span style="display:inherit;clear:left;"&gt;of th&lt;span class="_ _7"&gt;&lt;/span&gt;e Gr&lt;span class="_ _7"&gt;&lt;/span&gt;oup’s c&lt;span class="_ _7"&gt;&lt;/span&gt;as&lt;span class="_ _7"&gt;&lt;/span&gt;h ou&lt;span class="_ _7"&gt;&lt;/span&gt;t&lt;span class="_ _7"&gt;&lt;/span&gt;flo&lt;span class="_ _7"&gt;&lt;/span&gt;ws b&lt;span class="_ _7"&gt;&lt;/span&gt;eyo&lt;span class="_ _7"&gt;&lt;/span&gt;nd th&lt;span class="_ _7"&gt;&lt;/span&gt;e no&lt;span class="_ _7"&gt;&lt;/span&gt;rm&lt;span class="_ _7"&gt;&lt;/span&gt;al te&lt;span class="_ _7"&gt;&lt;/span&gt;rm&lt;span class="_ _7"&gt;&lt;/span&gt;s ag&lt;span class="_ _7"&gt;&lt;/span&gt;re&lt;span class="_ _7"&gt;&lt;/span&gt;ed w&lt;span class="_ _7"&gt;&lt;/span&gt;ith &lt;/span&gt;&lt;span style="display:inherit;clear:left;"&gt;non-parti&lt;span class="_ _7"&gt;&lt;/span&gt;cipating supp&lt;span class="_ _7"&gt;&lt;/span&gt;liers&lt;span class="_ _7"&gt;&lt;/span&gt;. However&lt;span class="_ _2"&gt;&lt;/span&gt;, par&lt;span class="_ _7"&gt;&lt;/span&gt;ticip&lt;span class="_ _7"&gt;&lt;/span&gt;ating suppli&lt;span class="_ _7"&gt;&lt;/span&gt;ers may &lt;/span&gt;&lt;span style="display:inherit;clear:left;"&gt;under the&lt;span class="_ _2"&gt;&lt;/span&gt; programme, issue invoices earlier&lt;span class="_ _2"&gt;&lt;/span&gt; than under standard &lt;/span&gt;&lt;span style="display:inherit;clear:left;"&gt;commercial practice,&lt;span class="_ _2"&gt;&lt;/span&gt; enabling earlier&lt;span class="_ _2"&gt;&lt;/span&gt; set&lt;span class="_ _7"&gt;&lt;/span&gt;tlement b&lt;span class="_ _2"&gt;&lt;/span&gt;y the financial&lt;span class="_ _2"&gt;&lt;/span&gt; &lt;/span&gt;&lt;span style="display:inherit;clear:left;"&gt;insti&lt;span class="_ _7"&gt;&lt;/span&gt;tution.&lt;/span&gt;&lt;span style="display:inherit;clear:left;"&gt;Status at yea&lt;span class="_ _7"&gt;&lt;/span&gt;r end&lt;/span&gt;</t>
  </si>
  <si>
    <t>f1__s8__6__161-1</t>
  </si>
  <si>
    <t>ifrs-full:DescriptionOfAccountingPolicyForDerecognitionOfFinancialInstrumentsExplanatory</t>
  </si>
  <si>
    <t>&lt;span style="display:inherit;clear:left;"&gt;Fin&lt;span class="_ _7"&gt;&lt;/span&gt;an&lt;span class="_ _7"&gt;&lt;/span&gt;cia&lt;span class="_ _7"&gt;&lt;/span&gt;l as&lt;span class="_ _7"&gt;&lt;/span&gt;s&lt;span class="_ _7"&gt;&lt;/span&gt;et&lt;span class="_ _7"&gt;&lt;/span&gt;s ar&lt;span class="_ _7"&gt;&lt;/span&gt;e ini&lt;span class="_ _7"&gt;&lt;/span&gt;ti&lt;span class="_ _7"&gt;&lt;/span&gt;ally r&lt;span class="_ _7"&gt;&lt;/span&gt;ec&lt;span class="_ _7"&gt;&lt;/span&gt;og&lt;span class="_ _7"&gt;&lt;/span&gt;ni&lt;span class="_ _7"&gt;&lt;/span&gt;se&lt;span class="_ _7"&gt;&lt;/span&gt;d at f&lt;span class="_ _7"&gt;&lt;/span&gt;air v&lt;span class="_ _7"&gt;&lt;/span&gt;alu&lt;span class="_ _7"&gt;&lt;/span&gt;e pl&lt;span class="_ _7"&gt;&lt;/span&gt;us tr&lt;span class="_ _7"&gt;&lt;/span&gt;an&lt;span class="_ _7"&gt;&lt;/span&gt;s&lt;span class="_ _7"&gt;&lt;/span&gt;ac-&lt;/span&gt;&lt;span style="display:inherit;clear:left;"&gt;tio&lt;span class="_ _7"&gt;&lt;/span&gt;n co&lt;span class="_ _7"&gt;&lt;/span&gt;s&lt;span class="_ _7"&gt;&lt;/span&gt;ts&lt;span class="_ _7"&gt;&lt;/span&gt;, exce&lt;span class="_ _7"&gt;&lt;/span&gt;pt f&lt;span class="_ _7"&gt;&lt;/span&gt;or f&lt;span class="_ _7"&gt;&lt;/span&gt;in&lt;span class="_ _7"&gt;&lt;/span&gt;anc&lt;span class="_ _7"&gt;&lt;/span&gt;ia&lt;span class="_ _7"&gt;&lt;/span&gt;l as&lt;span class="_ _7"&gt;&lt;/span&gt;s&lt;span class="_ _7"&gt;&lt;/span&gt;et&lt;span class="_ _7"&gt;&lt;/span&gt;s ca&lt;span class="_ _7"&gt;&lt;/span&gt;rr&lt;span class="_ _7"&gt;&lt;/span&gt;ie&lt;span class="_ _7"&gt;&lt;/span&gt;d at f&lt;span class="_ _7"&gt;&lt;/span&gt;air v&lt;span class="_ _7"&gt;&lt;/span&gt;alu&lt;span class="_ _7"&gt;&lt;/span&gt;e thr&lt;span class="_ _7"&gt;&lt;/span&gt;oug&lt;span class="_ _7"&gt;&lt;/span&gt;h &lt;/span&gt;&lt;span style="display:inherit;clear:left;"&gt;pro&lt;span class="_ _7"&gt;&lt;/span&gt;f&lt;span class="_ _7"&gt;&lt;/span&gt;it or l&lt;span class="_ _7"&gt;&lt;/span&gt;os&lt;span class="_ _7"&gt;&lt;/span&gt;s&lt;span class="_ _7"&gt;&lt;/span&gt;. In t&lt;span class="_ _7"&gt;&lt;/span&gt;hi&lt;span class="_ _7"&gt;&lt;/span&gt;s ca&lt;span class="_ _7"&gt;&lt;/span&gt;se t&lt;span class="_ _7"&gt;&lt;/span&gt;ra&lt;span class="_ _7"&gt;&lt;/span&gt;ns&lt;span class="_ _7"&gt;&lt;/span&gt;ac&lt;span class="_ _7"&gt;&lt;/span&gt;ti&lt;span class="_ _7"&gt;&lt;/span&gt;on c&lt;span class="_ _7"&gt;&lt;/span&gt;os&lt;span class="_ _7"&gt;&lt;/span&gt;t&lt;span class="_ _7"&gt;&lt;/span&gt;s are ex&lt;span class="_ _7"&gt;&lt;/span&gt;pe&lt;span class="_ _7"&gt;&lt;/span&gt;ns&lt;span class="_ _7"&gt;&lt;/span&gt;e&lt;span class="_ _7"&gt;&lt;/span&gt;d in th&lt;span class="_ _7"&gt;&lt;/span&gt;e &lt;/span&gt;&lt;span style="display:inherit;clear:left;"&gt;inc&lt;span class="_ _7"&gt;&lt;/span&gt;om&lt;span class="_ _7"&gt;&lt;/span&gt;e s&lt;span class="_ _7"&gt;&lt;/span&gt;tat&lt;span class="_ _7"&gt;&lt;/span&gt;eme&lt;span class="_ _7"&gt;&lt;/span&gt;nt&lt;span class="_ _7"&gt;&lt;/span&gt;. Fi&lt;span class="_ _7"&gt;&lt;/span&gt;nan&lt;span class="_ _7"&gt;&lt;/span&gt;ci&lt;span class="_ _7"&gt;&lt;/span&gt;al li&lt;span class="_ _7"&gt;&lt;/span&gt;ab&lt;span class="_ _7"&gt;&lt;/span&gt;ili&lt;span class="_ _7"&gt;&lt;/span&gt;tie&lt;span class="_ _7"&gt;&lt;/span&gt;s ar&lt;span class="_ _7"&gt;&lt;/span&gt;e in&lt;span class="_ _7"&gt;&lt;/span&gt;iti&lt;span class="_ _7"&gt;&lt;/span&gt;ally r&lt;span class="_ _7"&gt;&lt;/span&gt;ec&lt;span class="_ _7"&gt;&lt;/span&gt;og&lt;span class="_ _7"&gt;&lt;/span&gt;ni&lt;span class="_ _7"&gt;&lt;/span&gt;se&lt;span class="_ _7"&gt;&lt;/span&gt;d at f&lt;span class="_ _7"&gt;&lt;/span&gt;ai&lt;span class="_ _7"&gt;&lt;/span&gt;r &lt;/span&gt;&lt;span style="display:inherit;clear:left;"&gt;val&lt;span class="_ _7"&gt;&lt;/span&gt;ue le&lt;span class="_ _7"&gt;&lt;/span&gt;s&lt;span class="_ _7"&gt;&lt;/span&gt;s tr&lt;span class="_ _7"&gt;&lt;/span&gt;an&lt;span class="_ _7"&gt;&lt;/span&gt;s&lt;span class="_ _7"&gt;&lt;/span&gt;act&lt;span class="_ _7"&gt;&lt;/span&gt;io&lt;span class="_ _7"&gt;&lt;/span&gt;n co&lt;span class="_ _7"&gt;&lt;/span&gt;st&lt;span class="_ _7"&gt;&lt;/span&gt;s&lt;span class="_ _7"&gt;&lt;/span&gt;, exce&lt;span class="_ _7"&gt;&lt;/span&gt;pt fo&lt;span class="_ _7"&gt;&lt;/span&gt;r th&lt;span class="_ _7"&gt;&lt;/span&gt;os&lt;span class="_ _7"&gt;&lt;/span&gt;e f&lt;span class="_ _7"&gt;&lt;/span&gt;ina&lt;span class="_ _7"&gt;&lt;/span&gt;nc&lt;span class="_ _7"&gt;&lt;/span&gt;ial l&lt;span class="_ _7"&gt;&lt;/span&gt;iab&lt;span class="_ _7"&gt;&lt;/span&gt;il&lt;span class="_ _7"&gt;&lt;/span&gt;iti&lt;span class="_ _7"&gt;&lt;/span&gt;es &lt;/span&gt;&lt;span style="display:inherit;clear:left;"&gt;ca&lt;span class="_ _7"&gt;&lt;/span&gt;rr&lt;span class="_ _7"&gt;&lt;/span&gt;ie&lt;span class="_ _7"&gt;&lt;/span&gt;d at fa&lt;span class="_ _7"&gt;&lt;/span&gt;ir v&lt;span class="_ _7"&gt;&lt;/span&gt;alu&lt;span class="_ _7"&gt;&lt;/span&gt;e thr&lt;span class="_ _7"&gt;&lt;/span&gt;oug&lt;span class="_ _7"&gt;&lt;/span&gt;h pr&lt;span class="_ _7"&gt;&lt;/span&gt;of&lt;span class="_ _7"&gt;&lt;/span&gt;it o&lt;span class="_ _7"&gt;&lt;/span&gt;r lo&lt;span class="_ _7"&gt;&lt;/span&gt;s&lt;span class="_ _7"&gt;&lt;/span&gt;s. Fo&lt;span class="_ _7"&gt;&lt;/span&gt;r th&lt;span class="_ _7"&gt;&lt;/span&gt;es&lt;span class="_ _7"&gt;&lt;/span&gt;e li&lt;span class="_ _7"&gt;&lt;/span&gt;ab&lt;span class="_ _7"&gt;&lt;/span&gt;ili&lt;span class="_ _7"&gt;&lt;/span&gt;tie&lt;span class="_ _7"&gt;&lt;/span&gt;s tr&lt;span class="_ _7"&gt;&lt;/span&gt;an&lt;span class="_ _7"&gt;&lt;/span&gt;s-&lt;/span&gt;&lt;span style="display:inherit;clear:left;"&gt;action costs are&lt;span class="_ _2"&gt;&lt;/span&gt; expense&lt;span class="_ _7"&gt;&lt;/span&gt;d in&lt;span class="_ _2"&gt;&lt;/span&gt; the income statement.&lt;/span&gt;&lt;span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a&lt;span class="_ _7"&gt;&lt;/span&gt;s&lt;span class="_ _7"&gt;&lt;/span&gt;se&lt;span class="_ _7"&gt;&lt;/span&gt;ts o&lt;span class="_ _7"&gt;&lt;/span&gt;r a po&lt;span class="_ _7"&gt;&lt;/span&gt;r&lt;span class="_ _7"&gt;&lt;/span&gt;ti&lt;span class="_ _7"&gt;&lt;/span&gt;on of a&lt;span class="_ _7"&gt;&lt;/span&gt; &lt;/span&gt;&lt;span style="display:inherit;clear:left;"&gt;fi&lt;span class="_ _7"&gt;&lt;/span&gt;nan&lt;span class="_ _7"&gt;&lt;/span&gt;ci&lt;span class="_ _7"&gt;&lt;/span&gt;al a&lt;span class="_ _7"&gt;&lt;/span&gt;s&lt;span class="_ _7"&gt;&lt;/span&gt;se&lt;span class="_ _7"&gt;&lt;/span&gt;t fr&lt;span class="_ _7"&gt;&lt;/span&gt;om th&lt;span class="_ _7"&gt;&lt;/span&gt;e ba&lt;span class="_ _7"&gt;&lt;/span&gt;la&lt;span class="_ _7"&gt;&lt;/span&gt;nc&lt;span class="_ _7"&gt;&lt;/span&gt;e sh&lt;span class="_ _7"&gt;&lt;/span&gt;ee&lt;span class="_ _7"&gt;&lt;/span&gt;t up&lt;span class="_ _7"&gt;&lt;/span&gt;on ex&lt;span class="_ _7"&gt;&lt;/span&gt;pir&lt;span class="_ _9"&gt;&lt;/span&gt;y, when i&lt;span class="_ _7"&gt;&lt;/span&gt;t ha&lt;span class="_ _7"&gt;&lt;/span&gt;s be&lt;span class="_ _7"&gt;&lt;/span&gt;en &lt;/span&gt;&lt;span style="display:inherit;clear:left;"&gt;se&lt;span class="_ _7"&gt;&lt;/span&gt;t&lt;span class="_ _7"&gt;&lt;/span&gt;tle&lt;span class="_ _7"&gt;&lt;/span&gt;d or wh&lt;span class="_ _7"&gt;&lt;/span&gt;en a&lt;span class="_ _7"&gt;&lt;/span&gt;ll s&lt;span class="_ _7"&gt;&lt;/span&gt;ign&lt;span class="_ _7"&gt;&lt;/span&gt;if&lt;span class="_ _7"&gt;&lt;/span&gt;ic&lt;span class="_ _7"&gt;&lt;/span&gt;a&lt;span class="_ _7"&gt;&lt;/span&gt;nt ri&lt;span class="_ _7"&gt;&lt;/span&gt;sk&lt;span class="_ _7"&gt;&lt;/span&gt;s an&lt;span class="_ _7"&gt;&lt;/span&gt;d rew&lt;span class="_ _7"&gt;&lt;/span&gt;ard&lt;span class="_ _7"&gt;&lt;/span&gt;s li&lt;span class="_ _7"&gt;&lt;/span&gt;nked t&lt;span class="_ _7"&gt;&lt;/span&gt;o the a&lt;span class="_ _7"&gt;&lt;/span&gt;s&lt;span class="_ _7"&gt;&lt;/span&gt;se&lt;span class="_ _7"&gt;&lt;/span&gt;t &lt;/span&gt;&lt;span style="display:inherit;clear:left;"&gt;have b&lt;span class="_ _7"&gt;&lt;/span&gt;e&lt;span class="_ _7"&gt;&lt;/span&gt;en tr&lt;span class="_ _7"&gt;&lt;/span&gt;an&lt;span class="_ _7"&gt;&lt;/span&gt;s&lt;span class="_ _7"&gt;&lt;/span&gt;fer&lt;span class="_ _7"&gt;&lt;/span&gt;re&lt;span class="_ _7"&gt;&lt;/span&gt;d to a th&lt;span class="_ _7"&gt;&lt;/span&gt;ir&lt;span class="_ _7"&gt;&lt;/span&gt;d pa&lt;span class="_ _7"&gt;&lt;/span&gt;r&lt;span class="_ _7"&gt;&lt;/span&gt;t&lt;span class="_ _7"&gt;&lt;/span&gt;y. In tho&lt;span class="_ _7"&gt;&lt;/span&gt;se c&lt;span class="_ _7"&gt;&lt;/span&gt;as&lt;span class="_ _7"&gt;&lt;/span&gt;e&lt;span class="_ _7"&gt;&lt;/span&gt;s wh&lt;span class="_ _7"&gt;&lt;/span&gt;er&lt;span class="_ _7"&gt;&lt;/span&gt;e Volvo Car&lt;span class="_ _7"&gt;&lt;/span&gt; &lt;/span&gt;&lt;span style="display:inherit;clear:left;"&gt;Gro&lt;span class="_ _7"&gt;&lt;/span&gt;up c&lt;span class="_ _7"&gt;&lt;/span&gt;on&lt;span class="_ _7"&gt;&lt;/span&gt;clu&lt;span class="_ _7"&gt;&lt;/span&gt;de&lt;span class="_ _7"&gt;&lt;/span&gt;s tha&lt;span class="_ _7"&gt;&lt;/span&gt;t all s&lt;span class="_ _7"&gt;&lt;/span&gt;ig&lt;span class="_ _7"&gt;&lt;/span&gt;ni&lt;span class="_ _7"&gt;&lt;/span&gt;fi&lt;span class="_ _7"&gt;&lt;/span&gt;c&lt;span class="_ _7"&gt;&lt;/span&gt;ant r&lt;span class="_ _7"&gt;&lt;/span&gt;is&lt;span class="_ _7"&gt;&lt;/span&gt;ks an&lt;span class="_ _7"&gt;&lt;/span&gt;d re&lt;span class="_ _7"&gt;&lt;/span&gt;war&lt;span class="_ _7"&gt;&lt;/span&gt;ds h&lt;span class="_ _7"&gt;&lt;/span&gt;ave n&lt;span class="_ _7"&gt;&lt;/span&gt;ot b&lt;span class="_ _7"&gt;&lt;/span&gt;ee&lt;span class="_ _7"&gt;&lt;/span&gt;n &lt;/span&gt;&lt;span style="display:inherit;clear:left;"&gt;tr&lt;span class="_ _7"&gt;&lt;/span&gt;ans&lt;span class="_ _7"&gt;&lt;/span&gt;f&lt;span class="_ _7"&gt;&lt;/span&gt;er&lt;span class="_ _7"&gt;&lt;/span&gt;re&lt;span class="_ _7"&gt;&lt;/span&gt;d, th&lt;span class="_ _7"&gt;&lt;/span&gt;e po&lt;span class="_ _7"&gt;&lt;/span&gt;r&lt;span class="_ _7"&gt;&lt;/span&gt;ti&lt;span class="_ _7"&gt;&lt;/span&gt;on o&lt;span class="_ _7"&gt;&lt;/span&gt;f the f&lt;span class="_ _7"&gt;&lt;/span&gt;in&lt;span class="_ _7"&gt;&lt;/span&gt;an&lt;span class="_ _7"&gt;&lt;/span&gt;cia&lt;span class="_ _7"&gt;&lt;/span&gt;l as&lt;span class="_ _7"&gt;&lt;/span&gt;s&lt;span class="_ _7"&gt;&lt;/span&gt;et&lt;span class="_ _7"&gt;&lt;/span&gt;s co&lt;span class="_ _7"&gt;&lt;/span&gt;rr&lt;span class="_ _7"&gt;&lt;/span&gt;es&lt;span class="_ _7"&gt;&lt;/span&gt;p&lt;span class="_ _7"&gt;&lt;/span&gt;ond&lt;span class="_ _7"&gt;&lt;/span&gt;in&lt;span class="_ _7"&gt;&lt;/span&gt;g to Volvo &lt;/span&gt;&lt;span style="display:inherit;clear:left;"&gt;Ca&lt;span class="_ _7"&gt;&lt;/span&gt;r Gro&lt;span class="_ _7"&gt;&lt;/span&gt;up&lt;span class="_ _7"&gt;&lt;/span&gt;s’ co&lt;span class="_ _7"&gt;&lt;/span&gt;nti&lt;span class="_ _7"&gt;&lt;/span&gt;nu&lt;span class="_ _7"&gt;&lt;/span&gt;ou&lt;span class="_ _7"&gt;&lt;/span&gt;s invo&lt;span class="_ _7"&gt;&lt;/span&gt;lve&lt;span class="_ _7"&gt;&lt;/span&gt;men&lt;span class="_ _7"&gt;&lt;/span&gt;t co&lt;span class="_ _7"&gt;&lt;/span&gt;nti&lt;span class="_ _7"&gt;&lt;/span&gt;nue&lt;span class="_ _7"&gt;&lt;/span&gt;s to b&lt;span class="_ _7"&gt;&lt;/span&gt;e re&lt;span class="_ _7"&gt;&lt;/span&gt;cog&lt;span class="_ _7"&gt;&lt;/span&gt;ni&lt;span class="_ _7"&gt;&lt;/span&gt;s&lt;span class="_ _7"&gt;&lt;/span&gt;ed&lt;span class="_ _7"&gt;&lt;/span&gt;.&lt;/span&gt;&lt;span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li&lt;span class="_ _7"&gt;&lt;/span&gt;ab&lt;span class="_ _7"&gt;&lt;/span&gt;ili&lt;span class="_ _7"&gt;&lt;/span&gt;ti&lt;span class="_ _7"&gt;&lt;/span&gt;es o&lt;span class="_ _7"&gt;&lt;/span&gt;r&lt;span class="fc5"&gt; a po&lt;span class="_ _7"&gt;&lt;/span&gt;r&lt;span class="_ _7"&gt;&lt;/span&gt;tio&lt;span class="_ _7"&gt;&lt;/span&gt;n of a &lt;/span&gt;&lt;/span&gt;&lt;span style="display:inherit;clear:left;"&gt;fi&lt;span class="_ _7"&gt;&lt;/span&gt;nan&lt;span class="_ _7"&gt;&lt;/span&gt;ci&lt;span class="_ _7"&gt;&lt;/span&gt;al li&lt;span class="_ _7"&gt;&lt;/span&gt;ab&lt;span class="_ _7"&gt;&lt;/span&gt;ili&lt;span class="_ _7"&gt;&lt;/span&gt;t&lt;span class="_ _7"&gt;&lt;/span&gt;y fr&lt;span class="_ _7"&gt;&lt;/span&gt;om th&lt;span class="_ _7"&gt;&lt;/span&gt;e b&lt;span class="_ _7"&gt;&lt;/span&gt;al&lt;span class="_ _7"&gt;&lt;/span&gt;anc&lt;span class="_ _7"&gt;&lt;/span&gt;e sh&lt;span class="_ _7"&gt;&lt;/span&gt;ee&lt;span class="_ _7"&gt;&lt;/span&gt;t wh&lt;span class="_ _7"&gt;&lt;/span&gt;en th&lt;span class="_ _7"&gt;&lt;/span&gt;e ob&lt;span class="_ _7"&gt;&lt;/span&gt;lig&lt;span class="_ _7"&gt;&lt;/span&gt;ati&lt;span class="_ _7"&gt;&lt;/span&gt;on i&lt;span class="_ _7"&gt;&lt;/span&gt;n the &lt;/span&gt;&lt;span style="display:inherit;clear:left;"&gt;con&lt;span class="_ _7"&gt;&lt;/span&gt;tr&lt;span class="_ _7"&gt;&lt;/span&gt;ac&lt;span class="_ _7"&gt;&lt;/span&gt;t ha&lt;span class="_ _7"&gt;&lt;/span&gt;s be&lt;span class="_ _7"&gt;&lt;/span&gt;en s&lt;span class="_ _7"&gt;&lt;/span&gt;et&lt;span class="_ _7"&gt;&lt;/span&gt;tl&lt;span class="_ _7"&gt;&lt;/span&gt;ed&lt;span class="_ _7"&gt;&lt;/span&gt;, ca&lt;span class="_ _7"&gt;&lt;/span&gt;nc&lt;span class="_ _7"&gt;&lt;/span&gt;el&lt;span class="_ _7"&gt;&lt;/span&gt;led&lt;span class="_ _7"&gt;&lt;/span&gt;, or ex&lt;span class="_ _7"&gt;&lt;/span&gt;pi&lt;span class="_ _7"&gt;&lt;/span&gt;re&lt;span class="_ _7"&gt;&lt;/span&gt;d.&lt;/span&gt;&lt;span style="display:inherit;clear:left;"&gt;Customer in&lt;span class="_ _2"&gt;&lt;/span&gt;voices may be subject&lt;span class="_ _2"&gt;&lt;/span&gt; to factoring&lt;span class="_ _2"&gt;&lt;/span&gt; arrangements with &lt;/span&gt;&lt;span style="display:inherit;clear:left;"&gt;a fi&lt;span class="_ _7"&gt;&lt;/span&gt;nan&lt;span class="_ _7"&gt;&lt;/span&gt;ci&lt;span class="_ _7"&gt;&lt;/span&gt;al in&lt;span class="_ _7"&gt;&lt;/span&gt;s&lt;span class="_ _7"&gt;&lt;/span&gt;tit&lt;span class="_ _7"&gt;&lt;/span&gt;uti&lt;span class="_ _7"&gt;&lt;/span&gt;on&lt;span class="_ _7"&gt;&lt;/span&gt;. In th&lt;span class="_ _7"&gt;&lt;/span&gt;o&lt;span class="_ _7"&gt;&lt;/span&gt;se c&lt;span class="_ _7"&gt;&lt;/span&gt;as&lt;span class="_ _7"&gt;&lt;/span&gt;e&lt;span class="_ _7"&gt;&lt;/span&gt;s&lt;span class="_ _7"&gt;&lt;/span&gt;, the i&lt;span class="_ _7"&gt;&lt;/span&gt;nvoi&lt;span class="_ _7"&gt;&lt;/span&gt;ce&lt;span class="_ _7"&gt;&lt;/span&gt;s ar&lt;span class="_ _7"&gt;&lt;/span&gt;e de&lt;span class="_ _7"&gt;&lt;/span&gt;re&lt;span class="_ _7"&gt;&lt;/span&gt;cog&lt;span class="_ _7"&gt;&lt;/span&gt;ni&lt;span class="_ _7"&gt;&lt;/span&gt;s&lt;span class="_ _7"&gt;&lt;/span&gt;ed &lt;/span&gt;&lt;span style="display:inherit;clear:left;"&gt;fr&lt;span class="_ _7"&gt;&lt;/span&gt;om ac&lt;span class="_ _7"&gt;&lt;/span&gt;co&lt;span class="_ _7"&gt;&lt;/span&gt;un&lt;span class="_ _7"&gt;&lt;/span&gt;ts r&lt;span class="_ _7"&gt;&lt;/span&gt;ec&lt;span class="_ _7"&gt;&lt;/span&gt;ei&lt;span class="_ _7"&gt;&lt;/span&gt;vab&lt;span class="_ _7"&gt;&lt;/span&gt;le im&lt;span class="_ _7"&gt;&lt;/span&gt;me&lt;span class="_ _7"&gt;&lt;/span&gt;di&lt;span class="_ _7"&gt;&lt;/span&gt;ate&lt;span class="_ _7"&gt;&lt;/span&gt;ly up&lt;span class="_ _7"&gt;&lt;/span&gt;on s&lt;span class="_ _7"&gt;&lt;/span&gt;et&lt;span class="_ _7"&gt;&lt;/span&gt;tl&lt;span class="_ _7"&gt;&lt;/span&gt;em&lt;span class="_ _7"&gt;&lt;/span&gt;ent&lt;span class="_ _7"&gt;&lt;/span&gt;. If th&lt;span class="_ _7"&gt;&lt;/span&gt;e cr&lt;span class="_ _7"&gt;&lt;/span&gt;ed&lt;span class="_ _7"&gt;&lt;/span&gt;it &lt;/span&gt;&lt;span style="display:inherit;clear:left;"&gt;ri&lt;span class="_ _7"&gt;&lt;/span&gt;sk h&lt;span class="_ _7"&gt;&lt;/span&gt;as n&lt;span class="_ _7"&gt;&lt;/span&gt;ot tr&lt;span class="_ _7"&gt;&lt;/span&gt;an&lt;span class="_ _7"&gt;&lt;/span&gt;s&lt;span class="_ _7"&gt;&lt;/span&gt;fer&lt;span class="_ _7"&gt;&lt;/span&gt;re&lt;span class="_ _7"&gt;&lt;/span&gt;d to th&lt;span class="_ _7"&gt;&lt;/span&gt;e fi&lt;span class="_ _7"&gt;&lt;/span&gt;na&lt;span class="_ _7"&gt;&lt;/span&gt;nci&lt;span class="_ _7"&gt;&lt;/span&gt;al i&lt;span class="_ _7"&gt;&lt;/span&gt;ns&lt;span class="_ _7"&gt;&lt;/span&gt;ti&lt;span class="_ _7"&gt;&lt;/span&gt;tut&lt;span class="_ _7"&gt;&lt;/span&gt;ion t&lt;span class="_ _7"&gt;&lt;/span&gt;he r&lt;span class="_ _7"&gt;&lt;/span&gt;ec&lt;span class="_ _7"&gt;&lt;/span&gt;ei&lt;span class="_ _7"&gt;&lt;/span&gt;vab&lt;span class="_ _7"&gt;&lt;/span&gt;le&lt;span class="_ _7"&gt;&lt;/span&gt;s &lt;/span&gt;&lt;span style="display:inherit;clear:left;"&gt;rem&lt;span class="_ _7"&gt;&lt;/span&gt;ai&lt;span class="_ _7"&gt;&lt;/span&gt;n on th&lt;span class="_ _7"&gt;&lt;/span&gt;e ba&lt;span class="_ _7"&gt;&lt;/span&gt;la&lt;span class="_ _7"&gt;&lt;/span&gt;nc&lt;span class="_ _7"&gt;&lt;/span&gt;e sh&lt;span class="_ _7"&gt;&lt;/span&gt;ee&lt;span class="_ _7"&gt;&lt;/span&gt;t an&lt;span class="_ _7"&gt;&lt;/span&gt;d are p&lt;span class="_ _7"&gt;&lt;/span&gt;re&lt;span class="_ _7"&gt;&lt;/span&gt;s&lt;span class="_ _7"&gt;&lt;/span&gt;ente&lt;span class="_ _7"&gt;&lt;/span&gt;d as O&lt;span class="_ _7"&gt;&lt;/span&gt;th&lt;span class="_ _7"&gt;&lt;/span&gt;er n&lt;span class="_ _7"&gt;&lt;/span&gt;on- &lt;/span&gt;&lt;span style="display:inherit;clear:left;"&gt;cur&lt;span class="_ _7"&gt;&lt;/span&gt;re&lt;span class="_ _7"&gt;&lt;/span&gt;nt an&lt;span class="_ _7"&gt;&lt;/span&gt;d cur&lt;span class="_ _7"&gt;&lt;/span&gt;re&lt;span class="_ _7"&gt;&lt;/span&gt;nt f&lt;span class="_ _7"&gt;&lt;/span&gt;in&lt;span class="_ _7"&gt;&lt;/span&gt;anc&lt;span class="_ _7"&gt;&lt;/span&gt;ia&lt;span class="_ _7"&gt;&lt;/span&gt;l as&lt;span class="_ _7"&gt;&lt;/span&gt;s&lt;span class="_ _7"&gt;&lt;/span&gt;et&lt;span class="_ _7"&gt;&lt;/span&gt;s&lt;span class="_ _7"&gt;&lt;/span&gt;.&lt;/span&gt;</t>
  </si>
  <si>
    <t>f1__s8__6__162-1</t>
  </si>
  <si>
    <t>ifrs-full:DescriptionOfAccountingPolicyForFinancialInstrumentsAtFairValueThroughProfitOrLossExplanatory</t>
  </si>
  <si>
    <t>&lt;span style="display:inherit;clear:left;"&gt;Fin&lt;span class="_ _7"&gt;&lt;/span&gt;an&lt;span class="_ _7"&gt;&lt;/span&gt;cia&lt;span class="_ _7"&gt;&lt;/span&gt;l as&lt;span class="_ _7"&gt;&lt;/span&gt;s&lt;span class="_ _7"&gt;&lt;/span&gt;et&lt;span class="_ _7"&gt;&lt;/span&gt;s ar&lt;span class="_ _7"&gt;&lt;/span&gt;e ini&lt;span class="_ _7"&gt;&lt;/span&gt;ti&lt;span class="_ _7"&gt;&lt;/span&gt;ally r&lt;span class="_ _7"&gt;&lt;/span&gt;ec&lt;span class="_ _7"&gt;&lt;/span&gt;og&lt;span class="_ _7"&gt;&lt;/span&gt;ni&lt;span class="_ _7"&gt;&lt;/span&gt;se&lt;span class="_ _7"&gt;&lt;/span&gt;d at f&lt;span class="_ _7"&gt;&lt;/span&gt;air v&lt;span class="_ _7"&gt;&lt;/span&gt;alu&lt;span class="_ _7"&gt;&lt;/span&gt;e pl&lt;span class="_ _7"&gt;&lt;/span&gt;us tr&lt;span class="_ _7"&gt;&lt;/span&gt;an&lt;span class="_ _7"&gt;&lt;/span&gt;s&lt;span class="_ _7"&gt;&lt;/span&gt;ac-&lt;/span&gt;&lt;span style="display:inherit;clear:left;"&gt;tio&lt;span class="_ _7"&gt;&lt;/span&gt;n co&lt;span class="_ _7"&gt;&lt;/span&gt;s&lt;span class="_ _7"&gt;&lt;/span&gt;ts&lt;span class="_ _7"&gt;&lt;/span&gt;, exce&lt;span class="_ _7"&gt;&lt;/span&gt;pt f&lt;span class="_ _7"&gt;&lt;/span&gt;or f&lt;span class="_ _7"&gt;&lt;/span&gt;in&lt;span class="_ _7"&gt;&lt;/span&gt;anc&lt;span class="_ _7"&gt;&lt;/span&gt;ia&lt;span class="_ _7"&gt;&lt;/span&gt;l as&lt;span class="_ _7"&gt;&lt;/span&gt;s&lt;span class="_ _7"&gt;&lt;/span&gt;et&lt;span class="_ _7"&gt;&lt;/span&gt;s ca&lt;span class="_ _7"&gt;&lt;/span&gt;rr&lt;span class="_ _7"&gt;&lt;/span&gt;ie&lt;span class="_ _7"&gt;&lt;/span&gt;d at f&lt;span class="_ _7"&gt;&lt;/span&gt;air v&lt;span class="_ _7"&gt;&lt;/span&gt;alu&lt;span class="_ _7"&gt;&lt;/span&gt;e thr&lt;span class="_ _7"&gt;&lt;/span&gt;oug&lt;span class="_ _7"&gt;&lt;/span&gt;h &lt;/span&gt;&lt;span style="display:inherit;clear:left;"&gt;pro&lt;span class="_ _7"&gt;&lt;/span&gt;f&lt;span class="_ _7"&gt;&lt;/span&gt;it or l&lt;span class="_ _7"&gt;&lt;/span&gt;os&lt;span class="_ _7"&gt;&lt;/span&gt;s&lt;span class="_ _7"&gt;&lt;/span&gt;. In t&lt;span class="_ _7"&gt;&lt;/span&gt;hi&lt;span class="_ _7"&gt;&lt;/span&gt;s ca&lt;span class="_ _7"&gt;&lt;/span&gt;se t&lt;span class="_ _7"&gt;&lt;/span&gt;ra&lt;span class="_ _7"&gt;&lt;/span&gt;ns&lt;span class="_ _7"&gt;&lt;/span&gt;ac&lt;span class="_ _7"&gt;&lt;/span&gt;ti&lt;span class="_ _7"&gt;&lt;/span&gt;on c&lt;span class="_ _7"&gt;&lt;/span&gt;os&lt;span class="_ _7"&gt;&lt;/span&gt;t&lt;span class="_ _7"&gt;&lt;/span&gt;s are ex&lt;span class="_ _7"&gt;&lt;/span&gt;pe&lt;span class="_ _7"&gt;&lt;/span&gt;ns&lt;span class="_ _7"&gt;&lt;/span&gt;e&lt;span class="_ _7"&gt;&lt;/span&gt;d in th&lt;span class="_ _7"&gt;&lt;/span&gt;e &lt;/span&gt;&lt;span style="display:inherit;clear:left;"&gt;inc&lt;span class="_ _7"&gt;&lt;/span&gt;om&lt;span class="_ _7"&gt;&lt;/span&gt;e s&lt;span class="_ _7"&gt;&lt;/span&gt;tat&lt;span class="_ _7"&gt;&lt;/span&gt;eme&lt;span class="_ _7"&gt;&lt;/span&gt;nt&lt;span class="_ _7"&gt;&lt;/span&gt;. Fi&lt;span class="_ _7"&gt;&lt;/span&gt;nan&lt;span class="_ _7"&gt;&lt;/span&gt;ci&lt;span class="_ _7"&gt;&lt;/span&gt;al li&lt;span class="_ _7"&gt;&lt;/span&gt;ab&lt;span class="_ _7"&gt;&lt;/span&gt;ili&lt;span class="_ _7"&gt;&lt;/span&gt;tie&lt;span class="_ _7"&gt;&lt;/span&gt;s ar&lt;span class="_ _7"&gt;&lt;/span&gt;e in&lt;span class="_ _7"&gt;&lt;/span&gt;iti&lt;span class="_ _7"&gt;&lt;/span&gt;ally r&lt;span class="_ _7"&gt;&lt;/span&gt;ec&lt;span class="_ _7"&gt;&lt;/span&gt;og&lt;span class="_ _7"&gt;&lt;/span&gt;ni&lt;span class="_ _7"&gt;&lt;/span&gt;se&lt;span class="_ _7"&gt;&lt;/span&gt;d at f&lt;span class="_ _7"&gt;&lt;/span&gt;ai&lt;span class="_ _7"&gt;&lt;/span&gt;r &lt;/span&gt;&lt;span style="display:inherit;clear:left;"&gt;val&lt;span class="_ _7"&gt;&lt;/span&gt;ue le&lt;span class="_ _7"&gt;&lt;/span&gt;s&lt;span class="_ _7"&gt;&lt;/span&gt;s tr&lt;span class="_ _7"&gt;&lt;/span&gt;an&lt;span class="_ _7"&gt;&lt;/span&gt;s&lt;span class="_ _7"&gt;&lt;/span&gt;act&lt;span class="_ _7"&gt;&lt;/span&gt;io&lt;span class="_ _7"&gt;&lt;/span&gt;n co&lt;span class="_ _7"&gt;&lt;/span&gt;st&lt;span class="_ _7"&gt;&lt;/span&gt;s&lt;span class="_ _7"&gt;&lt;/span&gt;, exce&lt;span class="_ _7"&gt;&lt;/span&gt;pt fo&lt;span class="_ _7"&gt;&lt;/span&gt;r th&lt;span class="_ _7"&gt;&lt;/span&gt;os&lt;span class="_ _7"&gt;&lt;/span&gt;e f&lt;span class="_ _7"&gt;&lt;/span&gt;ina&lt;span class="_ _7"&gt;&lt;/span&gt;nc&lt;span class="_ _7"&gt;&lt;/span&gt;ial l&lt;span class="_ _7"&gt;&lt;/span&gt;iab&lt;span class="_ _7"&gt;&lt;/span&gt;il&lt;span class="_ _7"&gt;&lt;/span&gt;iti&lt;span class="_ _7"&gt;&lt;/span&gt;es &lt;/span&gt;&lt;span style="display:inherit;clear:left;"&gt;ca&lt;span class="_ _7"&gt;&lt;/span&gt;rr&lt;span class="_ _7"&gt;&lt;/span&gt;ie&lt;span class="_ _7"&gt;&lt;/span&gt;d at fa&lt;span class="_ _7"&gt;&lt;/span&gt;ir v&lt;span class="_ _7"&gt;&lt;/span&gt;alu&lt;span class="_ _7"&gt;&lt;/span&gt;e thr&lt;span class="_ _7"&gt;&lt;/span&gt;oug&lt;span class="_ _7"&gt;&lt;/span&gt;h pr&lt;span class="_ _7"&gt;&lt;/span&gt;of&lt;span class="_ _7"&gt;&lt;/span&gt;it o&lt;span class="_ _7"&gt;&lt;/span&gt;r lo&lt;span class="_ _7"&gt;&lt;/span&gt;s&lt;span class="_ _7"&gt;&lt;/span&gt;s. Fo&lt;span class="_ _7"&gt;&lt;/span&gt;r th&lt;span class="_ _7"&gt;&lt;/span&gt;es&lt;span class="_ _7"&gt;&lt;/span&gt;e li&lt;span class="_ _7"&gt;&lt;/span&gt;ab&lt;span class="_ _7"&gt;&lt;/span&gt;ili&lt;span class="_ _7"&gt;&lt;/span&gt;tie&lt;span class="_ _7"&gt;&lt;/span&gt;s tr&lt;span class="_ _7"&gt;&lt;/span&gt;an&lt;span class="_ _7"&gt;&lt;/span&gt;s-&lt;/span&gt;&lt;span style="display:inherit;clear:left;"&gt;action costs are&lt;span class="_ _2"&gt;&lt;/span&gt; expense&lt;span class="_ _7"&gt;&lt;/span&gt;d in&lt;span class="_ _2"&gt;&lt;/span&gt; the income statement.&lt;/span&gt;&lt;span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a&lt;span class="_ _7"&gt;&lt;/span&gt;s&lt;span class="_ _7"&gt;&lt;/span&gt;se&lt;span class="_ _7"&gt;&lt;/span&gt;ts o&lt;span class="_ _7"&gt;&lt;/span&gt;r a po&lt;span class="_ _7"&gt;&lt;/span&gt;r&lt;span class="_ _7"&gt;&lt;/span&gt;ti&lt;span class="_ _7"&gt;&lt;/span&gt;on of a&lt;span class="_ _7"&gt;&lt;/span&gt; &lt;/span&gt;&lt;span style="display:inherit;clear:left;"&gt;fi&lt;span class="_ _7"&gt;&lt;/span&gt;nan&lt;span class="_ _7"&gt;&lt;/span&gt;ci&lt;span class="_ _7"&gt;&lt;/span&gt;al a&lt;span class="_ _7"&gt;&lt;/span&gt;s&lt;span class="_ _7"&gt;&lt;/span&gt;se&lt;span class="_ _7"&gt;&lt;/span&gt;t fr&lt;span class="_ _7"&gt;&lt;/span&gt;om th&lt;span class="_ _7"&gt;&lt;/span&gt;e ba&lt;span class="_ _7"&gt;&lt;/span&gt;la&lt;span class="_ _7"&gt;&lt;/span&gt;nc&lt;span class="_ _7"&gt;&lt;/span&gt;e sh&lt;span class="_ _7"&gt;&lt;/span&gt;ee&lt;span class="_ _7"&gt;&lt;/span&gt;t up&lt;span class="_ _7"&gt;&lt;/span&gt;on ex&lt;span class="_ _7"&gt;&lt;/span&gt;pir&lt;span class="_ _9"&gt;&lt;/span&gt;y, when i&lt;span class="_ _7"&gt;&lt;/span&gt;t ha&lt;span class="_ _7"&gt;&lt;/span&gt;s be&lt;span class="_ _7"&gt;&lt;/span&gt;en &lt;/span&gt;&lt;span style="display:inherit;clear:left;"&gt;se&lt;span class="_ _7"&gt;&lt;/span&gt;t&lt;span class="_ _7"&gt;&lt;/span&gt;tle&lt;span class="_ _7"&gt;&lt;/span&gt;d or wh&lt;span class="_ _7"&gt;&lt;/span&gt;en a&lt;span class="_ _7"&gt;&lt;/span&gt;ll s&lt;span class="_ _7"&gt;&lt;/span&gt;ign&lt;span class="_ _7"&gt;&lt;/span&gt;if&lt;span class="_ _7"&gt;&lt;/span&gt;ic&lt;span class="_ _7"&gt;&lt;/span&gt;a&lt;span class="_ _7"&gt;&lt;/span&gt;nt ri&lt;span class="_ _7"&gt;&lt;/span&gt;sk&lt;span class="_ _7"&gt;&lt;/span&gt;s an&lt;span class="_ _7"&gt;&lt;/span&gt;d rew&lt;span class="_ _7"&gt;&lt;/span&gt;ard&lt;span class="_ _7"&gt;&lt;/span&gt;s li&lt;span class="_ _7"&gt;&lt;/span&gt;nked t&lt;span class="_ _7"&gt;&lt;/span&gt;o the a&lt;span class="_ _7"&gt;&lt;/span&gt;s&lt;span class="_ _7"&gt;&lt;/span&gt;se&lt;span class="_ _7"&gt;&lt;/span&gt;t &lt;/span&gt;&lt;span style="display:inherit;clear:left;"&gt;have b&lt;span class="_ _7"&gt;&lt;/span&gt;e&lt;span class="_ _7"&gt;&lt;/span&gt;en tr&lt;span class="_ _7"&gt;&lt;/span&gt;an&lt;span class="_ _7"&gt;&lt;/span&gt;s&lt;span class="_ _7"&gt;&lt;/span&gt;fer&lt;span class="_ _7"&gt;&lt;/span&gt;re&lt;span class="_ _7"&gt;&lt;/span&gt;d to a th&lt;span class="_ _7"&gt;&lt;/span&gt;ir&lt;span class="_ _7"&gt;&lt;/span&gt;d pa&lt;span class="_ _7"&gt;&lt;/span&gt;r&lt;span class="_ _7"&gt;&lt;/span&gt;t&lt;span class="_ _7"&gt;&lt;/span&gt;y. In tho&lt;span class="_ _7"&gt;&lt;/span&gt;se c&lt;span class="_ _7"&gt;&lt;/span&gt;as&lt;span class="_ _7"&gt;&lt;/span&gt;e&lt;span class="_ _7"&gt;&lt;/span&gt;s wh&lt;span class="_ _7"&gt;&lt;/span&gt;er&lt;span class="_ _7"&gt;&lt;/span&gt;e Volvo Car&lt;span class="_ _7"&gt;&lt;/span&gt; &lt;/span&gt;&lt;span style="display:inherit;clear:left;"&gt;Gro&lt;span class="_ _7"&gt;&lt;/span&gt;up c&lt;span class="_ _7"&gt;&lt;/span&gt;on&lt;span class="_ _7"&gt;&lt;/span&gt;clu&lt;span class="_ _7"&gt;&lt;/span&gt;de&lt;span class="_ _7"&gt;&lt;/span&gt;s tha&lt;span class="_ _7"&gt;&lt;/span&gt;t all s&lt;span class="_ _7"&gt;&lt;/span&gt;ig&lt;span class="_ _7"&gt;&lt;/span&gt;ni&lt;span class="_ _7"&gt;&lt;/span&gt;fi&lt;span class="_ _7"&gt;&lt;/span&gt;c&lt;span class="_ _7"&gt;&lt;/span&gt;ant r&lt;span class="_ _7"&gt;&lt;/span&gt;is&lt;span class="_ _7"&gt;&lt;/span&gt;ks an&lt;span class="_ _7"&gt;&lt;/span&gt;d re&lt;span class="_ _7"&gt;&lt;/span&gt;war&lt;span class="_ _7"&gt;&lt;/span&gt;ds h&lt;span class="_ _7"&gt;&lt;/span&gt;ave n&lt;span class="_ _7"&gt;&lt;/span&gt;ot b&lt;span class="_ _7"&gt;&lt;/span&gt;ee&lt;span class="_ _7"&gt;&lt;/span&gt;n &lt;/span&gt;&lt;span style="display:inherit;clear:left;"&gt;tr&lt;span class="_ _7"&gt;&lt;/span&gt;ans&lt;span class="_ _7"&gt;&lt;/span&gt;f&lt;span class="_ _7"&gt;&lt;/span&gt;er&lt;span class="_ _7"&gt;&lt;/span&gt;re&lt;span class="_ _7"&gt;&lt;/span&gt;d, th&lt;span class="_ _7"&gt;&lt;/span&gt;e po&lt;span class="_ _7"&gt;&lt;/span&gt;r&lt;span class="_ _7"&gt;&lt;/span&gt;ti&lt;span class="_ _7"&gt;&lt;/span&gt;on o&lt;span class="_ _7"&gt;&lt;/span&gt;f the f&lt;span class="_ _7"&gt;&lt;/span&gt;in&lt;span class="_ _7"&gt;&lt;/span&gt;an&lt;span class="_ _7"&gt;&lt;/span&gt;cia&lt;span class="_ _7"&gt;&lt;/span&gt;l as&lt;span class="_ _7"&gt;&lt;/span&gt;s&lt;span class="_ _7"&gt;&lt;/span&gt;et&lt;span class="_ _7"&gt;&lt;/span&gt;s co&lt;span class="_ _7"&gt;&lt;/span&gt;rr&lt;span class="_ _7"&gt;&lt;/span&gt;es&lt;span class="_ _7"&gt;&lt;/span&gt;p&lt;span class="_ _7"&gt;&lt;/span&gt;ond&lt;span class="_ _7"&gt;&lt;/span&gt;in&lt;span class="_ _7"&gt;&lt;/span&gt;g to Volvo &lt;/span&gt;&lt;span style="display:inherit;clear:left;"&gt;Ca&lt;span class="_ _7"&gt;&lt;/span&gt;r Gro&lt;span class="_ _7"&gt;&lt;/span&gt;up&lt;span class="_ _7"&gt;&lt;/span&gt;s’ co&lt;span class="_ _7"&gt;&lt;/span&gt;nti&lt;span class="_ _7"&gt;&lt;/span&gt;nu&lt;span class="_ _7"&gt;&lt;/span&gt;ou&lt;span class="_ _7"&gt;&lt;/span&gt;s invo&lt;span class="_ _7"&gt;&lt;/span&gt;lve&lt;span class="_ _7"&gt;&lt;/span&gt;men&lt;span class="_ _7"&gt;&lt;/span&gt;t co&lt;span class="_ _7"&gt;&lt;/span&gt;nti&lt;span class="_ _7"&gt;&lt;/span&gt;nue&lt;span class="_ _7"&gt;&lt;/span&gt;s to b&lt;span class="_ _7"&gt;&lt;/span&gt;e re&lt;span class="_ _7"&gt;&lt;/span&gt;cog&lt;span class="_ _7"&gt;&lt;/span&gt;ni&lt;span class="_ _7"&gt;&lt;/span&gt;s&lt;span class="_ _7"&gt;&lt;/span&gt;ed&lt;span class="_ _7"&gt;&lt;/span&gt;.&lt;/span&gt;&lt;span style="display:inherit;clear:left;"&gt;Volvo Ca&lt;span class="_ _7"&gt;&lt;/span&gt;r Gro&lt;span class="_ _7"&gt;&lt;/span&gt;up d&lt;span class="_ _7"&gt;&lt;/span&gt;ere&lt;span class="_ _7"&gt;&lt;/span&gt;co&lt;span class="_ _7"&gt;&lt;/span&gt;gn&lt;span class="_ _7"&gt;&lt;/span&gt;is&lt;span class="_ _7"&gt;&lt;/span&gt;e&lt;span class="_ _7"&gt;&lt;/span&gt;s fi&lt;span class="_ _7"&gt;&lt;/span&gt;na&lt;span class="_ _7"&gt;&lt;/span&gt;nci&lt;span class="_ _7"&gt;&lt;/span&gt;al li&lt;span class="_ _7"&gt;&lt;/span&gt;ab&lt;span class="_ _7"&gt;&lt;/span&gt;ili&lt;span class="_ _7"&gt;&lt;/span&gt;ti&lt;span class="_ _7"&gt;&lt;/span&gt;es o&lt;span class="_ _7"&gt;&lt;/span&gt;r&lt;span class="fc5"&gt; a po&lt;span class="_ _7"&gt;&lt;/span&gt;r&lt;span class="_ _7"&gt;&lt;/span&gt;tio&lt;span class="_ _7"&gt;&lt;/span&gt;n of a &lt;/span&gt;&lt;/span&gt;&lt;span style="display:inherit;clear:left;"&gt;fi&lt;span class="_ _7"&gt;&lt;/span&gt;nan&lt;span class="_ _7"&gt;&lt;/span&gt;ci&lt;span class="_ _7"&gt;&lt;/span&gt;al li&lt;span class="_ _7"&gt;&lt;/span&gt;ab&lt;span class="_ _7"&gt;&lt;/span&gt;ili&lt;span class="_ _7"&gt;&lt;/span&gt;t&lt;span class="_ _7"&gt;&lt;/span&gt;y fr&lt;span class="_ _7"&gt;&lt;/span&gt;om th&lt;span class="_ _7"&gt;&lt;/span&gt;e b&lt;span class="_ _7"&gt;&lt;/span&gt;al&lt;span class="_ _7"&gt;&lt;/span&gt;anc&lt;span class="_ _7"&gt;&lt;/span&gt;e sh&lt;span class="_ _7"&gt;&lt;/span&gt;ee&lt;span class="_ _7"&gt;&lt;/span&gt;t wh&lt;span class="_ _7"&gt;&lt;/span&gt;en th&lt;span class="_ _7"&gt;&lt;/span&gt;e ob&lt;span class="_ _7"&gt;&lt;/span&gt;lig&lt;span class="_ _7"&gt;&lt;/span&gt;ati&lt;span class="_ _7"&gt;&lt;/span&gt;on i&lt;span class="_ _7"&gt;&lt;/span&gt;n the &lt;/span&gt;&lt;span style="display:inherit;clear:left;"&gt;con&lt;span class="_ _7"&gt;&lt;/span&gt;tr&lt;span class="_ _7"&gt;&lt;/span&gt;ac&lt;span class="_ _7"&gt;&lt;/span&gt;t ha&lt;span class="_ _7"&gt;&lt;/span&gt;s be&lt;span class="_ _7"&gt;&lt;/span&gt;en s&lt;span class="_ _7"&gt;&lt;/span&gt;et&lt;span class="_ _7"&gt;&lt;/span&gt;tl&lt;span class="_ _7"&gt;&lt;/span&gt;ed&lt;span class="_ _7"&gt;&lt;/span&gt;, ca&lt;span class="_ _7"&gt;&lt;/span&gt;nc&lt;span class="_ _7"&gt;&lt;/span&gt;el&lt;span class="_ _7"&gt;&lt;/span&gt;led&lt;span class="_ _7"&gt;&lt;/span&gt;, or ex&lt;span class="_ _7"&gt;&lt;/span&gt;pi&lt;span class="_ _7"&gt;&lt;/span&gt;re&lt;span class="_ _7"&gt;&lt;/span&gt;d.&lt;/span&gt;&lt;span style="display:inherit;clear:left;"&gt;Classi&lt;span class="_ _7"&gt;&lt;/span&gt;fication of financial assets &lt;/span&gt;&lt;span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fi&lt;span class="_ _7"&gt;&lt;/span&gt;nan&lt;span class="_ _7"&gt;&lt;/span&gt;ci&lt;span class="_ _7"&gt;&lt;/span&gt;al a&lt;span class="_ _7"&gt;&lt;/span&gt;ss&lt;span class="_ _7"&gt;&lt;/span&gt;e&lt;span class="_ _7"&gt;&lt;/span&gt;ts d&lt;span class="_ _7"&gt;&lt;/span&gt;ep&lt;span class="_ _7"&gt;&lt;/span&gt;en&lt;span class="_ _7"&gt;&lt;/span&gt;din&lt;span class="_ _7"&gt;&lt;/span&gt;g on h&lt;span class="_ _7"&gt;&lt;/span&gt;ow th&lt;span class="_ _7"&gt;&lt;/span&gt;e &lt;/span&gt;&lt;span style="display:inherit;clear:left;"&gt;as&lt;span class="_ _7"&gt;&lt;/span&gt;s&lt;span class="_ _7"&gt;&lt;/span&gt;et i&lt;span class="_ _7"&gt;&lt;/span&gt;s ma&lt;span class="_ _7"&gt;&lt;/span&gt;nag&lt;span class="_ _7"&gt;&lt;/span&gt;ed a&lt;span class="_ _7"&gt;&lt;/span&gt;nd th&lt;span class="_ _7"&gt;&lt;/span&gt;e ch&lt;span class="_ _7"&gt;&lt;/span&gt;ar&lt;span class="_ _7"&gt;&lt;/span&gt;act&lt;span class="_ _7"&gt;&lt;/span&gt;er&lt;span class="_ _7"&gt;&lt;/span&gt;is&lt;span class="_ _7"&gt;&lt;/span&gt;tic&lt;span class="_ _7"&gt;&lt;/span&gt;s o&lt;span class="_ _7"&gt;&lt;/span&gt;f th&lt;span class="_ _7"&gt;&lt;/span&gt;e as&lt;span class="_ _7"&gt;&lt;/span&gt;s&lt;span class="_ _7"&gt;&lt;/span&gt;et&lt;span class="_ _7"&gt;&lt;/span&gt;s’ co&lt;span class="_ _7"&gt;&lt;/span&gt;ntr&lt;span class="_ _7"&gt;&lt;/span&gt;ac&lt;span class="_ _7"&gt;&lt;/span&gt;tu&lt;span class="_ _7"&gt;&lt;/span&gt;al &lt;/span&gt;&lt;span style="display:inherit;clear:left;"&gt;ca&lt;span class="_ _7"&gt;&lt;/span&gt;sh&lt;span class="_ _7"&gt;&lt;/span&gt;fl&lt;span class="_ _7"&gt;&lt;/span&gt;ows&lt;span class="_ _7"&gt;&lt;/span&gt;. T&lt;span class="_ _7"&gt;&lt;/span&gt;he fo&lt;span class="_ _7"&gt;&lt;/span&gt;llo&lt;span class="_ _7"&gt;&lt;/span&gt;win&lt;span class="_ _7"&gt;&lt;/span&gt;g me&lt;span class="_ _7"&gt;&lt;/span&gt;as&lt;span class="_ _7"&gt;&lt;/span&gt;ure&lt;span class="_ _7"&gt;&lt;/span&gt;me&lt;span class="_ _7"&gt;&lt;/span&gt;nt c&lt;span class="_ _7"&gt;&lt;/span&gt;ate&lt;span class="_ _7"&gt;&lt;/span&gt;gor&lt;span class="_ _7"&gt;&lt;/span&gt;ie&lt;span class="_ _7"&gt;&lt;/span&gt;s ar&lt;span class="_ _7"&gt;&lt;/span&gt;e ap&lt;span class="_ _7"&gt;&lt;/span&gt;pli&lt;span class="_ _7"&gt;&lt;/span&gt;ed a&lt;span class="_ _7"&gt;&lt;/span&gt;t &lt;/span&gt;&lt;span style="display:inherit;clear:left;"&gt;Volvo Ca&lt;span class="_ _7"&gt;&lt;/span&gt;r Gro&lt;span class="_ _7"&gt;&lt;/span&gt;up: &lt;/span&gt;&lt;span style="display:inherit;clear:left;"&gt;• &lt;span class="_ _17"&gt; &lt;/span&gt;f&lt;span class="_ _7"&gt;&lt;/span&gt;in&lt;span class="_ _7"&gt;&lt;/span&gt;anc&lt;span class="_ _7"&gt;&lt;/span&gt;ia&lt;span class="_ _7"&gt;&lt;/span&gt;l as&lt;span class="_ _7"&gt;&lt;/span&gt;s&lt;span class="_ _7"&gt;&lt;/span&gt;et&lt;span class="_ _7"&gt;&lt;/span&gt;s at am&lt;span class="_ _7"&gt;&lt;/span&gt;or&lt;span class="_ _7"&gt;&lt;/span&gt;t&lt;span class="_ _7"&gt;&lt;/span&gt;is&lt;span class="_ _7"&gt;&lt;/span&gt;ed c&lt;span class="_ _7"&gt;&lt;/span&gt;o&lt;span class="_ _7"&gt;&lt;/span&gt;st&lt;/span&gt;&lt;span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pr&lt;span class="_ _7"&gt;&lt;/span&gt;of&lt;span class="_ _7"&gt;&lt;/span&gt;it o&lt;span class="_ _7"&gt;&lt;/span&gt;r lo&lt;span class="_ _7"&gt;&lt;/span&gt;s&lt;span class="_ _7"&gt;&lt;/span&gt;s&lt;/span&gt;&lt;span style="display:inherit;clear:left;"&gt;• &lt;span class="_ _17"&gt; &lt;/span&gt;f&lt;span class="_ _7"&gt;&lt;/span&gt;in&lt;span class="_ _7"&gt;&lt;/span&gt;anc&lt;span class="_ _7"&gt;&lt;/span&gt;ia&lt;span class="_ _7"&gt;&lt;/span&gt;l as&lt;span class="_ _7"&gt;&lt;/span&gt;s&lt;span class="_ _7"&gt;&lt;/span&gt;et&lt;span class="_ _7"&gt;&lt;/span&gt;s at f&lt;span class="_ _7"&gt;&lt;/span&gt;air v&lt;span class="_ _7"&gt;&lt;/span&gt;alu&lt;span class="_ _7"&gt;&lt;/span&gt;e thr&lt;span class="_ _7"&gt;&lt;/span&gt;oug&lt;span class="_ _7"&gt;&lt;/span&gt;h oth&lt;span class="_ _7"&gt;&lt;/span&gt;er c&lt;span class="_ _7"&gt;&lt;/span&gt;om&lt;span class="_ _7"&gt;&lt;/span&gt;pr&lt;span class="_ _7"&gt;&lt;/span&gt;ehe&lt;span class="_ _7"&gt;&lt;/span&gt;ns&lt;span class="_ _7"&gt;&lt;/span&gt;iv&lt;span class="_ _7"&gt;&lt;/span&gt;e in&lt;span class="_ _7"&gt;&lt;/span&gt;com&lt;span class="_ _7"&gt;&lt;/span&gt;e&lt;/span&gt;&lt;span style="display:inherit;clear:left;"&gt;Convertible loan&lt;/span&gt;&lt;span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the c&lt;span class="_ _7"&gt;&lt;/span&gt;onve&lt;span class="_ _7"&gt;&lt;/span&gt;r&lt;span class="_ _7"&gt;&lt;/span&gt;ti&lt;span class="_ _7"&gt;&lt;/span&gt;ble l&lt;span class="_ _7"&gt;&lt;/span&gt;oa&lt;span class="_ _7"&gt;&lt;/span&gt;n rec&lt;span class="_ _7"&gt;&lt;/span&gt;ei&lt;span class="_ _7"&gt;&lt;/span&gt;va&lt;span class="_ _7"&gt;&lt;/span&gt;ble a&lt;span class="_ _7"&gt;&lt;/span&gt;s fi&lt;span class="_ _7"&gt;&lt;/span&gt;na&lt;span class="_ _7"&gt;&lt;/span&gt;n-&lt;/span&gt;&lt;span style="display:inherit;clear:left;"&gt;cia&lt;span class="_ _7"&gt;&lt;/span&gt;l as&lt;span class="_ _7"&gt;&lt;/span&gt;s&lt;span class="_ _7"&gt;&lt;/span&gt;et&lt;span class="_ _7"&gt;&lt;/span&gt;s at f&lt;span class="_ _7"&gt;&lt;/span&gt;air v&lt;span class="_ _7"&gt;&lt;/span&gt;alu&lt;span class="_ _7"&gt;&lt;/span&gt;e thr&lt;span class="_ _7"&gt;&lt;/span&gt;ou&lt;span class="_ _7"&gt;&lt;/span&gt;gh p&lt;span class="_ _7"&gt;&lt;/span&gt;rof&lt;span class="_ _7"&gt;&lt;/span&gt;i&lt;span class="_ _7"&gt;&lt;/span&gt;t or lo&lt;span class="_ _7"&gt;&lt;/span&gt;s&lt;span class="_ _7"&gt;&lt;/span&gt;s&lt;span class="_ _7"&gt;&lt;/span&gt;. Th&lt;span class="_ _7"&gt;&lt;/span&gt;e con&lt;span class="_ _7"&gt;&lt;/span&gt;ver&lt;span class="_ _7"&gt;&lt;/span&gt;ti&lt;span class="_ _7"&gt;&lt;/span&gt;bl&lt;span class="_ _7"&gt;&lt;/span&gt;e loa&lt;span class="_ _7"&gt;&lt;/span&gt;n &lt;/span&gt;&lt;span style="display:inherit;clear:left;"&gt;was i&lt;span class="_ _7"&gt;&lt;/span&gt;ni&lt;span class="_ _7"&gt;&lt;/span&gt;tia&lt;span class="_ _7"&gt;&lt;/span&gt;lly r&lt;span class="_ _7"&gt;&lt;/span&gt;ec&lt;span class="_ _7"&gt;&lt;/span&gt;ogn&lt;span class="_ _7"&gt;&lt;/span&gt;is&lt;span class="_ _7"&gt;&lt;/span&gt;e&lt;span class="_ _7"&gt;&lt;/span&gt;d at fa&lt;span class="_ _7"&gt;&lt;/span&gt;ir v&lt;span class="_ _7"&gt;&lt;/span&gt;alue&lt;span class="_ _7"&gt;&lt;/span&gt;. Th&lt;span class="_ _7"&gt;&lt;/span&gt;e co&lt;span class="_ _7"&gt;&lt;/span&gt;nver&lt;span class="_ _7"&gt;&lt;/span&gt;t&lt;span class="_ _7"&gt;&lt;/span&gt;ib&lt;span class="_ _7"&gt;&lt;/span&gt;le lo&lt;span class="_ _7"&gt;&lt;/span&gt;an re&lt;span class="_ _7"&gt;&lt;/span&gt;ce&lt;span class="_ _7"&gt;&lt;/span&gt;iv&lt;span class="_ _7"&gt;&lt;/span&gt;ab&lt;span class="_ _7"&gt;&lt;/span&gt;le &lt;/span&gt;&lt;span style="display:inherit;clear:left;"&gt;includes a&lt;span class="_ _2"&gt;&lt;/span&gt; conversion option, whic&lt;span class="_ _2"&gt;&lt;/span&gt;h provides the holder&lt;span class="_ _2"&gt;&lt;/span&gt; with a&lt;span class="_ _2"&gt;&lt;/span&gt; &lt;/span&gt;&lt;span style="display:inherit;clear:left;"&gt; &lt;span class="_ _1"&gt;&lt;/span&gt;po&lt;span class="_ _7"&gt;&lt;/span&gt;s&lt;span class="_ _7"&gt;&lt;/span&gt;s&lt;span class="_ _7"&gt;&lt;/span&gt;ibi&lt;span class="_ _7"&gt;&lt;/span&gt;lit&lt;span class="_ _7"&gt;&lt;/span&gt;y t&lt;span class="_ _7"&gt;&lt;/span&gt;o con&lt;span class="_ _7"&gt;&lt;/span&gt;ver&lt;span class="_ _7"&gt;&lt;/span&gt;t t&lt;span class="_ _7"&gt;&lt;/span&gt;he lo&lt;span class="_ _7"&gt;&lt;/span&gt;an b&lt;span class="_ _7"&gt;&lt;/span&gt;al&lt;span class="_ _7"&gt;&lt;/span&gt;an&lt;span class="_ _7"&gt;&lt;/span&gt;ce in&lt;span class="_ _7"&gt;&lt;/span&gt;to eq&lt;span class="_ _7"&gt;&lt;/span&gt;ui&lt;span class="_ _7"&gt;&lt;/span&gt;t&lt;span class="_ _7"&gt;&lt;/span&gt;y in&lt;span class="_ _7"&gt;&lt;/span&gt;st&lt;span class="_ _7"&gt;&lt;/span&gt;rum&lt;span class="_ _7"&gt;&lt;/span&gt;en&lt;span class="_ _7"&gt;&lt;/span&gt;ts&lt;span class="_ _7"&gt;&lt;/span&gt;, &lt;span class="ls3"&gt; &lt;/span&gt;&lt;/span&gt;&lt;span style="display:inherit;clear:left;"&gt;as s&lt;span class="_ _7"&gt;&lt;/span&gt;har&lt;span class="_ _7"&gt;&lt;/span&gt;e&lt;span class="_ _7"&gt;&lt;/span&gt;s in th&lt;span class="_ _7"&gt;&lt;/span&gt;e co&lt;span class="_ _7"&gt;&lt;/span&gt;mp&lt;span class="_ _7"&gt;&lt;/span&gt;any. Thi&lt;span class="_ _7"&gt;&lt;/span&gt;s re&lt;span class="_ _7"&gt;&lt;/span&gt;su&lt;span class="_ _7"&gt;&lt;/span&gt;lts i&lt;span class="_ _7"&gt;&lt;/span&gt;n sub&lt;span class="_ _7"&gt;&lt;/span&gt;s&lt;span class="_ _7"&gt;&lt;/span&gt;eq&lt;span class="_ _7"&gt;&lt;/span&gt;ue&lt;span class="_ _7"&gt;&lt;/span&gt;nt va&lt;span class="_ _7"&gt;&lt;/span&gt;lua&lt;span class="_ _7"&gt;&lt;/span&gt;tio&lt;span class="_ _7"&gt;&lt;/span&gt;n &lt;/span&gt;&lt;span style="display:inherit;clear:left;"&gt;ba&lt;span class="_ _7"&gt;&lt;/span&gt;se&lt;span class="_ _7"&gt;&lt;/span&gt;d on p&lt;span class="_ _7"&gt;&lt;/span&gt;rev&lt;span class="_ _7"&gt;&lt;/span&gt;ai&lt;span class="_ _7"&gt;&lt;/span&gt;ling m&lt;span class="_ _7"&gt;&lt;/span&gt;ar&lt;span class="_ _7"&gt;&lt;/span&gt;ket qu&lt;span class="_ _7"&gt;&lt;/span&gt;ot&lt;span class="_ _7"&gt;&lt;/span&gt;ati&lt;span class="_ _7"&gt;&lt;/span&gt;on&lt;span class="_ _7"&gt;&lt;/span&gt;s&lt;span class="_ _7"&gt;&lt;/span&gt;, whi&lt;span class="_ _7"&gt;&lt;/span&gt;ch en&lt;span class="_ _7"&gt;&lt;/span&gt;s&lt;span class="_ _7"&gt;&lt;/span&gt;ure&lt;span class="_ _7"&gt;&lt;/span&gt;s th&lt;span class="_ _7"&gt;&lt;/span&gt;at ch&lt;span class="_ _7"&gt;&lt;/span&gt;an&lt;span class="_ _7"&gt;&lt;/span&gt;ge&lt;span class="_ _7"&gt;&lt;/span&gt;s &lt;/span&gt;&lt;span style="display:inherit;clear:left;"&gt;in f&lt;span class="_ _7"&gt;&lt;/span&gt;air v&lt;span class="_ _7"&gt;&lt;/span&gt;alu&lt;span class="_ _7"&gt;&lt;/span&gt;e are c&lt;span class="_ _7"&gt;&lt;/span&gt;ont&lt;span class="_ _7"&gt;&lt;/span&gt;in&lt;span class="_ _7"&gt;&lt;/span&gt;uou&lt;span class="_ _7"&gt;&lt;/span&gt;sl&lt;span class="_ _7"&gt;&lt;/span&gt;y re&lt;span class="_ _7"&gt;&lt;/span&gt;cog&lt;span class="_ _7"&gt;&lt;/span&gt;ni&lt;span class="_ _7"&gt;&lt;/span&gt;se&lt;span class="_ _7"&gt;&lt;/span&gt;d in t&lt;span class="_ _7"&gt;&lt;/span&gt;he in&lt;span class="_ _7"&gt;&lt;/span&gt;co&lt;span class="_ _7"&gt;&lt;/span&gt;me s&lt;span class="_ _7"&gt;&lt;/span&gt;t&lt;span class="_ _7"&gt;&lt;/span&gt;ate&lt;span class="_ _7"&gt;&lt;/span&gt;men&lt;span class="_ _7"&gt;&lt;/span&gt;t. &lt;/span&gt;&lt;span style="display:inherit;clear:left;"&gt;Equity instr&lt;span class="_ _7"&gt;&lt;/span&gt;uments &lt;/span&gt;&lt;span style="display:inherit;clear:left;"&gt;Volvo Ca&lt;span class="_ _7"&gt;&lt;/span&gt;r Gro&lt;span class="_ _7"&gt;&lt;/span&gt;up i&lt;span class="_ _7"&gt;&lt;/span&gt;ncl&lt;span class="_ _7"&gt;&lt;/span&gt;ude&lt;span class="_ _7"&gt;&lt;/span&gt;s e&lt;span class="_ _7"&gt;&lt;/span&gt;qui&lt;span class="_ _7"&gt;&lt;/span&gt;t&lt;span class="_ _7"&gt;&lt;/span&gt;y in&lt;span class="_ _7"&gt;&lt;/span&gt;s&lt;span class="_ _7"&gt;&lt;/span&gt;tru&lt;span class="_ _7"&gt;&lt;/span&gt;me&lt;span class="_ _7"&gt;&lt;/span&gt;nt&lt;span class="_ _7"&gt;&lt;/span&gt;s as f&lt;span class="_ _7"&gt;&lt;/span&gt;in&lt;span class="_ _7"&gt;&lt;/span&gt;anc&lt;span class="_ _7"&gt;&lt;/span&gt;ia&lt;span class="_ _7"&gt;&lt;/span&gt;l as&lt;span class="_ _7"&gt;&lt;/span&gt;s&lt;span class="_ _7"&gt;&lt;/span&gt;et&lt;span class="_ _7"&gt;&lt;/span&gt;s at &lt;/span&gt;&lt;span style="display:inherit;clear:left;"&gt;fa&lt;span class="_ _7"&gt;&lt;/span&gt;ir va&lt;span class="_ _7"&gt;&lt;/span&gt;lue th&lt;span class="_ _7"&gt;&lt;/span&gt;ro&lt;span class="_ _7"&gt;&lt;/span&gt;ug&lt;span class="_ _7"&gt;&lt;/span&gt;h pro&lt;span class="_ _7"&gt;&lt;/span&gt;f&lt;span class="_ _7"&gt;&lt;/span&gt;it or l&lt;span class="_ _7"&gt;&lt;/span&gt;os&lt;span class="_ _7"&gt;&lt;/span&gt;s&lt;span class="_ _7"&gt;&lt;/span&gt;, wh&lt;span class="_ _7"&gt;&lt;/span&gt;ic&lt;span class="_ _7"&gt;&lt;/span&gt;h is c&lt;span class="_ _7"&gt;&lt;/span&gt;omp&lt;span class="_ _7"&gt;&lt;/span&gt;ri&lt;span class="_ _7"&gt;&lt;/span&gt;se&lt;span class="_ _7"&gt;&lt;/span&gt;d o&lt;span class="_ _7"&gt;&lt;/span&gt;f ho&lt;span class="_ _7"&gt;&lt;/span&gt;ldi&lt;span class="_ _7"&gt;&lt;/span&gt;ng&lt;span class="_ _7"&gt;&lt;/span&gt;s in &lt;/span&gt;&lt;span style="display:inherit;clear:left;"&gt;listed&lt;span class="_ _2"&gt;&lt;/span&gt; and unlisted&lt;span class="_ _2"&gt;&lt;/span&gt; equity instruments, un&lt;span class="_ _2"&gt;&lt;/span&gt;listed warran&lt;span class="_ _2"&gt;&lt;/span&gt;ts and earn&lt;span class="_ _2"&gt;&lt;/span&gt;-&lt;/span&gt;&lt;span style="display:inherit;clear:left;"&gt;out r&lt;span class="_ _7"&gt;&lt;/span&gt;ig&lt;span class="_ _7"&gt;&lt;/span&gt;ht&lt;span class="_ _7"&gt;&lt;/span&gt;s. Volvo C&lt;span class="_ _7"&gt;&lt;/span&gt;ar G&lt;span class="_ _7"&gt;&lt;/span&gt;ro&lt;span class="_ _7"&gt;&lt;/span&gt;up p&lt;span class="_ _7"&gt;&lt;/span&gt;re&lt;span class="_ _7"&gt;&lt;/span&gt;se&lt;span class="_ _7"&gt;&lt;/span&gt;nt&lt;span class="_ _7"&gt;&lt;/span&gt;s ch&lt;span class="_ _7"&gt;&lt;/span&gt;ang&lt;span class="_ _7"&gt;&lt;/span&gt;es i&lt;span class="_ _7"&gt;&lt;/span&gt;n fai&lt;span class="_ _7"&gt;&lt;/span&gt;r va&lt;span class="_ _7"&gt;&lt;/span&gt;lue o&lt;span class="_ _7"&gt;&lt;/span&gt;f eq&lt;span class="_ _7"&gt;&lt;/span&gt;uit&lt;span class="_ _7"&gt;&lt;/span&gt;y &lt;/span&gt;&lt;span style="display:inherit;clear:left;"&gt;in&lt;span class="_ _7"&gt;&lt;/span&gt;st&lt;span class="_ _7"&gt;&lt;/span&gt;rum&lt;span class="_ _7"&gt;&lt;/span&gt;en&lt;span class="_ _7"&gt;&lt;/span&gt;ts i&lt;span class="_ _7"&gt;&lt;/span&gt;n Sh&lt;span class="_ _7"&gt;&lt;/span&gt;are o&lt;span class="_ _7"&gt;&lt;/span&gt;f in&lt;span class="_ _7"&gt;&lt;/span&gt;co&lt;span class="_ _7"&gt;&lt;/span&gt;me in j&lt;span class="_ _7"&gt;&lt;/span&gt;oi&lt;span class="_ _7"&gt;&lt;/span&gt;nt ve&lt;span class="_ _7"&gt;&lt;/span&gt;ntu&lt;span class="_ _7"&gt;&lt;/span&gt;re&lt;span class="_ _7"&gt;&lt;/span&gt;s an&lt;span class="_ _7"&gt;&lt;/span&gt;d as&lt;span class="_ _7"&gt;&lt;/span&gt;s&lt;span class="_ _7"&gt;&lt;/span&gt;oci&lt;span class="_ _7"&gt;&lt;/span&gt;ate&lt;span class="_ _7"&gt;&lt;/span&gt;s an&lt;span class="_ _7"&gt;&lt;/span&gt;d &lt;/span&gt;&lt;span style="display:inherit;clear:left;"&gt;Other financial&lt;span class="_ _2"&gt;&lt;/span&gt; income and e&lt;span class="_ _2"&gt;&lt;/span&gt;xpense&lt;span class="_ _7"&gt;&lt;/span&gt;s.&lt;/span&gt;&lt;span style="display:inherit;clear:left;"&gt;Bank acceptanc&lt;span class="_ _7"&gt;&lt;/span&gt;e draf&lt;span class="_ _7"&gt;&lt;/span&gt;ts&lt;/span&gt;&lt;span style="display:inherit;clear:left;"&gt;Bank acceptance&lt;span class="_ _2"&gt;&lt;/span&gt; draf&lt;span class="_ _7"&gt;&lt;/span&gt;ts (BADs&lt;span class="_ _2"&gt;&lt;/span&gt;) are received&lt;span class="_ _2"&gt;&lt;/span&gt; primarily in connection&lt;span class="_ _2"&gt;&lt;/span&gt; &lt;/span&gt;&lt;span style="display:inherit;clear:left;"&gt;wit&lt;span class="_ _7"&gt;&lt;/span&gt;h ca&lt;span class="_ _7"&gt;&lt;/span&gt;r s&lt;span class="_ _7"&gt;&lt;/span&gt;ale&lt;span class="_ _7"&gt;&lt;/span&gt;s to de&lt;span class="_ _7"&gt;&lt;/span&gt;al&lt;span class="_ _7"&gt;&lt;/span&gt;er&lt;span class="_ _7"&gt;&lt;/span&gt;s in Ch&lt;span class="_ _7"&gt;&lt;/span&gt;in&lt;span class="_ _7"&gt;&lt;/span&gt;a an&lt;span class="_ _7"&gt;&lt;/span&gt;d rep&lt;span class="_ _7"&gt;&lt;/span&gt;re&lt;span class="_ _7"&gt;&lt;/span&gt;s&lt;span class="_ _7"&gt;&lt;/span&gt;ent a c&lt;span class="_ _7"&gt;&lt;/span&gt;om&lt;span class="_ _7"&gt;&lt;/span&gt;mo&lt;span class="_ _7"&gt;&lt;/span&gt;n for&lt;span class="_ _7"&gt;&lt;/span&gt;m of &lt;/span&gt;&lt;span style="display:inherit;clear:left;"&gt;pay&lt;span class="_ _7"&gt;&lt;/span&gt;me&lt;span class="_ _7"&gt;&lt;/span&gt;nt w&lt;span class="_ _7"&gt;&lt;/span&gt;ith&lt;span class="_ _7"&gt;&lt;/span&gt;in th&lt;span class="_ _7"&gt;&lt;/span&gt;e Chi&lt;span class="_ _7"&gt;&lt;/span&gt;ne&lt;span class="_ _7"&gt;&lt;/span&gt;s&lt;span class="_ _7"&gt;&lt;/span&gt;e mar&lt;span class="_ _7"&gt;&lt;/span&gt;ket&lt;span class="_ _7"&gt;&lt;/span&gt;. BAD&lt;span class="_ _7"&gt;&lt;/span&gt;s may b&lt;span class="_ _7"&gt;&lt;/span&gt;e he&lt;span class="_ _7"&gt;&lt;/span&gt;ld to m&lt;span class="_ _7"&gt;&lt;/span&gt;atu&lt;span class="_ _7"&gt;&lt;/span&gt;ri&lt;span class="_ _7"&gt;&lt;/span&gt;t&lt;span class="_ _7"&gt;&lt;/span&gt;y, &lt;/span&gt;&lt;span style="display:inherit;clear:left;"&gt;tr&lt;span class="_ _7"&gt;&lt;/span&gt;ade&lt;span class="_ _7"&gt;&lt;/span&gt;d&lt;span class="_ _7"&gt;&lt;/span&gt;, or re&lt;span class="_ _7"&gt;&lt;/span&gt;de&lt;span class="_ _7"&gt;&lt;/span&gt;em&lt;span class="_ _7"&gt;&lt;/span&gt;ed p&lt;span class="_ _7"&gt;&lt;/span&gt;ri&lt;span class="_ _7"&gt;&lt;/span&gt;or to m&lt;span class="_ _7"&gt;&lt;/span&gt;at&lt;span class="_ _7"&gt;&lt;/span&gt;uri&lt;span class="_ _7"&gt;&lt;/span&gt;t&lt;span class="_ _7"&gt;&lt;/span&gt;y at a di&lt;span class="_ _7"&gt;&lt;/span&gt;s&lt;span class="_ _7"&gt;&lt;/span&gt;co&lt;span class="_ _7"&gt;&lt;/span&gt;unt&lt;span class="_ _7"&gt;&lt;/span&gt;. Volvo Ca&lt;span class="_ _7"&gt;&lt;/span&gt;r&lt;span class="_ _7"&gt;&lt;/span&gt;s may &lt;/span&gt;&lt;span style="display:inherit;clear:left;"&gt;redeem these instruments before&lt;span class="_ _2"&gt;&lt;/span&gt; maturit&lt;span class="_ _7"&gt;&lt;/span&gt;y in&lt;span class="_ _2"&gt;&lt;/span&gt; order to accelerat&lt;span class="_ _2"&gt;&lt;/span&gt;e &lt;/span&gt;&lt;span style="display:inherit;clear:left;"&gt;ca&lt;span class="_ _7"&gt;&lt;/span&gt;sh i&lt;span class="_ _7"&gt;&lt;/span&gt;nf&lt;span class="_ _7"&gt;&lt;/span&gt;low&lt;span class="_ _7"&gt;&lt;/span&gt;s&lt;span class="_ _7"&gt;&lt;/span&gt;, acc&lt;span class="_ _7"&gt;&lt;/span&gt;ep&lt;span class="_ _7"&gt;&lt;/span&gt;ting a d&lt;span class="_ _7"&gt;&lt;/span&gt;is&lt;span class="_ _7"&gt;&lt;/span&gt;c&lt;span class="_ _7"&gt;&lt;/span&gt;oun&lt;span class="_ _7"&gt;&lt;/span&gt;t tha&lt;span class="_ _7"&gt;&lt;/span&gt;t re&lt;span class="_ _7"&gt;&lt;/span&gt;fl&lt;span class="_ _7"&gt;&lt;/span&gt;ec&lt;span class="_ _7"&gt;&lt;/span&gt;ts t&lt;span class="_ _7"&gt;&lt;/span&gt;he e&lt;span class="_ _7"&gt;&lt;/span&gt;arl&lt;span class="_ _7"&gt;&lt;/span&gt;y se&lt;span class="_ _7"&gt;&lt;/span&gt;tt&lt;span class="_ _7"&gt;&lt;/span&gt;le-&lt;/span&gt;&lt;span style="display:inherit;clear:left;"&gt;me&lt;span class="_ _7"&gt;&lt;/span&gt;nt. B&lt;span class="_ _7"&gt;&lt;/span&gt;ADs a&lt;span class="_ _7"&gt;&lt;/span&gt;re m&lt;span class="_ _7"&gt;&lt;/span&gt;ea&lt;span class="_ _7"&gt;&lt;/span&gt;sur&lt;span class="_ _7"&gt;&lt;/span&gt;ed a&lt;span class="_ _7"&gt;&lt;/span&gt;t fa&lt;span class="_ _7"&gt;&lt;/span&gt;ir va&lt;span class="_ _7"&gt;&lt;/span&gt;lue t&lt;span class="_ _7"&gt;&lt;/span&gt;hro&lt;span class="_ _7"&gt;&lt;/span&gt;ug&lt;span class="_ _7"&gt;&lt;/span&gt;h oth&lt;span class="_ _7"&gt;&lt;/span&gt;er c&lt;span class="_ _7"&gt;&lt;/span&gt;omp&lt;span class="_ _7"&gt;&lt;/span&gt;re&lt;span class="_ _7"&gt;&lt;/span&gt;he&lt;span class="_ _7"&gt;&lt;/span&gt;n-&lt;/span&gt;&lt;span style="display:inherit;clear:left;"&gt;si&lt;span class="_ _7"&gt;&lt;/span&gt;ve in&lt;span class="_ _7"&gt;&lt;/span&gt;co&lt;span class="_ _7"&gt;&lt;/span&gt;me. &lt;/span&gt;&lt;span style="display:inherit;clear:left;"&gt;Class&lt;span class="_ _7"&gt;&lt;/span&gt;ification of financial liabilities&lt;/span&gt;&lt;span style="display:inherit;clear:left;"&gt;Af&lt;span class="_ _7"&gt;&lt;/span&gt;ter i&lt;span class="_ _7"&gt;&lt;/span&gt;nit&lt;span class="_ _7"&gt;&lt;/span&gt;ia&lt;span class="_ _7"&gt;&lt;/span&gt;l re&lt;span class="_ _7"&gt;&lt;/span&gt;cog&lt;span class="_ _7"&gt;&lt;/span&gt;ni&lt;span class="_ _7"&gt;&lt;/span&gt;tio&lt;span class="_ _7"&gt;&lt;/span&gt;n al&lt;span class="_ _7"&gt;&lt;/span&gt;l fi&lt;span class="_ _7"&gt;&lt;/span&gt;nan&lt;span class="_ _7"&gt;&lt;/span&gt;ci&lt;span class="_ _7"&gt;&lt;/span&gt;al li&lt;span class="_ _7"&gt;&lt;/span&gt;ab&lt;span class="_ _7"&gt;&lt;/span&gt;ili&lt;span class="_ _7"&gt;&lt;/span&gt;tie&lt;span class="_ _7"&gt;&lt;/span&gt;s ar&lt;span class="_ _7"&gt;&lt;/span&gt;e c&lt;span class="_ _7"&gt;&lt;/span&gt;arr&lt;span class="_ _7"&gt;&lt;/span&gt;ie&lt;span class="_ _7"&gt;&lt;/span&gt;d at a&lt;span class="_ _7"&gt;&lt;/span&gt;mor-&lt;/span&gt;&lt;span style="display:inherit;clear:left;"&gt;tis&lt;span class="_ _7"&gt;&lt;/span&gt;e&lt;span class="_ _7"&gt;&lt;/span&gt;d co&lt;span class="_ _7"&gt;&lt;/span&gt;st u&lt;span class="_ _7"&gt;&lt;/span&gt;nd&lt;span class="_ _7"&gt;&lt;/span&gt;er th&lt;span class="_ _7"&gt;&lt;/span&gt;e ef&lt;span class="_ _9"&gt;&lt;/span&gt;fec&lt;span class="_ _7"&gt;&lt;/span&gt;ti&lt;span class="_ _7"&gt;&lt;/span&gt;ve in&lt;span class="_ _7"&gt;&lt;/span&gt;ter&lt;span class="_ _7"&gt;&lt;/span&gt;es&lt;span class="_ _7"&gt;&lt;/span&gt;t r&lt;span class="_ _7"&gt;&lt;/span&gt;ate m&lt;span class="_ _7"&gt;&lt;/span&gt;eth&lt;span class="_ _7"&gt;&lt;/span&gt;od&lt;span class="_ _7"&gt;&lt;/span&gt;, exce&lt;span class="_ _7"&gt;&lt;/span&gt;pt d&lt;span class="_ _7"&gt;&lt;/span&gt;eri&lt;span class="_ _7"&gt;&lt;/span&gt;va-&lt;/span&gt;&lt;span style="display:inherit;clear:left;"&gt;tiv&lt;span class="_ _7"&gt;&lt;/span&gt;es t&lt;span class="_ _7"&gt;&lt;/span&gt;hat c&lt;span class="_ _7"&gt;&lt;/span&gt;on&lt;span class="_ _7"&gt;&lt;/span&gt;s&lt;span class="_ _7"&gt;&lt;/span&gt;tit&lt;span class="_ _7"&gt;&lt;/span&gt;ute li&lt;span class="_ _7"&gt;&lt;/span&gt;ab&lt;span class="_ _7"&gt;&lt;/span&gt;ili&lt;span class="_ _7"&gt;&lt;/span&gt;tie&lt;span class="_ _7"&gt;&lt;/span&gt;s w&lt;span class="_ _7"&gt;&lt;/span&gt;hic&lt;span class="_ _7"&gt;&lt;/span&gt;h are m&lt;span class="_ _7"&gt;&lt;/span&gt;ea&lt;span class="_ _7"&gt;&lt;/span&gt;su&lt;span class="_ _7"&gt;&lt;/span&gt;re&lt;span class="_ _7"&gt;&lt;/span&gt;d at f&lt;span class="_ _7"&gt;&lt;/span&gt;air v&lt;span class="_ _7"&gt;&lt;/span&gt;alu&lt;span class="_ _7"&gt;&lt;/span&gt;e. &lt;/span&gt;&lt;span style="display:inherit;clear:left;"&gt;Sho&lt;span class="_ _7"&gt;&lt;/span&gt;r&lt;span class="_ _7"&gt;&lt;/span&gt;t&lt;span class="_ _2"&gt;&lt;/span&gt;-ter&lt;span class="_ _7"&gt;&lt;/span&gt;m fi&lt;span class="_ _7"&gt;&lt;/span&gt;nan&lt;span class="_ _7"&gt;&lt;/span&gt;ci&lt;span class="_ _7"&gt;&lt;/span&gt;al li&lt;span class="_ _7"&gt;&lt;/span&gt;ab&lt;span class="_ _7"&gt;&lt;/span&gt;ili&lt;span class="_ _7"&gt;&lt;/span&gt;tie&lt;span class="_ _7"&gt;&lt;/span&gt;s&lt;span class="_ _7"&gt;&lt;/span&gt;, in&lt;span class="_ _7"&gt;&lt;/span&gt;clu&lt;span class="_ _7"&gt;&lt;/span&gt;din&lt;span class="_ _7"&gt;&lt;/span&gt;g tr&lt;span class="_ _7"&gt;&lt;/span&gt;ad&lt;span class="_ _7"&gt;&lt;/span&gt;e pay&lt;span class="_ _7"&gt;&lt;/span&gt;abl&lt;span class="_ _7"&gt;&lt;/span&gt;es a&lt;span class="_ _7"&gt;&lt;/span&gt;nd o&lt;span class="_ _7"&gt;&lt;/span&gt;the&lt;span class="_ _7"&gt;&lt;/span&gt;r &lt;/span&gt;&lt;span style="display:inherit;clear:left;"&gt;ob&lt;span class="_ _7"&gt;&lt;/span&gt;lig&lt;span class="_ _7"&gt;&lt;/span&gt;ati&lt;span class="_ _7"&gt;&lt;/span&gt;on&lt;span class="_ _7"&gt;&lt;/span&gt;s due w&lt;span class="_ _7"&gt;&lt;/span&gt;it&lt;span class="_ _7"&gt;&lt;/span&gt;hin o&lt;span class="_ _7"&gt;&lt;/span&gt;ne ye&lt;span class="_ _7"&gt;&lt;/span&gt;ar, are t&lt;span class="_ _7"&gt;&lt;/span&gt;y&lt;span class="_ _7"&gt;&lt;/span&gt;pic&lt;span class="_ _7"&gt;&lt;/span&gt;al&lt;span class="_ _7"&gt;&lt;/span&gt;ly me&lt;span class="_ _7"&gt;&lt;/span&gt;as&lt;span class="_ _7"&gt;&lt;/span&gt;ur&lt;span class="_ _7"&gt;&lt;/span&gt;ed at t&lt;span class="_ _7"&gt;&lt;/span&gt;he&lt;span class="_ _7"&gt;&lt;/span&gt;ir n&lt;span class="_ _7"&gt;&lt;/span&gt;om-&lt;/span&gt;&lt;span style="display:inherit;clear:left;"&gt;ina&lt;span class="_ _7"&gt;&lt;/span&gt;l va&lt;span class="_ _7"&gt;&lt;/span&gt;lue&lt;span class="_ _7"&gt;&lt;/span&gt;. Gi&lt;span class="_ _7"&gt;&lt;/span&gt;ven th&lt;span class="_ _7"&gt;&lt;/span&gt;ei&lt;span class="_ _7"&gt;&lt;/span&gt;r sh&lt;span class="_ _7"&gt;&lt;/span&gt;or&lt;span class="_ _7"&gt;&lt;/span&gt;t m&lt;span class="_ _7"&gt;&lt;/span&gt;atu&lt;span class="_ _7"&gt;&lt;/span&gt;ri&lt;span class="_ _7"&gt;&lt;/span&gt;t&lt;span class="_ _7"&gt;&lt;/span&gt;y an&lt;span class="_ _7"&gt;&lt;/span&gt;d the a&lt;span class="_ _7"&gt;&lt;/span&gt;bs&lt;span class="_ _7"&gt;&lt;/span&gt;en&lt;span class="_ _7"&gt;&lt;/span&gt;ce o&lt;span class="_ _7"&gt;&lt;/span&gt;f sig&lt;span class="_ _7"&gt;&lt;/span&gt;ni&lt;span class="_ _7"&gt;&lt;/span&gt;f&lt;span class="_ _7"&gt;&lt;/span&gt;ic&lt;span class="_ _7"&gt;&lt;/span&gt;ant &lt;/span&gt;&lt;span style="display:inherit;clear:left;"&gt;interest components, the&lt;span class="_ _2"&gt;&lt;/span&gt; ef&lt;span class="_ _7"&gt;&lt;/span&gt;fect of discounting&lt;span class="_ _2"&gt;&lt;/span&gt; is considered imma&lt;span class="_ _2"&gt;&lt;/span&gt;&lt;span class="ls3 ws3"&gt;-&lt;/span&gt;&lt;/span&gt;&lt;span style="display:inherit;clear:left;"&gt;ter&lt;span class="_ _7"&gt;&lt;/span&gt;ia&lt;span class="_ _7"&gt;&lt;/span&gt;l. A&lt;span class="_ _7"&gt;&lt;/span&gt;s su&lt;span class="_ _7"&gt;&lt;/span&gt;ch&lt;span class="_ _7"&gt;&lt;/span&gt;, the n&lt;span class="_ _7"&gt;&lt;/span&gt;om&lt;span class="_ _7"&gt;&lt;/span&gt;in&lt;span class="_ _7"&gt;&lt;/span&gt;al am&lt;span class="_ _7"&gt;&lt;/span&gt;ou&lt;span class="_ _7"&gt;&lt;/span&gt;nt pr&lt;span class="_ _7"&gt;&lt;/span&gt;ov&lt;span class="_ _7"&gt;&lt;/span&gt;ide&lt;span class="_ _7"&gt;&lt;/span&gt;s a r&lt;span class="_ _7"&gt;&lt;/span&gt;eli&lt;span class="_ _7"&gt;&lt;/span&gt;ab&lt;span class="_ _7"&gt;&lt;/span&gt;le ap&lt;span class="_ _7"&gt;&lt;/span&gt;pr&lt;span class="_ _7"&gt;&lt;/span&gt;oxim&lt;span class="_ _7"&gt;&lt;/span&gt;a-&lt;/span&gt;&lt;span style="display:inherit;clear:left;"&gt;tio&lt;span class="_ _7"&gt;&lt;/span&gt;n of f&lt;span class="_ _7"&gt;&lt;/span&gt;ai&lt;span class="_ _7"&gt;&lt;/span&gt;r valu&lt;span class="_ _7"&gt;&lt;/span&gt;e fo&lt;span class="_ _7"&gt;&lt;/span&gt;r rep&lt;span class="_ _7"&gt;&lt;/span&gt;or&lt;span class="_ _9"&gt;&lt;/span&gt;ting p&lt;span class="_ _7"&gt;&lt;/span&gt;ur&lt;span class="_ _7"&gt;&lt;/span&gt;po&lt;span class="_ _7"&gt;&lt;/span&gt;se&lt;span class="_ _7"&gt;&lt;/span&gt;s&lt;span class="_ _7"&gt;&lt;/span&gt;.&lt;/span&gt;&lt;span style="display:inherit;clear:left;"&gt;Fin&lt;span class="_ _7"&gt;&lt;/span&gt;an&lt;span class="_ _7"&gt;&lt;/span&gt;cia&lt;span class="_ _7"&gt;&lt;/span&gt;l li&lt;span class="_ _7"&gt;&lt;/span&gt;abi&lt;span class="_ _7"&gt;&lt;/span&gt;lit&lt;span class="_ _7"&gt;&lt;/span&gt;ie&lt;span class="_ _7"&gt;&lt;/span&gt;s th&lt;span class="_ _7"&gt;&lt;/span&gt;at ar&lt;span class="_ _7"&gt;&lt;/span&gt;e de&lt;span class="_ _7"&gt;&lt;/span&gt;si&lt;span class="_ _7"&gt;&lt;/span&gt;gn&lt;span class="_ _7"&gt;&lt;/span&gt;ate&lt;span class="_ _7"&gt;&lt;/span&gt;d as h&lt;span class="_ _7"&gt;&lt;/span&gt;edg&lt;span class="_ _7"&gt;&lt;/span&gt;ed i&lt;span class="_ _7"&gt;&lt;/span&gt;tem&lt;span class="_ _7"&gt;&lt;/span&gt;s in f&lt;span class="_ _7"&gt;&lt;/span&gt;ai&lt;span class="_ _7"&gt;&lt;/span&gt;r &lt;/span&gt;&lt;span style="display:inherit;clear:left;"&gt;val&lt;span class="_ _7"&gt;&lt;/span&gt;ue he&lt;span class="_ _7"&gt;&lt;/span&gt;dg&lt;span class="_ _7"&gt;&lt;/span&gt;es a&lt;span class="_ _7"&gt;&lt;/span&gt;re re&lt;span class="_ _7"&gt;&lt;/span&gt;me&lt;span class="_ _7"&gt;&lt;/span&gt;as&lt;span class="_ _7"&gt;&lt;/span&gt;ur&lt;span class="_ _7"&gt;&lt;/span&gt;ed at f&lt;span class="_ _7"&gt;&lt;/span&gt;ai&lt;span class="_ _7"&gt;&lt;/span&gt;r va&lt;span class="_ _7"&gt;&lt;/span&gt;lue c&lt;span class="_ _7"&gt;&lt;/span&gt;onc&lt;span class="_ _7"&gt;&lt;/span&gt;er&lt;span class="_ _7"&gt;&lt;/span&gt;ni&lt;span class="_ _7"&gt;&lt;/span&gt;ng th&lt;span class="_ _7"&gt;&lt;/span&gt;e he&lt;span class="_ _7"&gt;&lt;/span&gt;dge&lt;span class="_ _7"&gt;&lt;/span&gt;d &lt;/span&gt;&lt;span style="display:inherit;clear:left;"&gt;risk throu&lt;span class="_ _2"&gt;&lt;/span&gt;ghout the hedgin&lt;span class="_ _2"&gt;&lt;/span&gt;g relationship period. &lt;/span&gt;&lt;span style="display:inherit;clear:left;"&gt;Pay&lt;span class="_ _2"&gt;&lt;/span&gt;ables under supplier&lt;span class="_ _2"&gt;&lt;/span&gt; financing program&lt;span class="_ _2"&gt;&lt;/span&gt;mes&lt;/span&gt;&lt;span style="display:inherit;clear:left;"&gt;Liabilities arisin&lt;span class="_ _2"&gt;&lt;/span&gt;g under supplier financi&lt;span class="_ _2"&gt;&lt;/span&gt;ng programmes are classi&lt;span class="ls3 ws3"&gt;-&lt;/span&gt;&lt;/span&gt;&lt;span style="display:inherit;clear:left;"&gt;fi&lt;span class="_</t>
  </si>
  <si>
    <t>f1__s8__6__163-1</t>
  </si>
  <si>
    <t>ifrs-full:DescriptionOfAccountingPolicyForDerivativeFinancialInstrumentsExplanatory</t>
  </si>
  <si>
    <t>f1__s8__6__169</t>
  </si>
  <si>
    <t>ifrs-full:DescriptionOfAccountingPolicyForFairValueMeasurementExplanatory</t>
  </si>
  <si>
    <t>&lt;span style="display:inherit;clear:left;"&gt;Convertible loan&lt;/span&gt;&lt;span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the c&lt;span class="_ _7"&gt;&lt;/span&gt;onve&lt;span class="_ _7"&gt;&lt;/span&gt;r&lt;span class="_ _7"&gt;&lt;/span&gt;ti&lt;span class="_ _7"&gt;&lt;/span&gt;ble l&lt;span class="_ _7"&gt;&lt;/span&gt;oa&lt;span class="_ _7"&gt;&lt;/span&gt;n rec&lt;span class="_ _7"&gt;&lt;/span&gt;ei&lt;span class="_ _7"&gt;&lt;/span&gt;va&lt;span class="_ _7"&gt;&lt;/span&gt;ble a&lt;span class="_ _7"&gt;&lt;/span&gt;s fi&lt;span class="_ _7"&gt;&lt;/span&gt;na&lt;span class="_ _7"&gt;&lt;/span&gt;n-&lt;/span&gt;&lt;span style="display:inherit;clear:left;"&gt;cia&lt;span class="_ _7"&gt;&lt;/span&gt;l as&lt;span class="_ _7"&gt;&lt;/span&gt;s&lt;span class="_ _7"&gt;&lt;/span&gt;et&lt;span class="_ _7"&gt;&lt;/span&gt;s at f&lt;span class="_ _7"&gt;&lt;/span&gt;air v&lt;span class="_ _7"&gt;&lt;/span&gt;alu&lt;span class="_ _7"&gt;&lt;/span&gt;e thr&lt;span class="_ _7"&gt;&lt;/span&gt;ou&lt;span class="_ _7"&gt;&lt;/span&gt;gh p&lt;span class="_ _7"&gt;&lt;/span&gt;rof&lt;span class="_ _7"&gt;&lt;/span&gt;i&lt;span class="_ _7"&gt;&lt;/span&gt;t or lo&lt;span class="_ _7"&gt;&lt;/span&gt;s&lt;span class="_ _7"&gt;&lt;/span&gt;s&lt;span class="_ _7"&gt;&lt;/span&gt;. Th&lt;span class="_ _7"&gt;&lt;/span&gt;e con&lt;span class="_ _7"&gt;&lt;/span&gt;ver&lt;span class="_ _7"&gt;&lt;/span&gt;ti&lt;span class="_ _7"&gt;&lt;/span&gt;bl&lt;span class="_ _7"&gt;&lt;/span&gt;e loa&lt;span class="_ _7"&gt;&lt;/span&gt;n &lt;/span&gt;&lt;span style="display:inherit;clear:left;"&gt;was i&lt;span class="_ _7"&gt;&lt;/span&gt;ni&lt;span class="_ _7"&gt;&lt;/span&gt;tia&lt;span class="_ _7"&gt;&lt;/span&gt;lly r&lt;span class="_ _7"&gt;&lt;/span&gt;ec&lt;span class="_ _7"&gt;&lt;/span&gt;ogn&lt;span class="_ _7"&gt;&lt;/span&gt;is&lt;span class="_ _7"&gt;&lt;/span&gt;e&lt;span class="_ _7"&gt;&lt;/span&gt;d at fa&lt;span class="_ _7"&gt;&lt;/span&gt;ir v&lt;span class="_ _7"&gt;&lt;/span&gt;alue&lt;span class="_ _7"&gt;&lt;/span&gt;. Th&lt;span class="_ _7"&gt;&lt;/span&gt;e co&lt;span class="_ _7"&gt;&lt;/span&gt;nver&lt;span class="_ _7"&gt;&lt;/span&gt;t&lt;span class="_ _7"&gt;&lt;/span&gt;ib&lt;span class="_ _7"&gt;&lt;/span&gt;le lo&lt;span class="_ _7"&gt;&lt;/span&gt;an re&lt;span class="_ _7"&gt;&lt;/span&gt;ce&lt;span class="_ _7"&gt;&lt;/span&gt;iv&lt;span class="_ _7"&gt;&lt;/span&gt;ab&lt;span class="_ _7"&gt;&lt;/span&gt;le &lt;/span&gt;&lt;span style="display:inherit;clear:left;"&gt;includes a&lt;span class="_ _2"&gt;&lt;/span&gt; conversion option, whic&lt;span class="_ _2"&gt;&lt;/span&gt;h provides the holder&lt;span class="_ _2"&gt;&lt;/span&gt; with a&lt;span class="_ _2"&gt;&lt;/span&gt; &lt;/span&gt;&lt;span style="display:inherit;clear:left;"&gt; &lt;span class="_ _1"&gt;&lt;/span&gt;po&lt;span class="_ _7"&gt;&lt;/span&gt;s&lt;span class="_ _7"&gt;&lt;/span&gt;s&lt;span class="_ _7"&gt;&lt;/span&gt;ibi&lt;span class="_ _7"&gt;&lt;/span&gt;lit&lt;span class="_ _7"&gt;&lt;/span&gt;y t&lt;span class="_ _7"&gt;&lt;/span&gt;o con&lt;span class="_ _7"&gt;&lt;/span&gt;ver&lt;span class="_ _7"&gt;&lt;/span&gt;t t&lt;span class="_ _7"&gt;&lt;/span&gt;he lo&lt;span class="_ _7"&gt;&lt;/span&gt;an b&lt;span class="_ _7"&gt;&lt;/span&gt;al&lt;span class="_ _7"&gt;&lt;/span&gt;an&lt;span class="_ _7"&gt;&lt;/span&gt;ce in&lt;span class="_ _7"&gt;&lt;/span&gt;to eq&lt;span class="_ _7"&gt;&lt;/span&gt;ui&lt;span class="_ _7"&gt;&lt;/span&gt;t&lt;span class="_ _7"&gt;&lt;/span&gt;y in&lt;span class="_ _7"&gt;&lt;/span&gt;st&lt;span class="_ _7"&gt;&lt;/span&gt;rum&lt;span class="_ _7"&gt;&lt;/span&gt;en&lt;span class="_ _7"&gt;&lt;/span&gt;ts&lt;span class="_ _7"&gt;&lt;/span&gt;, &lt;span class="ls3"&gt; &lt;/span&gt;&lt;/span&gt;&lt;span style="display:inherit;clear:left;"&gt;as s&lt;span class="_ _7"&gt;&lt;/span&gt;har&lt;span class="_ _7"&gt;&lt;/span&gt;e&lt;span class="_ _7"&gt;&lt;/span&gt;s in th&lt;span class="_ _7"&gt;&lt;/span&gt;e co&lt;span class="_ _7"&gt;&lt;/span&gt;mp&lt;span class="_ _7"&gt;&lt;/span&gt;any. Thi&lt;span class="_ _7"&gt;&lt;/span&gt;s re&lt;span class="_ _7"&gt;&lt;/span&gt;su&lt;span class="_ _7"&gt;&lt;/span&gt;lts i&lt;span class="_ _7"&gt;&lt;/span&gt;n sub&lt;span class="_ _7"&gt;&lt;/span&gt;s&lt;span class="_ _7"&gt;&lt;/span&gt;eq&lt;span class="_ _7"&gt;&lt;/span&gt;ue&lt;span class="_ _7"&gt;&lt;/span&gt;nt va&lt;span class="_ _7"&gt;&lt;/span&gt;lua&lt;span class="_ _7"&gt;&lt;/span&gt;tio&lt;span class="_ _7"&gt;&lt;/span&gt;n &lt;/span&gt;&lt;span style="display:inherit;clear:left;"&gt;ba&lt;span class="_ _7"&gt;&lt;/span&gt;se&lt;span class="_ _7"&gt;&lt;/span&gt;d on p&lt;span class="_ _7"&gt;&lt;/span&gt;rev&lt;span class="_ _7"&gt;&lt;/span&gt;ai&lt;span class="_ _7"&gt;&lt;/span&gt;ling m&lt;span class="_ _7"&gt;&lt;/span&gt;ar&lt;span class="_ _7"&gt;&lt;/span&gt;ket qu&lt;span class="_ _7"&gt;&lt;/span&gt;ot&lt;span class="_ _7"&gt;&lt;/span&gt;ati&lt;span class="_ _7"&gt;&lt;/span&gt;on&lt;span class="_ _7"&gt;&lt;/span&gt;s&lt;span class="_ _7"&gt;&lt;/span&gt;, whi&lt;span class="_ _7"&gt;&lt;/span&gt;ch en&lt;span class="_ _7"&gt;&lt;/span&gt;s&lt;span class="_ _7"&gt;&lt;/span&gt;ure&lt;span class="_ _7"&gt;&lt;/span&gt;s th&lt;span class="_ _7"&gt;&lt;/span&gt;at ch&lt;span class="_ _7"&gt;&lt;/span&gt;an&lt;span class="_ _7"&gt;&lt;/span&gt;ge&lt;span class="_ _7"&gt;&lt;/span&gt;s &lt;/span&gt;&lt;span style="display:inherit;clear:left;"&gt;in f&lt;span class="_ _7"&gt;&lt;/span&gt;air v&lt;span class="_ _7"&gt;&lt;/span&gt;alu&lt;span class="_ _7"&gt;&lt;/span&gt;e are c&lt;span class="_ _7"&gt;&lt;/span&gt;ont&lt;span class="_ _7"&gt;&lt;/span&gt;in&lt;span class="_ _7"&gt;&lt;/span&gt;uou&lt;span class="_ _7"&gt;&lt;/span&gt;sl&lt;span class="_ _7"&gt;&lt;/span&gt;y re&lt;span class="_ _7"&gt;&lt;/span&gt;cog&lt;span class="_ _7"&gt;&lt;/span&gt;ni&lt;span class="_ _7"&gt;&lt;/span&gt;se&lt;span class="_ _7"&gt;&lt;/span&gt;d in t&lt;span class="_ _7"&gt;&lt;/span&gt;he in&lt;span class="_ _7"&gt;&lt;/span&gt;co&lt;span class="_ _7"&gt;&lt;/span&gt;me s&lt;span class="_ _7"&gt;&lt;/span&gt;t&lt;span class="_ _7"&gt;&lt;/span&gt;ate&lt;span class="_ _7"&gt;&lt;/span&gt;men&lt;span class="_ _7"&gt;&lt;/span&gt;t. &lt;/span&gt;&lt;span style="display:inherit;clear:left;"&gt;Equity instr&lt;span class="_ _7"&gt;&lt;/span&gt;uments &lt;/span&gt;&lt;span style="display:inherit;clear:left;"&gt;Volvo Ca&lt;span class="_ _7"&gt;&lt;/span&gt;r Gro&lt;span class="_ _7"&gt;&lt;/span&gt;up i&lt;span class="_ _7"&gt;&lt;/span&gt;ncl&lt;span class="_ _7"&gt;&lt;/span&gt;ude&lt;span class="_ _7"&gt;&lt;/span&gt;s e&lt;span class="_ _7"&gt;&lt;/span&gt;qui&lt;span class="_ _7"&gt;&lt;/span&gt;t&lt;span class="_ _7"&gt;&lt;/span&gt;y in&lt;span class="_ _7"&gt;&lt;/span&gt;s&lt;span class="_ _7"&gt;&lt;/span&gt;tru&lt;span class="_ _7"&gt;&lt;/span&gt;me&lt;span class="_ _7"&gt;&lt;/span&gt;nt&lt;span class="_ _7"&gt;&lt;/span&gt;s as f&lt;span class="_ _7"&gt;&lt;/span&gt;in&lt;span class="_ _7"&gt;&lt;/span&gt;anc&lt;span class="_ _7"&gt;&lt;/span&gt;ia&lt;span class="_ _7"&gt;&lt;/span&gt;l as&lt;span class="_ _7"&gt;&lt;/span&gt;s&lt;span class="_ _7"&gt;&lt;/span&gt;et&lt;span class="_ _7"&gt;&lt;/span&gt;s at &lt;/span&gt;&lt;span style="display:inherit;clear:left;"&gt;fa&lt;span class="_ _7"&gt;&lt;/span&gt;ir va&lt;span class="_ _7"&gt;&lt;/span&gt;lue th&lt;span class="_ _7"&gt;&lt;/span&gt;ro&lt;span class="_ _7"&gt;&lt;/span&gt;ug&lt;span class="_ _7"&gt;&lt;/span&gt;h pro&lt;span class="_ _7"&gt;&lt;/span&gt;f&lt;span class="_ _7"&gt;&lt;/span&gt;it or l&lt;span class="_ _7"&gt;&lt;/span&gt;os&lt;span class="_ _7"&gt;&lt;/span&gt;s&lt;span class="_ _7"&gt;&lt;/span&gt;, wh&lt;span class="_ _7"&gt;&lt;/span&gt;ic&lt;span class="_ _7"&gt;&lt;/span&gt;h is c&lt;span class="_ _7"&gt;&lt;/span&gt;omp&lt;span class="_ _7"&gt;&lt;/span&gt;ri&lt;span class="_ _7"&gt;&lt;/span&gt;se&lt;span class="_ _7"&gt;&lt;/span&gt;d o&lt;span class="_ _7"&gt;&lt;/span&gt;f ho&lt;span class="_ _7"&gt;&lt;/span&gt;ldi&lt;span class="_ _7"&gt;&lt;/span&gt;ng&lt;span class="_ _7"&gt;&lt;/span&gt;s in &lt;/span&gt;&lt;span style="display:inherit;clear:left;"&gt;listed&lt;span class="_ _2"&gt;&lt;/span&gt; and unlisted&lt;span class="_ _2"&gt;&lt;/span&gt; equity instruments, un&lt;span class="_ _2"&gt;&lt;/span&gt;listed warran&lt;span class="_ _2"&gt;&lt;/span&gt;ts and earn&lt;span class="_ _2"&gt;&lt;/span&gt;-&lt;/span&gt;&lt;span style="display:inherit;clear:left;"&gt;out r&lt;span class="_ _7"&gt;&lt;/span&gt;ig&lt;span class="_ _7"&gt;&lt;/span&gt;ht&lt;span class="_ _7"&gt;&lt;/span&gt;s. Volvo C&lt;span class="_ _7"&gt;&lt;/span&gt;ar G&lt;span class="_ _7"&gt;&lt;/span&gt;ro&lt;span class="_ _7"&gt;&lt;/span&gt;up p&lt;span class="_ _7"&gt;&lt;/span&gt;re&lt;span class="_ _7"&gt;&lt;/span&gt;se&lt;span class="_ _7"&gt;&lt;/span&gt;nt&lt;span class="_ _7"&gt;&lt;/span&gt;s ch&lt;span class="_ _7"&gt;&lt;/span&gt;ang&lt;span class="_ _7"&gt;&lt;/span&gt;es i&lt;span class="_ _7"&gt;&lt;/span&gt;n fai&lt;span class="_ _7"&gt;&lt;/span&gt;r va&lt;span class="_ _7"&gt;&lt;/span&gt;lue o&lt;span class="_ _7"&gt;&lt;/span&gt;f eq&lt;span class="_ _7"&gt;&lt;/span&gt;uit&lt;span class="_ _7"&gt;&lt;/span&gt;y &lt;/span&gt;&lt;span style="display:inherit;clear:left;"&gt;in&lt;span class="_ _7"&gt;&lt;/span&gt;st&lt;span class="_ _7"&gt;&lt;/span&gt;rum&lt;span class="_ _7"&gt;&lt;/span&gt;en&lt;span class="_ _7"&gt;&lt;/span&gt;ts i&lt;span class="_ _7"&gt;&lt;/span&gt;n Sh&lt;span class="_ _7"&gt;&lt;/span&gt;are o&lt;span class="_ _7"&gt;&lt;/span&gt;f in&lt;span class="_ _7"&gt;&lt;/span&gt;co&lt;span class="_ _7"&gt;&lt;/span&gt;me in j&lt;span class="_ _7"&gt;&lt;/span&gt;oi&lt;span class="_ _7"&gt;&lt;/span&gt;nt ve&lt;span class="_ _7"&gt;&lt;/span&gt;ntu&lt;span class="_ _7"&gt;&lt;/span&gt;re&lt;span class="_ _7"&gt;&lt;/span&gt;s an&lt;span class="_ _7"&gt;&lt;/span&gt;d as&lt;span class="_ _7"&gt;&lt;/span&gt;s&lt;span class="_ _7"&gt;&lt;/span&gt;oci&lt;span class="_ _7"&gt;&lt;/span&gt;ate&lt;span class="_ _7"&gt;&lt;/span&gt;s an&lt;span class="_ _7"&gt;&lt;/span&gt;d &lt;/span&gt;&lt;span style="display:inherit;clear:left;"&gt;Other financial&lt;span class="_ _2"&gt;&lt;/span&gt; income and e&lt;span class="_ _2"&gt;&lt;/span&gt;xpense&lt;span class="_ _7"&gt;&lt;/span&gt;s.&lt;/span&gt;&lt;span style="display:inherit;clear:left;"&gt;Bank acceptanc&lt;span class="_ _7"&gt;&lt;/span&gt;e draf&lt;span class="_ _7"&gt;&lt;/span&gt;ts&lt;/span&gt;&lt;span style="display:inherit;clear:left;"&gt;Bank acceptance&lt;span class="_ _2"&gt;&lt;/span&gt; draf&lt;span class="_ _7"&gt;&lt;/span&gt;ts (BADs&lt;span class="_ _2"&gt;&lt;/span&gt;) are received&lt;span class="_ _2"&gt;&lt;/span&gt; primarily in connection&lt;span class="_ _2"&gt;&lt;/span&gt; &lt;/span&gt;&lt;span style="display:inherit;clear:left;"&gt;wit&lt;span class="_ _7"&gt;&lt;/span&gt;h ca&lt;span class="_ _7"&gt;&lt;/span&gt;r s&lt;span class="_ _7"&gt;&lt;/span&gt;ale&lt;span class="_ _7"&gt;&lt;/span&gt;s to de&lt;span class="_ _7"&gt;&lt;/span&gt;al&lt;span class="_ _7"&gt;&lt;/span&gt;er&lt;span class="_ _7"&gt;&lt;/span&gt;s in Ch&lt;span class="_ _7"&gt;&lt;/span&gt;in&lt;span class="_ _7"&gt;&lt;/span&gt;a an&lt;span class="_ _7"&gt;&lt;/span&gt;d rep&lt;span class="_ _7"&gt;&lt;/span&gt;re&lt;span class="_ _7"&gt;&lt;/span&gt;s&lt;span class="_ _7"&gt;&lt;/span&gt;ent a c&lt;span class="_ _7"&gt;&lt;/span&gt;om&lt;span class="_ _7"&gt;&lt;/span&gt;mo&lt;span class="_ _7"&gt;&lt;/span&gt;n for&lt;span class="_ _7"&gt;&lt;/span&gt;m of &lt;/span&gt;&lt;span style="display:inherit;clear:left;"&gt;pay&lt;span class="_ _7"&gt;&lt;/span&gt;me&lt;span class="_ _7"&gt;&lt;/span&gt;nt w&lt;span class="_ _7"&gt;&lt;/span&gt;ith&lt;span class="_ _7"&gt;&lt;/span&gt;in th&lt;span class="_ _7"&gt;&lt;/span&gt;e Chi&lt;span class="_ _7"&gt;&lt;/span&gt;ne&lt;span class="_ _7"&gt;&lt;/span&gt;s&lt;span class="_ _7"&gt;&lt;/span&gt;e mar&lt;span class="_ _7"&gt;&lt;/span&gt;ket&lt;span class="_ _7"&gt;&lt;/span&gt;. BAD&lt;span class="_ _7"&gt;&lt;/span&gt;s may b&lt;span class="_ _7"&gt;&lt;/span&gt;e he&lt;span class="_ _7"&gt;&lt;/span&gt;ld to m&lt;span class="_ _7"&gt;&lt;/span&gt;atu&lt;span class="_ _7"&gt;&lt;/span&gt;ri&lt;span class="_ _7"&gt;&lt;/span&gt;t&lt;span class="_ _7"&gt;&lt;/span&gt;y, &lt;/span&gt;&lt;span style="display:inherit;clear:left;"&gt;tr&lt;span class="_ _7"&gt;&lt;/span&gt;ade&lt;span class="_ _7"&gt;&lt;/span&gt;d&lt;span class="_ _7"&gt;&lt;/span&gt;, or re&lt;span class="_ _7"&gt;&lt;/span&gt;de&lt;span class="_ _7"&gt;&lt;/span&gt;em&lt;span class="_ _7"&gt;&lt;/span&gt;ed p&lt;span class="_ _7"&gt;&lt;/span&gt;ri&lt;span class="_ _7"&gt;&lt;/span&gt;or to m&lt;span class="_ _7"&gt;&lt;/span&gt;at&lt;span class="_ _7"&gt;&lt;/span&gt;uri&lt;span class="_ _7"&gt;&lt;/span&gt;t&lt;span class="_ _7"&gt;&lt;/span&gt;y at a di&lt;span class="_ _7"&gt;&lt;/span&gt;s&lt;span class="_ _7"&gt;&lt;/span&gt;co&lt;span class="_ _7"&gt;&lt;/span&gt;unt&lt;span class="_ _7"&gt;&lt;/span&gt;. Volvo Ca&lt;span class="_ _7"&gt;&lt;/span&gt;r&lt;span class="_ _7"&gt;&lt;/span&gt;s may &lt;/span&gt;&lt;span style="display:inherit;clear:left;"&gt;redeem these instruments before&lt;span class="_ _2"&gt;&lt;/span&gt; maturit&lt;span class="_ _7"&gt;&lt;/span&gt;y in&lt;span class="_ _2"&gt;&lt;/span&gt; order to accelerat&lt;span class="_ _2"&gt;&lt;/span&gt;e &lt;/span&gt;&lt;span style="display:inherit;clear:left;"&gt;ca&lt;span class="_ _7"&gt;&lt;/span&gt;sh i&lt;span class="_ _7"&gt;&lt;/span&gt;nf&lt;span class="_ _7"&gt;&lt;/span&gt;low&lt;span class="_ _7"&gt;&lt;/span&gt;s&lt;span class="_ _7"&gt;&lt;/span&gt;, acc&lt;span class="_ _7"&gt;&lt;/span&gt;ep&lt;span class="_ _7"&gt;&lt;/span&gt;ting a d&lt;span class="_ _7"&gt;&lt;/span&gt;is&lt;span class="_ _7"&gt;&lt;/span&gt;c&lt;span class="_ _7"&gt;&lt;/span&gt;oun&lt;span class="_ _7"&gt;&lt;/span&gt;t tha&lt;span class="_ _7"&gt;&lt;/span&gt;t re&lt;span class="_ _7"&gt;&lt;/span&gt;fl&lt;span class="_ _7"&gt;&lt;/span&gt;ec&lt;span class="_ _7"&gt;&lt;/span&gt;ts t&lt;span class="_ _7"&gt;&lt;/span&gt;he e&lt;span class="_ _7"&gt;&lt;/span&gt;arl&lt;span class="_ _7"&gt;&lt;/span&gt;y se&lt;span class="_ _7"&gt;&lt;/span&gt;tt&lt;span class="_ _7"&gt;&lt;/span&gt;le-&lt;/span&gt;&lt;span style="display:inherit;clear:left;"&gt;me&lt;span class="_ _7"&gt;&lt;/span&gt;nt. B&lt;span class="_ _7"&gt;&lt;/span&gt;ADs a&lt;span class="_ _7"&gt;&lt;/span&gt;re m&lt;span class="_ _7"&gt;&lt;/span&gt;ea&lt;span class="_ _7"&gt;&lt;/span&gt;sur&lt;span class="_ _7"&gt;&lt;/span&gt;ed a&lt;span class="_ _7"&gt;&lt;/span&gt;t fa&lt;span class="_ _7"&gt;&lt;/span&gt;ir va&lt;span class="_ _7"&gt;&lt;/span&gt;lue t&lt;span class="_ _7"&gt;&lt;/span&gt;hro&lt;span class="_ _7"&gt;&lt;/span&gt;ug&lt;span class="_ _7"&gt;&lt;/span&gt;h oth&lt;span class="_ _7"&gt;&lt;/span&gt;er c&lt;span class="_ _7"&gt;&lt;/span&gt;omp&lt;span class="_ _7"&gt;&lt;/span&gt;re&lt;span class="_ _7"&gt;&lt;/span&gt;he&lt;span class="_ _7"&gt;&lt;/span&gt;n-&lt;/span&gt;&lt;span style="display:inherit;clear:left;"&gt;si&lt;span class="_ _7"&gt;&lt;/span&gt;ve in&lt;span class="_ _7"&gt;&lt;/span&gt;co&lt;span class="_ _7"&gt;&lt;/span&gt;me. &lt;/span&gt;&lt;span style="display:inherit;clear:left;"&gt;Class&lt;span class="_ _7"&gt;&lt;/span&gt;ification of financial liabilities&lt;/span&gt;&lt;span style="display:inherit;clear:left;"&gt;Af&lt;span class="_ _7"&gt;&lt;/span&gt;ter i&lt;span class="_ _7"&gt;&lt;/span&gt;nit&lt;span class="_ _7"&gt;&lt;/span&gt;ia&lt;span class="_ _7"&gt;&lt;/span&gt;l re&lt;span class="_ _7"&gt;&lt;/span&gt;cog&lt;span class="_ _7"&gt;&lt;/span&gt;ni&lt;span class="_ _7"&gt;&lt;/span&gt;tio&lt;span class="_ _7"&gt;&lt;/span&gt;n al&lt;span class="_ _7"&gt;&lt;/span&gt;l fi&lt;span class="_ _7"&gt;&lt;/span&gt;nan&lt;span class="_ _7"&gt;&lt;/span&gt;ci&lt;span class="_ _7"&gt;&lt;/span&gt;al li&lt;span class="_ _7"&gt;&lt;/span&gt;ab&lt;span class="_ _7"&gt;&lt;/span&gt;ili&lt;span class="_ _7"&gt;&lt;/span&gt;tie&lt;span class="_ _7"&gt;&lt;/span&gt;s ar&lt;span class="_ _7"&gt;&lt;/span&gt;e c&lt;span class="_ _7"&gt;&lt;/span&gt;arr&lt;span class="_ _7"&gt;&lt;/span&gt;ie&lt;span class="_ _7"&gt;&lt;/span&gt;d at a&lt;span class="_ _7"&gt;&lt;/span&gt;mor-&lt;/span&gt;&lt;span style="display:inherit;clear:left;"&gt;tis&lt;span class="_ _7"&gt;&lt;/span&gt;e&lt;span class="_ _7"&gt;&lt;/span&gt;d co&lt;span class="_ _7"&gt;&lt;/span&gt;st u&lt;span class="_ _7"&gt;&lt;/span&gt;nd&lt;span class="_ _7"&gt;&lt;/span&gt;er th&lt;span class="_ _7"&gt;&lt;/span&gt;e ef&lt;span class="_ _9"&gt;&lt;/span&gt;fec&lt;span class="_ _7"&gt;&lt;/span&gt;ti&lt;span class="_ _7"&gt;&lt;/span&gt;ve in&lt;span class="_ _7"&gt;&lt;/span&gt;ter&lt;span class="_ _7"&gt;&lt;/span&gt;es&lt;span class="_ _7"&gt;&lt;/span&gt;t r&lt;span class="_ _7"&gt;&lt;/span&gt;ate m&lt;span class="_ _7"&gt;&lt;/span&gt;eth&lt;span class="_ _7"&gt;&lt;/span&gt;od&lt;span class="_ _7"&gt;&lt;/span&gt;, exce&lt;span class="_ _7"&gt;&lt;/span&gt;pt d&lt;span class="_ _7"&gt;&lt;/span&gt;eri&lt;span class="_ _7"&gt;&lt;/span&gt;va-&lt;/span&gt;&lt;span style="display:inherit;clear:left;"&gt;tiv&lt;span class="_ _7"&gt;&lt;/span&gt;es t&lt;span class="_ _7"&gt;&lt;/span&gt;hat c&lt;span class="_ _7"&gt;&lt;/span&gt;on&lt;span class="_ _7"&gt;&lt;/span&gt;s&lt;span class="_ _7"&gt;&lt;/span&gt;tit&lt;span class="_ _7"&gt;&lt;/span&gt;ute li&lt;span class="_ _7"&gt;&lt;/span&gt;ab&lt;span class="_ _7"&gt;&lt;/span&gt;ili&lt;span class="_ _7"&gt;&lt;/span&gt;tie&lt;span class="_ _7"&gt;&lt;/span&gt;s w&lt;span class="_ _7"&gt;&lt;/span&gt;hic&lt;span class="_ _7"&gt;&lt;/span&gt;h are m&lt;span class="_ _7"&gt;&lt;/span&gt;ea&lt;span class="_ _7"&gt;&lt;/span&gt;su&lt;span class="_ _7"&gt;&lt;/span&gt;re&lt;span class="_ _7"&gt;&lt;/span&gt;d at f&lt;span class="_ _7"&gt;&lt;/span&gt;air v&lt;span class="_ _7"&gt;&lt;/span&gt;alu&lt;span class="_ _7"&gt;&lt;/span&gt;e. &lt;/span&gt;&lt;span style="display:inherit;clear:left;"&gt;Sho&lt;span class="_ _7"&gt;&lt;/span&gt;r&lt;span class="_ _7"&gt;&lt;/span&gt;t&lt;span class="_ _2"&gt;&lt;/span&gt;-ter&lt;span class="_ _7"&gt;&lt;/span&gt;m fi&lt;span class="_ _7"&gt;&lt;/span&gt;nan&lt;span class="_ _7"&gt;&lt;/span&gt;ci&lt;span class="_ _7"&gt;&lt;/span&gt;al li&lt;span class="_ _7"&gt;&lt;/span&gt;ab&lt;span class="_ _7"&gt;&lt;/span&gt;ili&lt;span class="_ _7"&gt;&lt;/span&gt;tie&lt;span class="_ _7"&gt;&lt;/span&gt;s&lt;span class="_ _7"&gt;&lt;/span&gt;, in&lt;span class="_ _7"&gt;&lt;/span&gt;clu&lt;span class="_ _7"&gt;&lt;/span&gt;din&lt;span class="_ _7"&gt;&lt;/span&gt;g tr&lt;span class="_ _7"&gt;&lt;/span&gt;ad&lt;span class="_ _7"&gt;&lt;/span&gt;e pay&lt;span class="_ _7"&gt;&lt;/span&gt;abl&lt;span class="_ _7"&gt;&lt;/span&gt;es a&lt;span class="_ _7"&gt;&lt;/span&gt;nd o&lt;span class="_ _7"&gt;&lt;/span&gt;the&lt;span class="_ _7"&gt;&lt;/span&gt;r &lt;/span&gt;&lt;span style="display:inherit;clear:left;"&gt;ob&lt;span class="_ _7"&gt;&lt;/span&gt;lig&lt;span class="_ _7"&gt;&lt;/span&gt;ati&lt;span class="_ _7"&gt;&lt;/span&gt;on&lt;span class="_ _7"&gt;&lt;/span&gt;s due w&lt;span class="_ _7"&gt;&lt;/span&gt;it&lt;span class="_ _7"&gt;&lt;/span&gt;hin o&lt;span class="_ _7"&gt;&lt;/span&gt;ne ye&lt;span class="_ _7"&gt;&lt;/span&gt;ar, are t&lt;span class="_ _7"&gt;&lt;/span&gt;y&lt;span class="_ _7"&gt;&lt;/span&gt;pic&lt;span class="_ _7"&gt;&lt;/span&gt;al&lt;span class="_ _7"&gt;&lt;/span&gt;ly me&lt;span class="_ _7"&gt;&lt;/span&gt;as&lt;span class="_ _7"&gt;&lt;/span&gt;ur&lt;span class="_ _7"&gt;&lt;/span&gt;ed at t&lt;span class="_ _7"&gt;&lt;/span&gt;he&lt;span class="_ _7"&gt;&lt;/span&gt;ir n&lt;span class="_ _7"&gt;&lt;/span&gt;om-&lt;/span&gt;&lt;span style="display:inherit;clear:left;"&gt;ina&lt;span class="_ _7"&gt;&lt;/span&gt;l va&lt;span class="_ _7"&gt;&lt;/span&gt;lue&lt;span class="_ _7"&gt;&lt;/span&gt;. Gi&lt;span class="_ _7"&gt;&lt;/span&gt;ven th&lt;span class="_ _7"&gt;&lt;/span&gt;ei&lt;span class="_ _7"&gt;&lt;/span&gt;r sh&lt;span class="_ _7"&gt;&lt;/span&gt;or&lt;span class="_ _7"&gt;&lt;/span&gt;t m&lt;span class="_ _7"&gt;&lt;/span&gt;atu&lt;span class="_ _7"&gt;&lt;/span&gt;ri&lt;span class="_ _7"&gt;&lt;/span&gt;t&lt;span class="_ _7"&gt;&lt;/span&gt;y an&lt;span class="_ _7"&gt;&lt;/span&gt;d the a&lt;span class="_ _7"&gt;&lt;/span&gt;bs&lt;span class="_ _7"&gt;&lt;/span&gt;en&lt;span class="_ _7"&gt;&lt;/span&gt;ce o&lt;span class="_ _7"&gt;&lt;/span&gt;f sig&lt;span class="_ _7"&gt;&lt;/span&gt;ni&lt;span class="_ _7"&gt;&lt;/span&gt;f&lt;span class="_ _7"&gt;&lt;/span&gt;ic&lt;span class="_ _7"&gt;&lt;/span&gt;ant &lt;/span&gt;&lt;span style="display:inherit;clear:left;"&gt;interest components, the&lt;span class="_ _2"&gt;&lt;/span&gt; ef&lt;span class="_ _7"&gt;&lt;/span&gt;fect of discounting&lt;span class="_ _2"&gt;&lt;/span&gt; is considered imma&lt;span class="_ _2"&gt;&lt;/span&gt;&lt;span class="ls3 ws3"&gt;-&lt;/span&gt;&lt;/span&gt;&lt;span style="display:inherit;clear:left;"&gt;ter&lt;span class="_ _7"&gt;&lt;/span&gt;ia&lt;span class="_ _7"&gt;&lt;/span&gt;l. A&lt;span class="_ _7"&gt;&lt;/span&gt;s su&lt;span class="_ _7"&gt;&lt;/span&gt;ch&lt;span class="_ _7"&gt;&lt;/span&gt;, the n&lt;span class="_ _7"&gt;&lt;/span&gt;om&lt;span class="_ _7"&gt;&lt;/span&gt;in&lt;span class="_ _7"&gt;&lt;/span&gt;al am&lt;span class="_ _7"&gt;&lt;/span&gt;ou&lt;span class="_ _7"&gt;&lt;/span&gt;nt pr&lt;span class="_ _7"&gt;&lt;/span&gt;ov&lt;span class="_ _7"&gt;&lt;/span&gt;ide&lt;span class="_ _7"&gt;&lt;/span&gt;s a r&lt;span class="_ _7"&gt;&lt;/span&gt;eli&lt;span class="_ _7"&gt;&lt;/span&gt;ab&lt;span class="_ _7"&gt;&lt;/span&gt;le ap&lt;span class="_ _7"&gt;&lt;/span&gt;pr&lt;span class="_ _7"&gt;&lt;/span&gt;oxim&lt;span class="_ _7"&gt;&lt;/span&gt;a-&lt;/span&gt;&lt;span style="display:inherit;clear:left;"&gt;tio&lt;span class="_ _7"&gt;&lt;/span&gt;n of f&lt;span class="_ _7"&gt;&lt;/span&gt;ai&lt;span class="_ _7"&gt;&lt;/span&gt;r valu&lt;span class="_ _7"&gt;&lt;/span&gt;e fo&lt;span class="_ _7"&gt;&lt;/span&gt;r rep&lt;span class="_ _7"&gt;&lt;/span&gt;or&lt;span class="_ _9"&gt;&lt;/span&gt;ting p&lt;span class="_ _7"&gt;&lt;/span&gt;ur&lt;span class="_ _7"&gt;&lt;/span&gt;po&lt;span class="_ _7"&gt;&lt;/span&gt;se&lt;span class="_ _7"&gt;&lt;/span&gt;s&lt;span class="_ _7"&gt;&lt;/span&gt;.&lt;/span&gt;&lt;span style="display:inherit;clear:left;"&gt;Fin&lt;span class="_ _7"&gt;&lt;/span&gt;an&lt;span class="_ _7"&gt;&lt;/span&gt;cia&lt;span class="_ _7"&gt;&lt;/span&gt;l li&lt;span class="_ _7"&gt;&lt;/span&gt;abi&lt;span class="_ _7"&gt;&lt;/span&gt;lit&lt;span class="_ _7"&gt;&lt;/span&gt;ie&lt;span class="_ _7"&gt;&lt;/span&gt;s th&lt;span class="_ _7"&gt;&lt;/span&gt;at ar&lt;span class="_ _7"&gt;&lt;/span&gt;e de&lt;span class="_ _7"&gt;&lt;/span&gt;si&lt;span class="_ _7"&gt;&lt;/span&gt;gn&lt;span class="_ _7"&gt;&lt;/span&gt;ate&lt;span class="_ _7"&gt;&lt;/span&gt;d as h&lt;span class="_ _7"&gt;&lt;/span&gt;edg&lt;span class="_ _7"&gt;&lt;/span&gt;ed i&lt;span class="_ _7"&gt;&lt;/span&gt;tem&lt;span class="_ _7"&gt;&lt;/span&gt;s in f&lt;span class="_ _7"&gt;&lt;/span&gt;ai&lt;span class="_ _7"&gt;&lt;/span&gt;r &lt;/span&gt;&lt;span style="display:inherit;clear:left;"&gt;val&lt;span class="_ _7"&gt;&lt;/span&gt;ue he&lt;span class="_ _7"&gt;&lt;/span&gt;dg&lt;span class="_ _7"&gt;&lt;/span&gt;es a&lt;span class="_ _7"&gt;&lt;/span&gt;re re&lt;span class="_ _7"&gt;&lt;/span&gt;me&lt;span class="_ _7"&gt;&lt;/span&gt;as&lt;span class="_ _7"&gt;&lt;/span&gt;ur&lt;span class="_ _7"&gt;&lt;/span&gt;ed at f&lt;span class="_ _7"&gt;&lt;/span&gt;ai&lt;span class="_ _7"&gt;&lt;/span&gt;r va&lt;span class="_ _7"&gt;&lt;/span&gt;lue c&lt;span class="_ _7"&gt;&lt;/span&gt;onc&lt;span class="_ _7"&gt;&lt;/span&gt;er&lt;span class="_ _7"&gt;&lt;/span&gt;ni&lt;span class="_ _7"&gt;&lt;/span&gt;ng th&lt;span class="_ _7"&gt;&lt;/span&gt;e he&lt;span class="_ _7"&gt;&lt;/span&gt;dge&lt;span class="_ _7"&gt;&lt;/span&gt;d &lt;/span&gt;&lt;span style="display:inherit;clear:left;"&gt;risk throu&lt;span class="_ _2"&gt;&lt;/span&gt;ghout the hedgin&lt;span class="_ _2"&gt;&lt;/span&gt;g relationship period. &lt;/span&gt;&lt;span style="display:inherit;clear:left;"&gt;Pay&lt;span class="_ _2"&gt;&lt;/span&gt;ables under supplier&lt;span class="_ _2"&gt;&lt;/span&gt; financing program&lt;span class="_ _2"&gt;&lt;/span&gt;mes&lt;/span&gt;&lt;span style="display:inherit;clear:left;"&gt;Liabilities arisin&lt;span class="_ _2"&gt;&lt;/span&gt;g under supplier financi&lt;span class="_ _2"&gt;&lt;/span&gt;ng programmes are classi&lt;span class="ls3 ws3"&gt;-&lt;/span&gt;&lt;/span&gt;&lt;span style="display:inherit;clear:left;"&gt;fi&lt;span class="_ _7"&gt;&lt;/span&gt;ed b&lt;span class="_ _7"&gt;&lt;/span&gt;as&lt;span class="_ _7"&gt;&lt;/span&gt;e&lt;span class="_ _7"&gt;&lt;/span&gt;d on th&lt;span class="_ _7"&gt;&lt;/span&gt;ei&lt;span class="_ _7"&gt;&lt;/span&gt;r con&lt;span class="_ _7"&gt;&lt;/span&gt;tr&lt;span class="_ _7"&gt;&lt;/span&gt;ac&lt;span class="_ _7"&gt;&lt;/span&gt;tua&lt;span class="_ _7"&gt;&lt;/span&gt;l su&lt;span class="_ _7"&gt;&lt;/span&gt;bs&lt;span class="_ _7"&gt;&lt;/span&gt;t&lt;span class="_ _7"&gt;&lt;/span&gt;anc&lt;span class="_ _7"&gt;&lt;/span&gt;e at i&lt;span class="_ _7"&gt;&lt;/span&gt;nit&lt;span class="_ _7"&gt;&lt;/span&gt;ial r&lt;span class="_ _7"&gt;&lt;/span&gt;ec&lt;span class="_ _7"&gt;&lt;/span&gt;og&lt;span class="_ _7"&gt;&lt;/span&gt;ni&lt;span class="_ _7"&gt;&lt;/span&gt;tio&lt;span class="_ _7"&gt;&lt;/span&gt;n.  &lt;/span&gt;&lt;span style="display:inherit;clear:left;"&gt;Ce&lt;span class="_ _7"&gt;&lt;/span&gt;r&lt;span class="_ _7"&gt;&lt;/span&gt;ta&lt;span class="_ _7"&gt;&lt;/span&gt;in b&lt;span class="_ _7"&gt;&lt;/span&gt;al&lt;span class="_ _7"&gt;&lt;/span&gt;anc&lt;span class="_ _7"&gt;&lt;/span&gt;e&lt;span class="_ _7"&gt;&lt;/span&gt;s are r&lt;span class="_ _7"&gt;&lt;/span&gt;ec&lt;span class="_ _7"&gt;&lt;/span&gt;og&lt;span class="_ _7"&gt;&lt;/span&gt;ni&lt;span class="_ _7"&gt;&lt;/span&gt;se&lt;span class="_ _7"&gt;&lt;/span&gt;d an&lt;span class="_ _7"&gt;&lt;/span&gt;d pr&lt;span class="_ _7"&gt;&lt;/span&gt;es&lt;span class="_ _7"&gt;&lt;/span&gt;en&lt;span class="_ _7"&gt;&lt;/span&gt;ted a&lt;span class="_ _7"&gt;&lt;/span&gt;s Acc&lt;span class="_ _7"&gt;&lt;/span&gt;ou&lt;span class="_ _7"&gt;&lt;/span&gt;nt&lt;span class="_ _7"&gt;&lt;/span&gt;s pay&lt;span class="_ _7"&gt;&lt;/span&gt;a-&lt;/span&gt;&lt;span style="display:inherit;clear:left;"&gt;ble&lt;span class="_ _7"&gt;&lt;/span&gt;, wh&lt;span class="_ _7"&gt;&lt;/span&gt;ile ot&lt;span class="_ _7"&gt;&lt;/span&gt;he&lt;span class="_ _7"&gt;&lt;/span&gt;r ba&lt;span class="_ _7"&gt;&lt;/span&gt;la&lt;span class="_ _7"&gt;&lt;/span&gt;nc&lt;span class="_ _7"&gt;&lt;/span&gt;es a&lt;span class="_ _7"&gt;&lt;/span&gt;re in&lt;span class="_ _7"&gt;&lt;/span&gt;iti&lt;span class="_ _7"&gt;&lt;/span&gt;al&lt;span class="_ _7"&gt;&lt;/span&gt;ly re&lt;span class="_ _7"&gt;&lt;/span&gt;cog&lt;span class="_ _7"&gt;&lt;/span&gt;ni&lt;span class="_ _7"&gt;&lt;/span&gt;s&lt;span class="_ _7"&gt;&lt;/span&gt;ed an&lt;span class="_ _7"&gt;&lt;/span&gt;d pr&lt;span class="_ _7"&gt;&lt;/span&gt;e&lt;span class="_ _7"&gt;&lt;/span&gt;se&lt;span class="_ _7"&gt;&lt;/span&gt;nte&lt;span class="_ _7"&gt;&lt;/span&gt;d as &lt;/span&gt;&lt;span style="display:inherit;clear:left;"&gt;Ot&lt;span class="_ _7"&gt;&lt;/span&gt;he&lt;span class="_ _7"&gt;&lt;/span&gt;r cur&lt;span class="_ _7"&gt;&lt;/span&gt;re&lt;span class="_ _7"&gt;&lt;/span&gt;nt li&lt;span class="_ _7"&gt;&lt;/span&gt;abi&lt;span class="_ _7"&gt;&lt;/span&gt;lit&lt;span class="_ _7"&gt;&lt;/span&gt;ie&lt;span class="_ _7"&gt;&lt;/span&gt;s&lt;span class="_ _7"&gt;&lt;/span&gt;. Th&lt;span class="_ _7"&gt;&lt;/span&gt;e pro&lt;span class="_ _7"&gt;&lt;/span&gt;gr&lt;span class="_ _7"&gt;&lt;/span&gt;am&lt;span class="_ _7"&gt;&lt;/span&gt;me&lt;span class="_ _7"&gt;&lt;/span&gt;s do n&lt;span class="_ _7"&gt;&lt;/span&gt;ot re&lt;span class="_ _7"&gt;&lt;/span&gt;s&lt;span class="_ _7"&gt;&lt;/span&gt;ult in d&lt;span class="_ _7"&gt;&lt;/span&gt;er&lt;span class="_ _7"&gt;&lt;/span&gt;ec&lt;span class="_ _7"&gt;&lt;/span&gt;og-&lt;/span&gt;&lt;span style="display:inherit;clear:left;"&gt;nition of the liabili&lt;span class="_ _7"&gt;&lt;/span&gt;ties&lt;span class="_ _7"&gt;&lt;/span&gt;.&lt;/span&gt;&lt;span style="display:inherit;clear:left;"&gt;Derivat&lt;span class="_ _2"&gt;&lt;/span&gt;ives&lt;/span&gt;&lt;span style="display:inherit;clear:left;"&gt;De&lt;span class="_ _7"&gt;&lt;/span&gt;ri&lt;span class="_ _7"&gt;&lt;/span&gt;vat&lt;span class="_ _7"&gt;&lt;/span&gt;ive&lt;span class="_ _7"&gt;&lt;/span&gt;s wi&lt;span class="_ _7"&gt;&lt;/span&gt;th p&lt;span class="_ _7"&gt;&lt;/span&gt;os&lt;span class="_ _7"&gt;&lt;/span&gt;it&lt;span class="_ _7"&gt;&lt;/span&gt;ive f&lt;span class="_ _7"&gt;&lt;/span&gt;ai&lt;span class="_ _7"&gt;&lt;/span&gt;r valu&lt;span class="_ _7"&gt;&lt;/span&gt;e&lt;span class="_ _7"&gt;&lt;/span&gt;s, r&lt;span class="_ _7"&gt;&lt;/span&gt;ep&lt;span class="_ _7"&gt;&lt;/span&gt;re&lt;span class="_ _7"&gt;&lt;/span&gt;se&lt;span class="_ _7"&gt;&lt;/span&gt;nti&lt;span class="_ _7"&gt;&lt;/span&gt;ng th&lt;span class="_ _7"&gt;&lt;/span&gt;e ac&lt;span class="_ _7"&gt;&lt;/span&gt;cum&lt;span class="_ _7"&gt;&lt;/span&gt;ul&lt;span class="_ _7"&gt;&lt;/span&gt;ate&lt;span class="_ _7"&gt;&lt;/span&gt;d &lt;/span&gt;&lt;span style="display:inherit;clear:left;"&gt;unr&lt;span class="_ _7"&gt;&lt;/span&gt;ea&lt;span class="_ _7"&gt;&lt;/span&gt;lis&lt;span class="_ _7"&gt;&lt;/span&gt;e&lt;span class="_ _7"&gt;&lt;/span&gt;d ga&lt;span class="_ _7"&gt;&lt;/span&gt;in&lt;span class="_ _7"&gt;&lt;/span&gt;s, a&lt;span class="_ _7"&gt;&lt;/span&gt;re r&lt;span class="_ _7"&gt;&lt;/span&gt;ec&lt;span class="_ _7"&gt;&lt;/span&gt;og&lt;span class="_ _7"&gt;&lt;/span&gt;nis&lt;span class="_ _7"&gt;&lt;/span&gt;e&lt;span class="_ _7"&gt;&lt;/span&gt;d as N&lt;span class="_ _7"&gt;&lt;/span&gt;on-cu&lt;span class="_ _7"&gt;&lt;/span&gt;rre&lt;span class="_ _7"&gt;&lt;/span&gt;nt o&lt;span class="_ _7"&gt;&lt;/span&gt;r Cur&lt;span class="_ _7"&gt;&lt;/span&gt;re&lt;span class="_ _7"&gt;&lt;/span&gt;nt de&lt;span class="_ _7"&gt;&lt;/span&gt;ri&lt;span class="_ _7"&gt;&lt;/span&gt;va-&lt;/span&gt;&lt;span style="display:inherit;clear:left;"&gt;tiv&lt;span class="_ _7"&gt;&lt;/span&gt;e as&lt;span class="_ _7"&gt;&lt;/span&gt;s&lt;span class="_ _7"&gt;&lt;/span&gt;et&lt;span class="_ _7"&gt;&lt;/span&gt;s&lt;span class="_ _7"&gt;&lt;/span&gt;. Co&lt;span class="_ _7"&gt;&lt;/span&gt;nver&lt;span class="_ _7"&gt;&lt;/span&gt;s&lt;span class="_ _7"&gt;&lt;/span&gt;ely, de&lt;span class="_ _7"&gt;&lt;/span&gt;ri&lt;span class="_ _7"&gt;&lt;/span&gt;vat&lt;span class="_ _7"&gt;&lt;/span&gt;ive&lt;span class="_ _7"&gt;&lt;/span&gt;s w&lt;span class="_ _7"&gt;&lt;/span&gt;ith n&lt;span class="_ _7"&gt;&lt;/span&gt;eg&lt;span class="_ _7"&gt;&lt;/span&gt;ati&lt;span class="_ _7"&gt;&lt;/span&gt;ve f&lt;span class="_ _7"&gt;&lt;/span&gt;air v&lt;span class="_ _7"&gt;&lt;/span&gt;alu&lt;span class="_ _7"&gt;&lt;/span&gt;es&lt;span class="_ _7"&gt;&lt;/span&gt;, re&lt;span class="_ _7"&gt;&lt;/span&gt;pr&lt;span class="_ _7"&gt;&lt;/span&gt;e-&lt;/span&gt;&lt;span style="display:inherit;clear:left;"&gt;se&lt;span class="_ _7"&gt;&lt;/span&gt;nti&lt;span class="_ _7"&gt;&lt;/span&gt;ng th&lt;span class="_ _7"&gt;&lt;/span&gt;e acc&lt;span class="_ _7"&gt;&lt;/span&gt;um&lt;span class="_ _7"&gt;&lt;/span&gt;ul&lt;span class="_ _7"&gt;&lt;/span&gt;ate&lt;span class="_ _7"&gt;&lt;/span&gt;d unr&lt;span class="_ _7"&gt;&lt;/span&gt;ea&lt;span class="_ _7"&gt;&lt;/span&gt;lis&lt;span class="_ _7"&gt;&lt;/span&gt;e&lt;span class="_ _7"&gt;&lt;/span&gt;d lo&lt;span class="_ _7"&gt;&lt;/span&gt;s&lt;span class="_ _7"&gt;&lt;/span&gt;se&lt;span class="_ _7"&gt;&lt;/span&gt;s&lt;span class="_ _7"&gt;&lt;/span&gt;, are r&lt;span class="_ _7"&gt;&lt;/span&gt;ec&lt;span class="_ _7"&gt;&lt;/span&gt;og&lt;span class="_ _7"&gt;&lt;/span&gt;ni&lt;span class="_ _7"&gt;&lt;/span&gt;se&lt;span class="_ _7"&gt;&lt;/span&gt;d as  &lt;/span&gt;&lt;span style="display:inherit;clear:left;"&gt;Non-&lt;span class="_ _2"&gt;&lt;/span&gt; &lt;span class="_ _b3"&gt;&lt;/span&gt;current or&lt;span class="_ _2"&gt;&lt;/span&gt; Current derivative&lt;span class="_ _2"&gt;&lt;/span&gt; liabilities. &lt;/span&gt;&lt;span style="display:inherit;clear:left;"&gt;Rea&lt;span class="_ _7"&gt;&lt;/span&gt;lis&lt;span class="_ _7"&gt;&lt;/span&gt;e&lt;span class="_ _7"&gt;&lt;/span&gt;d an&lt;span class="_ _7"&gt;&lt;/span&gt;d unr&lt;span class="_ _7"&gt;&lt;/span&gt;ea&lt;span class="_ _7"&gt;&lt;/span&gt;lis&lt;span class="_ _7"&gt;&lt;/span&gt;e&lt;span class="_ _7"&gt;&lt;/span&gt;d ga&lt;span class="_ _7"&gt;&lt;/span&gt;in&lt;span class="_ _7"&gt;&lt;/span&gt;s and l&lt;span class="_ _7"&gt;&lt;/span&gt;os&lt;span class="_ _7"&gt;&lt;/span&gt;s&lt;span class="_ _7"&gt;&lt;/span&gt;e&lt;span class="_ _7"&gt;&lt;/span&gt;s fr&lt;span class="_ _7"&gt;&lt;/span&gt;om f&lt;span class="_ _7"&gt;&lt;/span&gt;luc&lt;span class="_ _7"&gt;&lt;/span&gt;tu&lt;span class="_ _7"&gt;&lt;/span&gt;ati&lt;span class="_ _7"&gt;&lt;/span&gt;on i&lt;span class="_ _7"&gt;&lt;/span&gt;n fai&lt;span class="_ _7"&gt;&lt;/span&gt;r &lt;/span&gt;&lt;span style="display:inherit;clear:left;"&gt;val&lt;span class="_ _7"&gt;&lt;/span&gt;ue of t&lt;span class="_ _7"&gt;&lt;/span&gt;he&lt;span class="_ _7"&gt;&lt;/span&gt;s&lt;span class="_ _7"&gt;&lt;/span&gt;e ins&lt;span class="_ _7"&gt;&lt;/span&gt;tr&lt;span class="_ _7"&gt;&lt;/span&gt;um&lt;span class="_ _7"&gt;&lt;/span&gt;en&lt;span class="_ _7"&gt;&lt;/span&gt;ts a&lt;span class="_ _7"&gt;&lt;/span&gt;re re&lt;span class="_ _7"&gt;&lt;/span&gt;co&lt;span class="_ _7"&gt;&lt;/span&gt;gn&lt;span class="_ _7"&gt;&lt;/span&gt;is&lt;span class="_ _7"&gt;&lt;/span&gt;ed i&lt;span class="_ _7"&gt;&lt;/span&gt;n th&lt;span class="_ _7"&gt;&lt;/span&gt;e inc&lt;span class="_ _7"&gt;&lt;/span&gt;om&lt;span class="_ _7"&gt;&lt;/span&gt;e st&lt;span class="_ _7"&gt;&lt;/span&gt;at&lt;span class="_ _7"&gt;&lt;/span&gt;eme&lt;span class="_ _7"&gt;&lt;/span&gt;nt&lt;span class="_ _7"&gt;&lt;/span&gt;. &lt;/span&gt;&lt;span style="display:inherit;clear:left;"&gt;Th&lt;span class="_ _7"&gt;&lt;/span&gt;e rea&lt;span class="_ _7"&gt;&lt;/span&gt;li&lt;span class="_ _7"&gt;&lt;/span&gt;se&lt;span class="_ _7"&gt;&lt;/span&gt;d an&lt;span class="_ _7"&gt;&lt;/span&gt;d unr&lt;span class="_ _7"&gt;&lt;/span&gt;ea&lt;span class="_ _7"&gt;&lt;/span&gt;li&lt;span class="_ _7"&gt;&lt;/span&gt;se&lt;span class="_ _7"&gt;&lt;/span&gt;d ga&lt;span class="_ _7"&gt;&lt;/span&gt;in&lt;span class="_ _7"&gt;&lt;/span&gt;s an&lt;span class="_ _7"&gt;&lt;/span&gt;d los&lt;span class="_ _7"&gt;&lt;/span&gt;s&lt;span class="_ _7"&gt;&lt;/span&gt;e&lt;span class="_ _7"&gt;&lt;/span&gt;s fr&lt;span class="_ _7"&gt;&lt;/span&gt;om f&lt;span class="_ _7"&gt;&lt;/span&gt;lu&lt;span class="_ _7"&gt;&lt;/span&gt;ctu&lt;span class="_ _7"&gt;&lt;/span&gt;ati&lt;span class="_ _7"&gt;&lt;/span&gt;on&lt;span class="_ _7"&gt;&lt;/span&gt;s in &lt;/span&gt;&lt;span style="display:inherit;clear:left;"&gt;the f&lt;span class="_ _7"&gt;&lt;/span&gt;ai&lt;span class="_ _7"&gt;&lt;/span&gt;r val&lt;span class="_ _7"&gt;&lt;/span&gt;ue of d&lt;span class="_ _7"&gt;&lt;/span&gt;er&lt;span class="_ _7"&gt;&lt;/span&gt;iv&lt;span class="_ _7"&gt;&lt;/span&gt;ati&lt;span class="_ _7"&gt;&lt;/span&gt;ve&lt;span class="_ _7"&gt;&lt;/span&gt;s de&lt;span class="_ _7"&gt;&lt;/span&gt;si&lt;span class="_ _7"&gt;&lt;/span&gt;gn&lt;span class="_ _7"&gt;&lt;/span&gt;ate&lt;span class="_ _7"&gt;&lt;/span&gt;d as h&lt;span class="_ _7"&gt;&lt;/span&gt;edg&lt;span class="_ _7"&gt;&lt;/span&gt;in&lt;span class="_ _7"&gt;&lt;/span&gt;g in&lt;span class="_ _7"&gt;&lt;/span&gt;st&lt;span class="_ _7"&gt;&lt;/span&gt;rum&lt;span class="_ _7"&gt;&lt;/span&gt;en&lt;span class="_ _7"&gt;&lt;/span&gt;ts a&lt;span class="_ _7"&gt;&lt;/span&gt;re &lt;/span&gt;&lt;span style="display:inherit;clear:left;"&gt;recognised in Other com&lt;span class="_ _2"&gt;&lt;/span&gt;prehensi&lt;span class="_ _7"&gt;&lt;/span&gt;ve income&lt;span class="_ _2"&gt;&lt;/span&gt; and accumulated&lt;span class="_ _2"&gt;&lt;/span&gt; in &lt;/span&gt;&lt;span style="display:inherit;clear:left;"&gt;oth&lt;span class="_ _7"&gt;&lt;/span&gt;er re&lt;span class="_ _7"&gt;&lt;/span&gt;s&lt;span class="_ _7"&gt;&lt;/span&gt;er&lt;span class="_ _7"&gt;&lt;/span&gt;v&lt;span class="_ _7"&gt;&lt;/span&gt;es i&lt;span class="_ _7"&gt;&lt;/span&gt;n eq&lt;span class="_ _7"&gt;&lt;/span&gt;uit&lt;span class="_ _7"&gt;&lt;/span&gt;y u&lt;span class="_ _7"&gt;&lt;/span&gt;nti&lt;span class="_ _7"&gt;&lt;/span&gt;l th&lt;span class="_ _7"&gt;&lt;/span&gt;e und&lt;span class="_ _7"&gt;&lt;/span&gt;er&lt;span class="_ _7"&gt;&lt;/span&gt;ly&lt;span class="_ _7"&gt;&lt;/span&gt;ing tr&lt;span class="_ _7"&gt;&lt;/span&gt;an&lt;span class="_ _7"&gt;&lt;/span&gt;s&lt;span class="_ _7"&gt;&lt;/span&gt;ac&lt;span class="_ _7"&gt;&lt;/span&gt;tio&lt;span class="_ _7"&gt;&lt;/span&gt;ns o&lt;span class="_ _7"&gt;&lt;/span&gt;cc&lt;span class="_ _7"&gt;&lt;/span&gt;ur. &lt;/span&gt;&lt;span style="display:inherit;clear:left;"&gt;Th&lt;span class="_ _7"&gt;&lt;/span&gt;e acc&lt;span class="_ _7"&gt;&lt;/span&gt;umu&lt;span class="_ _7"&gt;&lt;/span&gt;la&lt;span class="_ _7"&gt;&lt;/span&gt;ted g&lt;span class="_ _7"&gt;&lt;/span&gt;ai&lt;span class="_ _7"&gt;&lt;/span&gt;n or lo&lt;span class="_ _7"&gt;&lt;/span&gt;s&lt;span class="_ _7"&gt;&lt;/span&gt;s o&lt;span class="_ _7"&gt;&lt;/span&gt;n the&lt;span class="_ _7"&gt;&lt;/span&gt;s&lt;span class="_ _7"&gt;&lt;/span&gt;e he&lt;span class="_ _7"&gt;&lt;/span&gt;dgi&lt;span class="_ _7"&gt;&lt;/span&gt;ng in&lt;span class="_ _7"&gt;&lt;/span&gt;s&lt;span class="_ _7"&gt;&lt;/span&gt;tr&lt;span class="_ _7"&gt;&lt;/span&gt;ume&lt;span class="_ _7"&gt;&lt;/span&gt;nt&lt;span class="_ _7"&gt;&lt;/span&gt;s is t&lt;span class="_ _7"&gt;&lt;/span&gt;he&lt;span class="_ _7"&gt;&lt;/span&gt;n &lt;/span&gt;&lt;span style="display:inherit;clear:left;"&gt;re&lt;span class="_ _7"&gt;&lt;/span&gt;cycl&lt;span class="_ _7"&gt;&lt;/span&gt;ed to t&lt;span class="_ _7"&gt;&lt;/span&gt;he in&lt;span class="_ _7"&gt;&lt;/span&gt;co&lt;span class="_ _7"&gt;&lt;/span&gt;me s&lt;span class="_ _7"&gt;&lt;/span&gt;t&lt;span class="_ _7"&gt;&lt;/span&gt;atem&lt;span class="_ _7"&gt;&lt;/span&gt;en&lt;span class="_ _7"&gt;&lt;/span&gt;t. &lt;/span&gt;&lt;span style="display:inherit;clear:left;"&gt;Hedge a&lt;span class="_ _7"&gt;&lt;/span&gt;cc&lt;span class="_ _7"&gt;&lt;/span&gt;oun&lt;span class="_ _7"&gt;&lt;/span&gt;ting &lt;/span&gt;&lt;span style="display:inherit;clear:left;"&gt;Volvo Ca&lt;span class="_ _7"&gt;&lt;/span&gt;r Gro&lt;span class="_ _7"&gt;&lt;/span&gt;up a&lt;span class="_ _7"&gt;&lt;/span&gt;pp&lt;span class="_ _7"&gt;&lt;/span&gt;lie&lt;span class="_ _7"&gt;&lt;/span&gt;s he&lt;span class="_ _7"&gt;&lt;/span&gt;dg&lt;span class="_ _7"&gt;&lt;/span&gt;e acc&lt;span class="_ _7"&gt;&lt;/span&gt;ou&lt;span class="_ _7"&gt;&lt;/span&gt;nti&lt;span class="_ _7"&gt;&lt;/span&gt;ng wh&lt;span class="_ _7"&gt;&lt;/span&gt;en d&lt;span class="_ _7"&gt;&lt;/span&gt;er&lt;span class="_ _7"&gt;&lt;/span&gt;iv&lt;span class="_ _7"&gt;&lt;/span&gt;ati&lt;span class="_ _7"&gt;&lt;/span&gt;ve in&lt;span class="_ _7"&gt;&lt;/span&gt;st&lt;span class="_ _7"&gt;&lt;/span&gt;ru-&lt;/span&gt;&lt;span style="display:inherit;clear:left;"&gt;me&lt;span class="_ _7"&gt;&lt;/span&gt;nts a&lt;span class="_ _7"&gt;&lt;/span&gt;nd f&lt;span class="_ _7"&gt;&lt;/span&gt;in&lt;span class="_ _7"&gt;&lt;/span&gt;an&lt;span class="_ _7"&gt;&lt;/span&gt;cia&lt;span class="_ _7"&gt;&lt;/span&gt;l li&lt;span class="_ _7"&gt;&lt;/span&gt;abi&lt;span class="_ _7"&gt;&lt;/span&gt;lit&lt;span class="_ _7"&gt;&lt;/span&gt;ie&lt;span class="_ _7"&gt;&lt;/span&gt;s ar&lt;span class="_ _7"&gt;&lt;/span&gt;e inc&lt;span class="_ _7"&gt;&lt;/span&gt;lud&lt;span class="_ _7"&gt;&lt;/span&gt;ed i&lt;span class="_ _7"&gt;&lt;/span&gt;n a do&lt;span class="_ _7"&gt;&lt;/span&gt;cum&lt;span class="_ _7"&gt;&lt;/span&gt;en&lt;span class="_ _7"&gt;&lt;/span&gt;ted h&lt;span class="_ _7"&gt;&lt;/span&gt;ed&lt;span class="_ _7"&gt;&lt;/span&gt;ge &lt;/span&gt;&lt;span style="display:inherit;clear:left;"&gt;re&lt;span class="_ _7"&gt;&lt;/span&gt;lat&lt;span class="_ _7"&gt;&lt;/span&gt;io&lt;span class="_ _7"&gt;&lt;/span&gt;ns&lt;span class="_ _7"&gt;&lt;/span&gt;hip&lt;span class="_ _7"&gt;&lt;/span&gt;. At the in&lt;span class="_ _7"&gt;&lt;/span&gt;ce&lt;span class="_ _7"&gt;&lt;/span&gt;pti&lt;span class="_ _7"&gt;&lt;/span&gt;on o&lt;span class="_ _7"&gt;&lt;/span&gt;f th&lt;span class="_ _7"&gt;&lt;/span&gt;e he&lt;span class="_ _7"&gt;&lt;/span&gt;dge&lt;span class="_ _7"&gt;&lt;/span&gt;, Volvo Ca&lt;span class="_ _7"&gt;&lt;/span&gt;r Gro&lt;span class="_ _7"&gt;&lt;/span&gt;up d&lt;span class="_ _7"&gt;&lt;/span&gt;oc&lt;span class="_ _7"&gt;&lt;/span&gt;u-&lt;/span&gt;&lt;span style="display:inherit;clear:left;"&gt;me&lt;span class="_ _7"&gt;&lt;/span&gt;nts t&lt;span class="_ _7"&gt;&lt;/span&gt;he r&lt;span class="_ _7"&gt;&lt;/span&gt;el&lt;span class="_ _7"&gt;&lt;/span&gt;ati&lt;span class="_ _7"&gt;&lt;/span&gt;on&lt;span class="_ _7"&gt;&lt;/span&gt;sh&lt;span class="_ _7"&gt;&lt;/span&gt;ip b&lt;span class="_ _7"&gt;&lt;/span&gt;et&lt;span class="_ _7"&gt;&lt;/span&gt;we&lt;span class="_ _7"&gt;&lt;/span&gt;en h&lt;span class="_ _7"&gt;&lt;/span&gt;edg&lt;span class="_ _7"&gt;&lt;/span&gt;in&lt;span class="_ _7"&gt;&lt;/span&gt;g ins&lt;span class="_ _7"&gt;&lt;/span&gt;tr&lt;span class="_ _7"&gt;&lt;/span&gt;um&lt;span class="_ _7"&gt;&lt;/span&gt;en&lt;span class="_ _7"&gt;&lt;/span&gt;ts a&lt;span class="_ _7"&gt;&lt;/span&gt;nd h&lt;span class="_ _7"&gt;&lt;/span&gt;edg&lt;span class="_ _7"&gt;&lt;/span&gt;ed &lt;/span&gt;&lt;span style="display:inherit;clear:left;"&gt;ite&lt;span class="_ _7"&gt;&lt;/span&gt;ms&lt;span class="_ _7"&gt;&lt;/span&gt;, as w&lt;span class="_ _7"&gt;&lt;/span&gt;el&lt;span class="_ _7"&gt;&lt;/span&gt;l as it&lt;span class="_ _7"&gt;&lt;/span&gt;s r&lt;span class="_ _7"&gt;&lt;/span&gt;is&lt;span class="_ _7"&gt;&lt;/span&gt;k ma&lt;span class="_ _7"&gt;&lt;/span&gt;nag&lt;span class="_ _7"&gt;&lt;/span&gt;em&lt;span class="_ _7"&gt;&lt;/span&gt;ent s&lt;span class="_ _7"&gt;&lt;/span&gt;tr&lt;span class="_ _7"&gt;&lt;/span&gt;ate&lt;span class="_ _7"&gt;&lt;/span&gt;g&lt;span class="_ _7"&gt;&lt;/span&gt;y an&lt;span class="_ _7"&gt;&lt;/span&gt;d ob&lt;span class="_ _7"&gt;&lt;/span&gt;je&lt;span class="_ _7"&gt;&lt;/span&gt;cti&lt;span class="_ _7"&gt;&lt;/span&gt;ve fo&lt;span class="_ _7"&gt;&lt;/span&gt;r &lt;/span&gt;&lt;span style="display:inherit;clear:left;"&gt;under&lt;span class="_ _7"&gt;&lt;/span&gt;ta&lt;span class="_ _7"&gt;&lt;/span&gt;king hedgi&lt;span class="_ _7"&gt;&lt;/span&gt;ng trans&lt;span class="_ _7"&gt;&lt;/span&gt;action&lt;span class="_ _7"&gt;&lt;/span&gt;s. &lt;/span&gt;&lt;span style="display:inherit;clear:left;"&gt;Cas&lt;span class="_ _7"&gt;&lt;/span&gt;h flow h&lt;span class="_ _7"&gt;&lt;/span&gt;edge&lt;/span&gt;&lt;span style="display:inherit;clear:left;"&gt;Volvo Ca&lt;span class="_ _7"&gt;&lt;/span&gt;r Gro&lt;span class="_ _7"&gt;&lt;/span&gt;up a&lt;span class="_ _7"&gt;&lt;/span&gt;pp&lt;span class="_ _7"&gt;&lt;/span&gt;lie&lt;span class="_ _7"&gt;&lt;/span&gt;s c&lt;span class="_ _7"&gt;&lt;/span&gt;as&lt;span class="_ _7"&gt;&lt;/span&gt;h flo&lt;span class="_ _7"&gt;&lt;/span&gt;w he&lt;span class="_ _7"&gt;&lt;/span&gt;dge a&lt;span class="_ _7"&gt;&lt;/span&gt;cc&lt;span class="_ _7"&gt;&lt;/span&gt;ou&lt;span class="_ _7"&gt;&lt;/span&gt;ntin&lt;span class="_ _7"&gt;&lt;/span&gt;g to ma&lt;span class="_ _7"&gt;&lt;/span&gt;nag&lt;span class="_ _7"&gt;&lt;/span&gt;e  &lt;/span&gt;&lt;span style="display:inherit;clear:left;"&gt;var&lt;span class="_ _7"&gt;&lt;/span&gt;ia&lt;span class="_ _7"&gt;&lt;/span&gt;bil&lt;span class="_ _7"&gt;&lt;/span&gt;it&lt;span class="_ _7"&gt;&lt;/span&gt;y i&lt;span class="_ _7"&gt;&lt;/span&gt;n ca&lt;span class="_ _7"&gt;&lt;/span&gt;sh f&lt;span class="_ _7"&gt;&lt;/span&gt;low&lt;span class="_ _7"&gt;&lt;/span&gt;s ar&lt;span class="_ _7"&gt;&lt;/span&gt;is&lt;span class="_ _7"&gt;&lt;/span&gt;ing f&lt;span class="_ _7"&gt;&lt;/span&gt;ro&lt;span class="_ _7"&gt;&lt;/span&gt;m hig&lt;span class="_ _7"&gt;&lt;/span&gt;hly p&lt;span class="_ _</t>
  </si>
  <si>
    <t>f1__s8__6__17</t>
  </si>
  <si>
    <t>ifrs-full:DisclosureOfGeneralInformationAboutFinancialStatementsExplanatory</t>
  </si>
  <si>
    <t>&lt;span style="display:inherit;clear:left;"&gt;NOT&lt;span class="_ _7"&gt;&lt;/span&gt;E 1&lt;/span&gt;&lt;span style="display:inherit;clear:left;"&gt; &lt;span class="_ _1"&gt;&lt;/span&gt;GENERAL INFORMA&lt;span class="_ _2"&gt;&lt;/span&gt;TION FOR FINANCIAL&lt;span class="_ _2"&gt;&lt;/span&gt; &lt;span class="ls3 ws3"&gt; &lt;/span&gt;&lt;/span&gt;&lt;span style="display:inherit;clear:left;"&gt;REP&lt;span class="_ _7"&gt;&lt;/span&gt;OR&lt;span class="_ _7"&gt;&lt;/span&gt;TIN&lt;span class="_ _7"&gt;&lt;/span&gt;G IN VO&lt;span class="_ _7"&gt;&lt;/span&gt;L&lt;span class="_ _2"&gt;&lt;/span&gt;VO CAR GR&lt;span class="_ _7"&gt;&lt;/span&gt;OU&lt;span class="_ _7"&gt;&lt;/span&gt;P&lt;/span&gt;&lt;span style="display:inherit;clear:left;"&gt;Basis of preparation&lt;/span&gt;&lt;span style="display:inherit;clear:left;"&gt;Th&lt;span class="_ _7"&gt;&lt;/span&gt;e con&lt;span class="_ _7"&gt;&lt;/span&gt;s&lt;span class="_ _7"&gt;&lt;/span&gt;oli&lt;span class="_ _7"&gt;&lt;/span&gt;da&lt;span class="_ _7"&gt;&lt;/span&gt;ted f&lt;span class="_ _7"&gt;&lt;/span&gt;in&lt;span class="_ _7"&gt;&lt;/span&gt;an&lt;span class="_ _7"&gt;&lt;/span&gt;cia&lt;span class="_ _7"&gt;&lt;/span&gt;l s&lt;span class="_ _7"&gt;&lt;/span&gt;tat&lt;span class="_ _7"&gt;&lt;/span&gt;em&lt;span class="_ _7"&gt;&lt;/span&gt;ent&lt;span class="_ _7"&gt;&lt;/span&gt;s of Volvo C&lt;span class="_ _7"&gt;&lt;/span&gt;ar A&lt;span class="_ _7"&gt;&lt;/span&gt;B (p&lt;span class="_ _7"&gt;&lt;/span&gt;ubl&lt;span class="_ _7"&gt;&lt;/span&gt;.) h&lt;span class="_ _7"&gt;&lt;/span&gt;ave &lt;/span&gt;&lt;span style="display:inherit;clear:left;"&gt;been prepared in&lt;span class="_ _2"&gt;&lt;/span&gt; accordance with the&lt;span class="_ _2"&gt;&lt;/span&gt; International F&lt;span class="_ _2"&gt;&lt;/span&gt;inancial &lt;/span&gt;&lt;span style="display:inherit;clear:left;"&gt;Rep&lt;span class="_ _7"&gt;&lt;/span&gt;or&lt;span class="_ _7"&gt;&lt;/span&gt;t&lt;span class="_ _7"&gt;&lt;/span&gt;ing St&lt;span class="_ _7"&gt;&lt;/span&gt;an&lt;span class="_ _7"&gt;&lt;/span&gt;da&lt;span class="_ _7"&gt;&lt;/span&gt;rd&lt;span class="_ _7"&gt;&lt;/span&gt;s (IFRS) i&lt;span class="_ _7"&gt;&lt;/span&gt;s&lt;span class="_ _7"&gt;&lt;/span&gt;sue&lt;span class="_ _7"&gt;&lt;/span&gt;d by th&lt;span class="_ _7"&gt;&lt;/span&gt;e In&lt;span class="_ _7"&gt;&lt;/span&gt;ter&lt;span class="_ _7"&gt;&lt;/span&gt;nat&lt;span class="_ _7"&gt;&lt;/span&gt;io&lt;span class="_ _7"&gt;&lt;/span&gt;na&lt;span class="_ _7"&gt;&lt;/span&gt;l Acco&lt;span class="_ _7"&gt;&lt;/span&gt;un&lt;span class="_ _7"&gt;&lt;/span&gt;ting &lt;/span&gt;&lt;span style="display:inherit;clear:left;"&gt;St&lt;span class="_ _7"&gt;&lt;/span&gt;and&lt;span class="_ _7"&gt;&lt;/span&gt;ar&lt;span class="_ _7"&gt;&lt;/span&gt;ds B&lt;span class="_ _7"&gt;&lt;/span&gt;oa&lt;span class="_ _7"&gt;&lt;/span&gt;rd (I&lt;span class="_ _7"&gt;&lt;/span&gt;ASB), as ad&lt;span class="_ _7"&gt;&lt;/span&gt;op&lt;span class="_ _7"&gt;&lt;/span&gt;ted by t&lt;span class="_ _7"&gt;&lt;/span&gt;he Eu&lt;span class="_ _7"&gt;&lt;/span&gt;rop&lt;span class="_ _7"&gt;&lt;/span&gt;ea&lt;span class="_ _7"&gt;&lt;/span&gt;n Un&lt;span class="_ _7"&gt;&lt;/span&gt;ion a&lt;span class="_ _7"&gt;&lt;/span&gt;nd t&lt;span class="_ _7"&gt;&lt;/span&gt;he &lt;/span&gt;&lt;span style="display:inherit;clear:left;"&gt;Swe&lt;span class="_ _7"&gt;&lt;/span&gt;di&lt;span class="_ _7"&gt;&lt;/span&gt;sh A&lt;span class="_ _7"&gt;&lt;/span&gt;nnu&lt;span class="_ _7"&gt;&lt;/span&gt;al Ac&lt;span class="_ _7"&gt;&lt;/span&gt;co&lt;span class="_ _7"&gt;&lt;/span&gt;unt&lt;span class="_ _7"&gt;&lt;/span&gt;s Act&lt;span class="_ _7"&gt;&lt;/span&gt;. In a&lt;span class="_ _7"&gt;&lt;/span&gt;dd&lt;span class="_ _7"&gt;&lt;/span&gt;iti&lt;span class="_ _7"&gt;&lt;/span&gt;on&lt;span class="_ _7"&gt;&lt;/span&gt;, RFR 1 Su&lt;span class="_ _7"&gt;&lt;/span&gt;pp&lt;span class="_ _7"&gt;&lt;/span&gt;lem&lt;span class="_ _7"&gt;&lt;/span&gt;en&lt;span class="_ _7"&gt;&lt;/span&gt;ta&lt;span class="_ _7"&gt;&lt;/span&gt;r&lt;span class="_ _7"&gt;&lt;/span&gt;y &lt;/span&gt;&lt;span style="display:inherit;clear:left;"&gt;Rule&lt;span class="_ _7"&gt;&lt;/span&gt;s fo&lt;span class="_ _7"&gt;&lt;/span&gt;r Gr&lt;span class="_ _7"&gt;&lt;/span&gt;ou&lt;span class="_ _7"&gt;&lt;/span&gt;ps h&lt;span class="_ _7"&gt;&lt;/span&gt;as b&lt;span class="_ _7"&gt;&lt;/span&gt;ee&lt;span class="_ _7"&gt;&lt;/span&gt;n ap&lt;span class="_ _7"&gt;&lt;/span&gt;pli&lt;span class="_ _7"&gt;&lt;/span&gt;ed&lt;span class="_ _7"&gt;&lt;/span&gt;, a s&lt;span class="_ _7"&gt;&lt;/span&gt;ta&lt;span class="_ _7"&gt;&lt;/span&gt;nd&lt;span class="_ _7"&gt;&lt;/span&gt;ard i&lt;span class="_ _7"&gt;&lt;/span&gt;s&lt;span class="_ _7"&gt;&lt;/span&gt;su&lt;span class="_ _7"&gt;&lt;/span&gt;ed b&lt;span class="_ _7"&gt;&lt;/span&gt;y the Sw&lt;span class="_ _7"&gt;&lt;/span&gt;ed-&lt;/span&gt;&lt;span style="display:inherit;clear:left;"&gt;is&lt;span class="_ _7"&gt;&lt;/span&gt;h Fin&lt;span class="_ _7"&gt;&lt;/span&gt;an&lt;span class="_ _7"&gt;&lt;/span&gt;cia&lt;span class="_ _7"&gt;&lt;/span&gt;l Rep&lt;span class="_ _7"&gt;&lt;/span&gt;or&lt;span class="_ _9"&gt;&lt;/span&gt;ting B&lt;span class="_ _7"&gt;&lt;/span&gt;oa&lt;span class="_ _7"&gt;&lt;/span&gt;rd&lt;span class="_ _7"&gt;&lt;/span&gt;. RFR 1 s&lt;span class="_ _7"&gt;&lt;/span&gt;pe&lt;span class="_ _7"&gt;&lt;/span&gt;ci&lt;span class="_ _7"&gt;&lt;/span&gt;fi&lt;span class="_ _7"&gt;&lt;/span&gt;es m&lt;span class="_ _7"&gt;&lt;/span&gt;an&lt;span class="_ _7"&gt;&lt;/span&gt;da&lt;span class="_ _7"&gt;&lt;/span&gt;tor&lt;span class="_ _7"&gt;&lt;/span&gt;y a&lt;span class="_ _7"&gt;&lt;/span&gt;dd&lt;span class="_ _7"&gt;&lt;/span&gt;iti&lt;span class="_ _7"&gt;&lt;/span&gt;on&lt;span class="_ _7"&gt;&lt;/span&gt;s &lt;/span&gt;&lt;span style="display:inherit;clear:left;"&gt;to the I&lt;span class="_ _7"&gt;&lt;/span&gt;FRS di&lt;span class="_ _7"&gt;&lt;/span&gt;sc&lt;span class="_ _7"&gt;&lt;/span&gt;lo&lt;span class="_ _7"&gt;&lt;/span&gt;su&lt;span class="_ _7"&gt;&lt;/span&gt;re re&lt;span class="_ _7"&gt;&lt;/span&gt;qu&lt;span class="_ _7"&gt;&lt;/span&gt;ire&lt;span class="_ _7"&gt;&lt;/span&gt;me&lt;span class="_ _7"&gt;&lt;/span&gt;nt&lt;span class="_ _7"&gt;&lt;/span&gt;s in a&lt;span class="_ _7"&gt;&lt;/span&gt;cco&lt;span class="_ _7"&gt;&lt;/span&gt;rd&lt;span class="_ _7"&gt;&lt;/span&gt;an&lt;span class="_ _7"&gt;&lt;/span&gt;ce wi&lt;span class="_ _7"&gt;&lt;/span&gt;th th&lt;span class="_ _7"&gt;&lt;/span&gt;e Swe&lt;span class="_ _7"&gt;&lt;/span&gt;di&lt;span class="_ _7"&gt;&lt;/span&gt;sh &lt;/span&gt;&lt;span style="display:inherit;clear:left;"&gt;Ann&lt;span class="_ _7"&gt;&lt;/span&gt;ua&lt;span class="_ _7"&gt;&lt;/span&gt;l Acc&lt;span class="_ _7"&gt;&lt;/span&gt;oun&lt;span class="_ _7"&gt;&lt;/span&gt;ts Ac&lt;span class="_ _7"&gt;&lt;/span&gt;t&lt;span class="_ _7"&gt;&lt;/span&gt;. Gro&lt;span class="_ _7"&gt;&lt;/span&gt;up c&lt;span class="_ _7"&gt;&lt;/span&gt;omp&lt;span class="_ _7"&gt;&lt;/span&gt;an&lt;span class="_ _7"&gt;&lt;/span&gt;ie&lt;span class="_ _7"&gt;&lt;/span&gt;s ap&lt;span class="_ _7"&gt;&lt;/span&gt;ply t&lt;span class="_ _7"&gt;&lt;/span&gt;he s&lt;span class="_ _7"&gt;&lt;/span&gt;am&lt;span class="_ _7"&gt;&lt;/span&gt;e ac&lt;span class="_ _7"&gt;&lt;/span&gt;cou&lt;span class="_ _7"&gt;&lt;/span&gt;nti&lt;span class="_ _7"&gt;&lt;/span&gt;ng &lt;/span&gt;&lt;span style="display:inherit;clear:left;"&gt;po&lt;span class="_ _7"&gt;&lt;/span&gt;lic&lt;span class="_ _7"&gt;&lt;/span&gt;ie&lt;span class="_ _7"&gt;&lt;/span&gt;s&lt;span class="_ _7"&gt;&lt;/span&gt;, irr&lt;span class="_ _7"&gt;&lt;/span&gt;e&lt;span class="_ _7"&gt;&lt;/span&gt;sp&lt;span class="_ _7"&gt;&lt;/span&gt;ec&lt;span class="_ _7"&gt;&lt;/span&gt;ti&lt;span class="_ _7"&gt;&lt;/span&gt;ve of n&lt;span class="_ _7"&gt;&lt;/span&gt;ati&lt;span class="_ _7"&gt;&lt;/span&gt;on&lt;span class="_ _7"&gt;&lt;/span&gt;al le&lt;span class="_ _7"&gt;&lt;/span&gt;gi&lt;span class="_ _7"&gt;&lt;/span&gt;sl&lt;span class="_ _7"&gt;&lt;/span&gt;ati&lt;span class="_ _7"&gt;&lt;/span&gt;on&lt;span class="_ _7"&gt;&lt;/span&gt;, as d&lt;span class="_ _7"&gt;&lt;/span&gt;ef&lt;span class="_ _7"&gt;&lt;/span&gt;in&lt;span class="_ _7"&gt;&lt;/span&gt;ed i&lt;span class="_ _7"&gt;&lt;/span&gt;n Volvo Ca&lt;span class="_ _7"&gt;&lt;/span&gt;r &lt;/span&gt;&lt;span style="display:inherit;clear:left;"&gt;Gro&lt;span class="_ _7"&gt;&lt;/span&gt;up a&lt;span class="_ _7"&gt;&lt;/span&gt;cc&lt;span class="_ _7"&gt;&lt;/span&gt;oun&lt;span class="_ _7"&gt;&lt;/span&gt;tin&lt;span class="_ _7"&gt;&lt;/span&gt;g dir&lt;span class="_ _7"&gt;&lt;/span&gt;ec&lt;span class="_ _7"&gt;&lt;/span&gt;ti&lt;span class="_ _7"&gt;&lt;/span&gt;ves a&lt;span class="_ _7"&gt;&lt;/span&gt;nd t&lt;span class="_ _7"&gt;&lt;/span&gt;hey h&lt;span class="_ _7"&gt;&lt;/span&gt;ave b&lt;span class="_ _7"&gt;&lt;/span&gt;ee&lt;span class="_ _7"&gt;&lt;/span&gt;n ap&lt;span class="_ _7"&gt;&lt;/span&gt;pli&lt;span class="_ _7"&gt;&lt;/span&gt;ed c&lt;span class="_ _7"&gt;&lt;/span&gt;on&lt;span class="_ _7"&gt;&lt;/span&gt;si&lt;span class="_ _7"&gt;&lt;/span&gt;st-&lt;/span&gt;&lt;span style="display:inherit;clear:left;"&gt;ent&lt;span class="_ _7"&gt;&lt;/span&gt;ly for a&lt;span class="_ _7"&gt;&lt;/span&gt;ll p&lt;span class="_ _7"&gt;&lt;/span&gt;er&lt;span class="_ _7"&gt;&lt;/span&gt;io&lt;span class="_ _7"&gt;&lt;/span&gt;ds&lt;span class="_ _7"&gt;&lt;/span&gt;, un&lt;span class="_ _7"&gt;&lt;/span&gt;le&lt;span class="_ _7"&gt;&lt;/span&gt;s&lt;span class="_ _7"&gt;&lt;/span&gt;s oth&lt;span class="_ _7"&gt;&lt;/span&gt;er&lt;span class="_ _7"&gt;&lt;/span&gt;w&lt;span class="_ _7"&gt;&lt;/span&gt;is&lt;span class="_ _7"&gt;&lt;/span&gt;e s&lt;span class="_ _7"&gt;&lt;/span&gt;ta&lt;span class="_ _7"&gt;&lt;/span&gt;ted&lt;span class="_ _7"&gt;&lt;/span&gt;. &lt;/span&gt;&lt;span style="display:inherit;clear:left;"&gt;Th&lt;span class="_ _7"&gt;&lt;/span&gt;e fi&lt;span class="_ _7"&gt;&lt;/span&gt;nan&lt;span class="_ _7"&gt;&lt;/span&gt;ci&lt;span class="_ _7"&gt;&lt;/span&gt;al s&lt;span class="_ _7"&gt;&lt;/span&gt;ta&lt;span class="_ _7"&gt;&lt;/span&gt;tem&lt;span class="_ _7"&gt;&lt;/span&gt;ent&lt;span class="_ _7"&gt;&lt;/span&gt;s ar&lt;span class="_ _7"&gt;&lt;/span&gt;e ba&lt;span class="_ _7"&gt;&lt;/span&gt;s&lt;span class="_ _7"&gt;&lt;/span&gt;ed o&lt;span class="_ _7"&gt;&lt;/span&gt;n co&lt;span class="_ _7"&gt;&lt;/span&gt;st&lt;span class="_ _7"&gt;&lt;/span&gt;, ap&lt;span class="_ _7"&gt;&lt;/span&gt;ar&lt;span class="_ _7"&gt;&lt;/span&gt;t f&lt;span class="_ _7"&gt;&lt;/span&gt;ro&lt;span class="_ _7"&gt;&lt;/span&gt;m ce&lt;span class="_ _7"&gt;&lt;/span&gt;r&lt;span class="_ _7"&gt;&lt;/span&gt;ta&lt;span class="_ _7"&gt;&lt;/span&gt;in &lt;/span&gt;&lt;span style="display:inherit;clear:left;"&gt;financial instruments, provisions for&lt;span class="_ _2"&gt;&lt;/span&gt; pensions and other&lt;span class="_ _2"&gt;&lt;/span&gt; po&lt;span class="_ _7"&gt;&lt;/span&gt;st&lt;span class="_ _2"&gt;&lt;/span&gt;-em&lt;span class="_ _2"&gt;&lt;/span&gt;&lt;span class="ls3 ws3"&gt;-&lt;/span&gt;&lt;/span&gt;&lt;span style="display:inherit;clear:left;"&gt;ploy&lt;span class="_ _7"&gt;&lt;/span&gt;m&lt;span class="_ _7"&gt;&lt;/span&gt;ent b&lt;span class="_ _7"&gt;&lt;/span&gt;en&lt;span class="_ _7"&gt;&lt;/span&gt;ef&lt;span class="_ _7"&gt;&lt;/span&gt;it&lt;span class="_ _7"&gt;&lt;/span&gt;s w&lt;span class="_ _7"&gt;&lt;/span&gt;hic&lt;span class="_ _7"&gt;&lt;/span&gt;h are r&lt;span class="_ _7"&gt;&lt;/span&gt;ep&lt;span class="_ _7"&gt;&lt;/span&gt;or&lt;span class="_ _7"&gt;&lt;/span&gt;te&lt;span class="_ _7"&gt;&lt;/span&gt;d at f&lt;span class="_ _7"&gt;&lt;/span&gt;ai&lt;span class="_ _7"&gt;&lt;/span&gt;r val&lt;span class="_ _7"&gt;&lt;/span&gt;ue. P&lt;span class="_ _7"&gt;&lt;/span&gt;rep&lt;span class="_ _7"&gt;&lt;/span&gt;ar&lt;span class="_ _7"&gt;&lt;/span&gt;at&lt;span class="_ _7"&gt;&lt;/span&gt;ion o&lt;span class="_ _7"&gt;&lt;/span&gt;f &lt;/span&gt;&lt;span style="display:inherit;clear:left;"&gt;the f&lt;span class="_ _7"&gt;&lt;/span&gt;in&lt;span class="_ _7"&gt;&lt;/span&gt;an&lt;span class="_ _7"&gt;&lt;/span&gt;cia&lt;span class="_ _7"&gt;&lt;/span&gt;l s&lt;span class="_ _7"&gt;&lt;/span&gt;tat&lt;span class="_ _7"&gt;&lt;/span&gt;eme&lt;span class="_ _7"&gt;&lt;/span&gt;nt&lt;span class="_ _7"&gt;&lt;/span&gt;s in a&lt;span class="_ _7"&gt;&lt;/span&gt;cc&lt;span class="_ _7"&gt;&lt;/span&gt;ord&lt;span class="_ _7"&gt;&lt;/span&gt;an&lt;span class="_ _7"&gt;&lt;/span&gt;ce w&lt;span class="_ _7"&gt;&lt;/span&gt;ith I&lt;span class="_ _7"&gt;&lt;/span&gt;FRS re&lt;span class="_ _7"&gt;&lt;/span&gt;qui&lt;span class="_ _7"&gt;&lt;/span&gt;re&lt;span class="_ _7"&gt;&lt;/span&gt;s th&lt;span class="_ _7"&gt;&lt;/span&gt;e Co&lt;span class="_ _7"&gt;&lt;/span&gt;m-&lt;/span&gt;&lt;span style="display:inherit;clear:left;"&gt;pa&lt;span class="_ _7"&gt;&lt;/span&gt;ny’s E&lt;span class="_ _7"&gt;&lt;/span&gt;xecu&lt;span class="_ _7"&gt;&lt;/span&gt;ti&lt;span class="_ _7"&gt;&lt;/span&gt;ve Ma&lt;span class="_ _7"&gt;&lt;/span&gt;nag&lt;span class="_ _7"&gt;&lt;/span&gt;em&lt;span class="_ _7"&gt;&lt;/span&gt;ent a&lt;span class="_ _7"&gt;&lt;/span&gt;nd t&lt;span class="_ _7"&gt;&lt;/span&gt;he B&lt;span class="_ _7"&gt;&lt;/span&gt;oa&lt;span class="_ _7"&gt;&lt;/span&gt;rd of D&lt;span class="_ _7"&gt;&lt;/span&gt;ir&lt;span class="_ _7"&gt;&lt;/span&gt;ec&lt;span class="_ _7"&gt;&lt;/span&gt;tor&lt;span class="_ _7"&gt;&lt;/span&gt;s to m&lt;span class="_ _7"&gt;&lt;/span&gt;ake &lt;/span&gt;&lt;span style="display:inherit;clear:left;"&gt;es&lt;span class="_ _7"&gt;&lt;/span&gt;ti&lt;span class="_ _7"&gt;&lt;/span&gt;mat&lt;span class="_ _7"&gt;&lt;/span&gt;io&lt;span class="_ _7"&gt;&lt;/span&gt;ns an&lt;span class="_ _7"&gt;&lt;/span&gt;d ju&lt;span class="_ _7"&gt;&lt;/span&gt;dge&lt;span class="_ _7"&gt;&lt;/span&gt;me&lt;span class="_ _7"&gt;&lt;/span&gt;nt&lt;span class="_ _7"&gt;&lt;/span&gt;s th&lt;span class="_ _7"&gt;&lt;/span&gt;at af&lt;span class="_ _9"&gt;&lt;/span&gt;fec&lt;span class="_ _7"&gt;&lt;/span&gt;t th&lt;span class="_ _7"&gt;&lt;/span&gt;e valu&lt;span class="_ _7"&gt;&lt;/span&gt;e of t&lt;span class="_ _7"&gt;&lt;/span&gt;he re&lt;span class="_ _7"&gt;&lt;/span&gt;p&lt;span class="_ _7"&gt;&lt;/span&gt;or&lt;span class="_ _7"&gt;&lt;/span&gt;te&lt;span class="_ _7"&gt;&lt;/span&gt;d &lt;/span&gt;&lt;span style="display:inherit;clear:left;"&gt;as&lt;span class="_ _7"&gt;&lt;/span&gt;s&lt;span class="_ _7"&gt;&lt;/span&gt;et&lt;span class="_ _7"&gt;&lt;/span&gt;s&lt;span class="_ _7"&gt;&lt;/span&gt;, lia&lt;span class="_ _7"&gt;&lt;/span&gt;bi&lt;span class="_ _7"&gt;&lt;/span&gt;liti&lt;span class="_ _7"&gt;&lt;/span&gt;e&lt;span class="_ _7"&gt;&lt;/span&gt;s, i&lt;span class="_ _7"&gt;&lt;/span&gt;nc&lt;span class="_ _7"&gt;&lt;/span&gt;om&lt;span class="_ _7"&gt;&lt;/span&gt;e an&lt;span class="_ _7"&gt;&lt;/span&gt;d exp&lt;span class="_ _7"&gt;&lt;/span&gt;en&lt;span class="_ _7"&gt;&lt;/span&gt;se&lt;span class="_ _7"&gt;&lt;/span&gt;s&lt;span class="_ _7"&gt;&lt;/span&gt;. Es&lt;span class="_ _7"&gt;&lt;/span&gt;ti&lt;span class="_ _7"&gt;&lt;/span&gt;ma&lt;span class="_ _7"&gt;&lt;/span&gt;tes a&lt;span class="_ _7"&gt;&lt;/span&gt;nd j&lt;span class="_ _7"&gt;&lt;/span&gt;udg&lt;span class="_ _7"&gt;&lt;/span&gt;em&lt;span class="_ _7"&gt;&lt;/span&gt;ent&lt;span class="_ _7"&gt;&lt;/span&gt;s &lt;/span&gt;&lt;span style="display:inherit;clear:left;"&gt;wil&lt;span class="_ _7"&gt;&lt;/span&gt;l imp&lt;span class="_ _7"&gt;&lt;/span&gt;ac&lt;span class="_ _7"&gt;&lt;/span&gt;t th&lt;span class="_ _7"&gt;&lt;/span&gt;e val&lt;span class="_ _7"&gt;&lt;/span&gt;ue&lt;span class="_ _7"&gt;&lt;/span&gt;s of a&lt;span class="_ _7"&gt;&lt;/span&gt;s&lt;span class="_ _7"&gt;&lt;/span&gt;se&lt;span class="_ _7"&gt;&lt;/span&gt;ts a&lt;span class="_ _7"&gt;&lt;/span&gt;nd l&lt;span class="_ _7"&gt;&lt;/span&gt;iab&lt;span class="_ _7"&gt;&lt;/span&gt;ili&lt;span class="_ _7"&gt;&lt;/span&gt;ti&lt;span class="_ _7"&gt;&lt;/span&gt;es&lt;span class="_ _7"&gt;&lt;/span&gt;. T&lt;span class="_ _7"&gt;&lt;/span&gt;he ac&lt;span class="_ _7"&gt;&lt;/span&gt;tu&lt;span class="_ _7"&gt;&lt;/span&gt;al o&lt;span class="_ _7"&gt;&lt;/span&gt;utc&lt;span class="_ _7"&gt;&lt;/span&gt;om&lt;span class="_ _7"&gt;&lt;/span&gt;e &lt;/span&gt;&lt;span style="display:inherit;clear:left;"&gt;(valu&lt;span class="_ _7"&gt;&lt;/span&gt;e) may di&lt;span class="_ _7"&gt;&lt;/span&gt;f&lt;span class="_ _7"&gt;&lt;/span&gt;f&lt;span class="_ _7"&gt;&lt;/span&gt;er f&lt;span class="_ _7"&gt;&lt;/span&gt;rom t&lt;span class="_ _7"&gt;&lt;/span&gt;he&lt;span class="_ _7"&gt;&lt;/span&gt;s&lt;span class="_ _7"&gt;&lt;/span&gt;e es&lt;span class="_ _7"&gt;&lt;/span&gt;ti&lt;span class="_ _7"&gt;&lt;/span&gt;mat&lt;span class="_ _7"&gt;&lt;/span&gt;es a&lt;span class="_ _7"&gt;&lt;/span&gt;nd ju&lt;span class="_ _7"&gt;&lt;/span&gt;dg&lt;span class="_ _7"&gt;&lt;/span&gt;eme&lt;span class="_ _7"&gt;&lt;/span&gt;nt&lt;span class="_ _7"&gt;&lt;/span&gt;s an&lt;span class="_ _7"&gt;&lt;/span&gt;d co&lt;span class="_ _7"&gt;&lt;/span&gt;rr&lt;span class="_ _7"&gt;&lt;/span&gt;ec-&lt;/span&gt;&lt;span style="display:inherit;clear:left;"&gt;tio&lt;span class="_ _7"&gt;&lt;/span&gt;ns m&lt;span class="_ _7"&gt;&lt;/span&gt;ay be n&lt;span class="_ _7"&gt;&lt;/span&gt;e&lt;span class="_ _7"&gt;&lt;/span&gt;ce&lt;span class="_ _7"&gt;&lt;/span&gt;s&lt;span class="_ _7"&gt;&lt;/span&gt;s&lt;span class="_ _7"&gt;&lt;/span&gt;ar&lt;span class="_ _7"&gt;&lt;/span&gt;y to m&lt;span class="_ _7"&gt;&lt;/span&gt;ake. T&lt;span class="_ _7"&gt;&lt;/span&gt;he&lt;span class="_ _7"&gt;&lt;/span&gt;re&lt;span class="_ _7"&gt;&lt;/span&gt;for&lt;span class="_ _7"&gt;&lt;/span&gt;e, th&lt;span class="_ _7"&gt;&lt;/span&gt;e e&lt;span class="_ _7"&gt;&lt;/span&gt;st&lt;span class="_ _7"&gt;&lt;/span&gt;ima&lt;span class="_ _7"&gt;&lt;/span&gt;te&lt;span class="_ _7"&gt;&lt;/span&gt;s and &lt;/span&gt;&lt;span style="display:inherit;clear:left;"&gt;jud&lt;span class="_ _7"&gt;&lt;/span&gt;gem&lt;span class="_ _7"&gt;&lt;/span&gt;en&lt;span class="_ _7"&gt;&lt;/span&gt;ts a&lt;span class="_ _7"&gt;&lt;/span&gt;re r&lt;span class="_ _7"&gt;&lt;/span&gt;evi&lt;span class="_ _7"&gt;&lt;/span&gt;ewe&lt;span class="_ _7"&gt;&lt;/span&gt;d on a r&lt;span class="_ _7"&gt;&lt;/span&gt;eg&lt;span class="_ _7"&gt;&lt;/span&gt;ul&lt;span class="_ _7"&gt;&lt;/span&gt;ar b&lt;span class="_ _7"&gt;&lt;/span&gt;as&lt;span class="_ _7"&gt;&lt;/span&gt;is&lt;span class="_ _7"&gt;&lt;/span&gt;. &lt;/span&gt;&lt;span style="display:inherit;clear:left;"&gt;All a&lt;span class="_ _7"&gt;&lt;/span&gt;cco&lt;span class="_ _7"&gt;&lt;/span&gt;un&lt;span class="_ _7"&gt;&lt;/span&gt;ting p&lt;span class="_ _7"&gt;&lt;/span&gt;o&lt;span class="_ _7"&gt;&lt;/span&gt;lic&lt;span class="_ _7"&gt;&lt;/span&gt;ie&lt;span class="_ _7"&gt;&lt;/span&gt;s an&lt;span class="_ _7"&gt;&lt;/span&gt;d cri&lt;span class="_ _7"&gt;&lt;/span&gt;tic&lt;span class="_ _7"&gt;&lt;/span&gt;al a&lt;span class="_ _7"&gt;&lt;/span&gt;cc&lt;span class="_ _7"&gt;&lt;/span&gt;ou&lt;span class="_ _7"&gt;&lt;/span&gt;nti&lt;span class="_ _7"&gt;&lt;/span&gt;ng es&lt;span class="_ _7"&gt;&lt;/span&gt;ti&lt;span class="_ _7"&gt;&lt;/span&gt;ma&lt;span class="_ _7"&gt;&lt;/span&gt;tes a&lt;span class="_ _7"&gt;&lt;/span&gt;nd &lt;/span&gt;&lt;span style="display:inherit;clear:left;"&gt;jud&lt;span class="_ _7"&gt;&lt;/span&gt;gem&lt;span class="_ _7"&gt;&lt;/span&gt;en&lt;span class="_ _7"&gt;&lt;/span&gt;ts c&lt;span class="_ _7"&gt;&lt;/span&gt;on&lt;span class="_ _7"&gt;&lt;/span&gt;si&lt;span class="_ _7"&gt;&lt;/span&gt;de&lt;span class="_ _7"&gt;&lt;/span&gt;re&lt;span class="_ _7"&gt;&lt;/span&gt;d mat&lt;span class="_ _7"&gt;&lt;/span&gt;eri&lt;span class="_ _7"&gt;&lt;/span&gt;al to Volvo C&lt;span class="_ _7"&gt;&lt;/span&gt;ar G&lt;span class="_ _7"&gt;&lt;/span&gt;ro&lt;span class="_ _7"&gt;&lt;/span&gt;up ar&lt;span class="_ _7"&gt;&lt;/span&gt;e de&lt;span class="_ _7"&gt;&lt;/span&gt;s&lt;span class="_ _7"&gt;&lt;/span&gt;cri&lt;span class="_ _7"&gt;&lt;/span&gt;be&lt;span class="_ _7"&gt;&lt;/span&gt;d in &lt;/span&gt;&lt;span style="display:inherit;clear:left;"&gt;con&lt;span class="_ _7"&gt;&lt;/span&gt;ju&lt;span class="_ _7"&gt;&lt;/span&gt;nc&lt;span class="_ _7"&gt;&lt;/span&gt;tio&lt;span class="_ _7"&gt;&lt;/span&gt;n wi&lt;span class="_ _7"&gt;&lt;/span&gt;th ea&lt;span class="_ _7"&gt;&lt;/span&gt;ch n&lt;span class="_ _7"&gt;&lt;/span&gt;ote. W&lt;span class="_ _7"&gt;&lt;/span&gt;he&lt;span class="_ _7"&gt;&lt;/span&gt;n a new a&lt;span class="_ _7"&gt;&lt;/span&gt;cc&lt;span class="_ _7"&gt;&lt;/span&gt;ou&lt;span class="_ _7"&gt;&lt;/span&gt;nti&lt;span class="_ _7"&gt;&lt;/span&gt;ng po&lt;span class="_ _7"&gt;&lt;/span&gt;li&lt;span class="_ _7"&gt;&lt;/span&gt;cy ha&lt;span class="_ _7"&gt;&lt;/span&gt;s be&lt;span class="_ _7"&gt;&lt;/span&gt;en &lt;/span&gt;&lt;span style="display:inherit;clear:left;"&gt;imp&lt;span class="_ _7"&gt;&lt;/span&gt;le&lt;span class="_ _7"&gt;&lt;/span&gt;men&lt;span class="_ _7"&gt;&lt;/span&gt;ted o&lt;span class="_ _7"&gt;&lt;/span&gt;r wh&lt;span class="_ _7"&gt;&lt;/span&gt;en th&lt;span class="_ _7"&gt;&lt;/span&gt;er&lt;span class="_ _7"&gt;&lt;/span&gt;e ha&lt;span class="_ _7"&gt;&lt;/span&gt;s be&lt;span class="_ _7"&gt;&lt;/span&gt;en c&lt;span class="_ _7"&gt;&lt;/span&gt;ha&lt;span class="_ _7"&gt;&lt;/span&gt;nge&lt;span class="_ _7"&gt;&lt;/span&gt;s in d&lt;span class="_ _7"&gt;&lt;/span&gt;is&lt;span class="_ _7"&gt;&lt;/span&gt;clo&lt;span class="_ _7"&gt;&lt;/span&gt;s&lt;span class="_ _7"&gt;&lt;/span&gt;ure&lt;span class="_ _7"&gt;&lt;/span&gt;s th&lt;span class="_ _7"&gt;&lt;/span&gt;is i&lt;span class="_ _7"&gt;&lt;/span&gt;s &lt;/span&gt;&lt;span style="display:inherit;clear:left;"&gt;de&lt;span class="_ _7"&gt;&lt;/span&gt;sc&lt;span class="_ _7"&gt;&lt;/span&gt;ri&lt;span class="_ _7"&gt;&lt;/span&gt;be&lt;span class="_ _7"&gt;&lt;/span&gt;d as p&lt;span class="_ _7"&gt;&lt;/span&gt;ar&lt;span class="_ _7"&gt;&lt;/span&gt;t o&lt;span class="_ _7"&gt;&lt;/span&gt;f the r&lt;span class="_ _7"&gt;&lt;/span&gt;ele&lt;span class="_ _7"&gt;&lt;/span&gt;van&lt;span class="_ _7"&gt;&lt;/span&gt;t no&lt;span class="_ _7"&gt;&lt;/span&gt;te.&lt;/span&gt;&lt;span style="display:inherit;clear:left;"&gt;In order&lt;span class="_ _2"&gt;&lt;/span&gt; to avoid&lt;span class="_ _2"&gt;&lt;/span&gt; duplication of inf&lt;span class="_ _2"&gt;&lt;/span&gt;ormation, cross-references&lt;span class="_ _2"&gt;&lt;/span&gt; &lt;/span&gt;&lt;span style="display:inherit;clear:left;"&gt;have b&lt;span class="_ _7"&gt;&lt;/span&gt;e&lt;span class="_ _7"&gt;&lt;/span&gt;en m&lt;span class="_ _7"&gt;&lt;/span&gt;ade b&lt;span class="_ _7"&gt;&lt;/span&gt;et&lt;span class="_ _7"&gt;&lt;/span&gt;we&lt;span class="_ _7"&gt;&lt;/span&gt;en d&lt;span class="_ _7"&gt;&lt;/span&gt;if&lt;span class="_ _9"&gt;&lt;/span&gt;fer&lt;span class="_ _7"&gt;&lt;/span&gt;ent p&lt;span class="_ _7"&gt;&lt;/span&gt;ar&lt;span class="_ _7"&gt;&lt;/span&gt;t&lt;span class="_ _7"&gt;&lt;/span&gt;s o&lt;span class="_ _7"&gt;&lt;/span&gt;f the a&lt;span class="_ _7"&gt;&lt;/span&gt;nnu&lt;span class="_ _7"&gt;&lt;/span&gt;al r&lt;span class="_ _7"&gt;&lt;/span&gt;ep&lt;span class="_ _7"&gt;&lt;/span&gt;or&lt;span class="_ _7"&gt;&lt;/span&gt;t&lt;span class="_ _7"&gt;&lt;/span&gt;. &lt;/span&gt;&lt;span style="display:inherit;clear:left;"&gt;New accounting policies&lt;/span&gt;&lt;span style="display:inherit;clear:left;"&gt;New account&lt;span class="_ _2"&gt;&lt;/span&gt;ing policies 2&lt;span class="_ _2"&gt;&lt;/span&gt;025&lt;/span&gt;&lt;span style="display:inherit;clear:left;"&gt;IASB h&lt;span class="_ _7"&gt;&lt;/span&gt;as p&lt;span class="_ _7"&gt;&lt;/span&gt;ub&lt;span class="_ _7"&gt;&lt;/span&gt;li&lt;span class="_ _7"&gt;&lt;/span&gt;sh&lt;span class="_ _7"&gt;&lt;/span&gt;ed am&lt;span class="_ _7"&gt;&lt;/span&gt;en&lt;span class="_ _7"&gt;&lt;/span&gt;dm&lt;span class="_ _7"&gt;&lt;/span&gt;ent&lt;span class="_ _7"&gt;&lt;/span&gt;s to s&lt;span class="_ _7"&gt;&lt;/span&gt;t&lt;span class="_ _7"&gt;&lt;/span&gt;and&lt;span class="_ _7"&gt;&lt;/span&gt;ar&lt;span class="_ _7"&gt;&lt;/span&gt;ds t&lt;span class="_ _7"&gt;&lt;/span&gt;hat w&lt;span class="_ _7"&gt;&lt;/span&gt;ere e&lt;span class="_ _7"&gt;&lt;/span&gt;nd&lt;span class="_ _7"&gt;&lt;/span&gt;or&lt;span class="_ _7"&gt;&lt;/span&gt;s&lt;span class="_ _7"&gt;&lt;/span&gt;ed &lt;/span&gt;&lt;span style="display:inherit;clear:left;"&gt;by EU, ef&lt;span class="_ _9"&gt;&lt;/span&gt;fec&lt;span class="_ _7"&gt;&lt;/span&gt;ti&lt;span class="_ _7"&gt;&lt;/span&gt;ve af&lt;span class="_ _9"&gt;&lt;/span&gt;ter 1 Ja&lt;span class="_ _7"&gt;&lt;/span&gt;nu&lt;span class="_ _7"&gt;&lt;/span&gt;ar&lt;span class="_ _7"&gt;&lt;/span&gt;y 2025. T&lt;span class="_ _7"&gt;&lt;/span&gt;he&lt;span class="_ _7"&gt;&lt;/span&gt;se a&lt;span class="_ _7"&gt;&lt;/span&gt;dd&lt;span class="_ _7"&gt;&lt;/span&gt;iti&lt;span class="_ _7"&gt;&lt;/span&gt;on&lt;span class="_ _7"&gt;&lt;/span&gt;s ha&lt;span class="_ _7"&gt;&lt;/span&gt;ve not h&lt;span class="_ _7"&gt;&lt;/span&gt;ad &lt;/span&gt;&lt;span style="display:inherit;clear:left;"&gt;any m&lt;span class="_ _7"&gt;&lt;/span&gt;ater&lt;span class="_ _7"&gt;&lt;/span&gt;ia&lt;span class="_ _7"&gt;&lt;/span&gt;l im&lt;span class="_ _7"&gt;&lt;/span&gt;pac&lt;span class="_ _7"&gt;&lt;/span&gt;t on t&lt;span class="_ _7"&gt;&lt;/span&gt;he f&lt;span class="_ _7"&gt;&lt;/span&gt;in&lt;span class="_ _7"&gt;&lt;/span&gt;an&lt;span class="_ _7"&gt;&lt;/span&gt;cia&lt;span class="_ _7"&gt;&lt;/span&gt;l st&lt;span class="_ _7"&gt;&lt;/span&gt;ate&lt;span class="_ _7"&gt;&lt;/span&gt;me&lt;span class="_ _7"&gt;&lt;/span&gt;nt&lt;span class="_ _7"&gt;&lt;/span&gt;s&lt;span class="_ _7"&gt;&lt;/span&gt;. &lt;/span&gt;&lt;span style="display:inherit;clear:left;"&gt;New ac&lt;span class="_ _7"&gt;&lt;/span&gt;co&lt;span class="_ _7"&gt;&lt;/span&gt;unti&lt;span class="_ _7"&gt;&lt;/span&gt;ng pol&lt;span class="_ _7"&gt;&lt;/span&gt;ici&lt;span class="_ _7"&gt;&lt;/span&gt;es 2026 and l&lt;span class="_ _7"&gt;&lt;/span&gt;ater&lt;/span&gt;&lt;span style="display:inherit;clear:left;"&gt;IASB h&lt;span class="_ _7"&gt;&lt;/span&gt;as p&lt;span class="_ _7"&gt;&lt;/span&gt;ub&lt;span class="_ _7"&gt;&lt;/span&gt;li&lt;span class="_ _7"&gt;&lt;/span&gt;sh&lt;span class="_ _7"&gt;&lt;/span&gt;ed s&lt;span class="_ _7"&gt;&lt;/span&gt;ta&lt;span class="_ _7"&gt;&lt;/span&gt;nd&lt;span class="_ _7"&gt;&lt;/span&gt;ar&lt;span class="_ _7"&gt;&lt;/span&gt;ds an&lt;span class="_ _7"&gt;&lt;/span&gt;d am&lt;span class="_ _7"&gt;&lt;/span&gt;en&lt;span class="_ _7"&gt;&lt;/span&gt;dm&lt;span class="_ _7"&gt;&lt;/span&gt;ent&lt;span class="_ _7"&gt;&lt;/span&gt;s to s&lt;span class="_ _7"&gt;&lt;/span&gt;ta&lt;span class="_ _7"&gt;&lt;/span&gt;nd&lt;span class="_ _7"&gt;&lt;/span&gt;ar&lt;span class="_ _7"&gt;&lt;/span&gt;ds th&lt;span class="_ _7"&gt;&lt;/span&gt;at &lt;/span&gt;&lt;span style="display:inherit;clear:left;"&gt;wer&lt;span class="_ _7"&gt;&lt;/span&gt;e en&lt;span class="_ _7"&gt;&lt;/span&gt;do&lt;span class="_ _7"&gt;&lt;/span&gt;rs&lt;span class="_ _7"&gt;&lt;/span&gt;e&lt;span class="_ _7"&gt;&lt;/span&gt;d by EU, ef&lt;span class="_ _9"&gt;&lt;/span&gt;fec&lt;span class="_ _7"&gt;&lt;/span&gt;ti&lt;span class="_ _7"&gt;&lt;/span&gt;ve af&lt;span class="_ _9"&gt;&lt;/span&gt;ter 1 Ja&lt;span class="_ _7"&gt;&lt;/span&gt;nu&lt;span class="_ _7"&gt;&lt;/span&gt;ar&lt;span class="_ _7"&gt;&lt;/span&gt;y 2026. N&lt;span class="_ _7"&gt;&lt;/span&gt;one o&lt;span class="_ _7"&gt;&lt;/span&gt;f th&lt;span class="_ _7"&gt;&lt;/span&gt;e &lt;/span&gt;&lt;span style="display:inherit;clear:left;"&gt;ame&lt;span class="_ _7"&gt;&lt;/span&gt;nd&lt;span class="_ _7"&gt;&lt;/span&gt;me&lt;span class="_ _7"&gt;&lt;/span&gt;nt&lt;span class="_ _7"&gt;&lt;/span&gt;s are ex&lt;span class="_ _7"&gt;&lt;/span&gt;p&lt;span class="_ _7"&gt;&lt;/span&gt;ec&lt;span class="_ _7"&gt;&lt;/span&gt;ted to h&lt;span class="_ _7"&gt;&lt;/span&gt;ave a m&lt;span class="_ _7"&gt;&lt;/span&gt;ate&lt;span class="_ _7"&gt;&lt;/span&gt;ri&lt;span class="_ _7"&gt;&lt;/span&gt;al e&lt;span class="_ _7"&gt;&lt;/span&gt;f&lt;span class="_ _7"&gt;&lt;/span&gt;fe&lt;span class="_ _7"&gt;&lt;/span&gt;ct o&lt;span class="_ _7"&gt;&lt;/span&gt;n the f&lt;span class="_ _7"&gt;&lt;/span&gt;i&lt;span class="_ _7"&gt;&lt;/span&gt;nan&lt;span class="_ _7"&gt;&lt;/span&gt;ci&lt;span class="_ _7"&gt;&lt;/span&gt;al &lt;/span&gt;&lt;span style="display:inherit;clear:left;"&gt;st&lt;span class="_ _7"&gt;&lt;/span&gt;ate&lt;span class="_ _7"&gt;&lt;/span&gt;me&lt;span class="_ _7"&gt;&lt;/span&gt;nt&lt;span class="_ _7"&gt;&lt;/span&gt;s. T&lt;span class="_ _7"&gt;&lt;/span&gt;he n&lt;span class="_ _7"&gt;&lt;/span&gt;ew s&lt;span class="_ _7"&gt;&lt;/span&gt;ta&lt;span class="_ _7"&gt;&lt;/span&gt;nd&lt;span class="_ _7"&gt;&lt;/span&gt;ar&lt;span class="_ _7"&gt;&lt;/span&gt;d IFRS 18 Pr&lt;span class="_ _7"&gt;&lt;/span&gt;es&lt;span class="_ _7"&gt;&lt;/span&gt;en&lt;span class="_ _7"&gt;&lt;/span&gt;ta&lt;span class="_ _7"&gt;&lt;/span&gt;tio&lt;span class="_ _7"&gt;&lt;/span&gt;n an&lt;span class="_ _7"&gt;&lt;/span&gt;d Di&lt;span class="_ _7"&gt;&lt;/span&gt;sc&lt;span class="_ _7"&gt;&lt;/span&gt;los&lt;span class="_ _7"&gt;&lt;/span&gt;ur&lt;span class="_ _7"&gt;&lt;/span&gt;e &lt;/span&gt;&lt;span style="display:inherit;clear:left;"&gt;in Fi&lt;span class="_ _7"&gt;&lt;/span&gt;na&lt;span class="_ _7"&gt;&lt;/span&gt;nci&lt;span class="_ _7"&gt;&lt;/span&gt;al St&lt;span class="_ _7"&gt;&lt;/span&gt;at&lt;span class="_ _7"&gt;&lt;/span&gt;eme&lt;span class="_ _7"&gt;&lt;/span&gt;nt&lt;span class="_ _7"&gt;&lt;/span&gt;s wa&lt;span class="_ _7"&gt;&lt;/span&gt;s re&lt;span class="_ _7"&gt;&lt;/span&gt;lea&lt;span class="_ _7"&gt;&lt;/span&gt;s&lt;span class="_ _7"&gt;&lt;/span&gt;ed in A&lt;span class="_ _7"&gt;&lt;/span&gt;pr&lt;span class="_ _7"&gt;&lt;/span&gt;il 2024 an&lt;span class="_ _7"&gt;&lt;/span&gt;d ha&lt;span class="_ _7"&gt;&lt;/span&gt;s an ef&lt;span class="_ _9"&gt;&lt;/span&gt;fec-&lt;/span&gt;&lt;span style="display:inherit;clear:left;"&gt;tiv&lt;span class="_ _7"&gt;&lt;/span&gt;e dat&lt;span class="_ _7"&gt;&lt;/span&gt;e 1 Jan&lt;span class="_ _7"&gt;&lt;/span&gt;ua&lt;span class="_ _7"&gt;&lt;/span&gt;r&lt;span class="_ _7"&gt;&lt;/span&gt;y 2027&lt;span class="_ _2"&gt;&lt;/span&gt;. An im&lt;span class="_ _7"&gt;&lt;/span&gt;pa&lt;span class="_ _7"&gt;&lt;/span&gt;ct a&lt;span class="_ _7"&gt;&lt;/span&gt;s&lt;span class="_ _7"&gt;&lt;/span&gt;se&lt;span class="_ _7"&gt;&lt;/span&gt;s&lt;span class="_ _7"&gt;&lt;/span&gt;s&lt;span class="_ _7"&gt;&lt;/span&gt;me&lt;span class="_ _7"&gt;&lt;/span&gt;nt is c&lt;span class="_ _7"&gt;&lt;/span&gt;ur&lt;span class="_ _7"&gt;&lt;/span&gt;ren&lt;span class="_ _7"&gt;&lt;/span&gt;tly b&lt;span class="_ _7"&gt;&lt;/span&gt;ein&lt;span class="_ _7"&gt;&lt;/span&gt;g &lt;/span&gt;&lt;span style="display:inherit;clear:left;"&gt;pe&lt;span class="_ _7"&gt;&lt;/span&gt;r&lt;span class="_ _7"&gt;&lt;/span&gt;fo&lt;span class="_ _7"&gt;&lt;/span&gt;rm&lt;span class="_ _7"&gt;&lt;/span&gt;ed a&lt;span class="_ _7"&gt;&lt;/span&gt;s to ho&lt;span class="_ _7"&gt;&lt;/span&gt;w thi&lt;span class="_ _7"&gt;&lt;/span&gt;s new s&lt;span class="_ _7"&gt;&lt;/span&gt;t&lt;span class="_ _7"&gt;&lt;/span&gt;an&lt;span class="_ _7"&gt;&lt;/span&gt;dar&lt;span class="_ _7"&gt;&lt;/span&gt;d wi&lt;span class="_ _7"&gt;&lt;/span&gt;ll im&lt;span class="_ _7"&gt;&lt;/span&gt;pa&lt;span class="_ _7"&gt;&lt;/span&gt;ct t&lt;span class="_ _7"&gt;&lt;/span&gt;he f&lt;span class="_ _7"&gt;&lt;/span&gt;in&lt;span class="_ _7"&gt;&lt;/span&gt;anc&lt;span class="_ _7"&gt;&lt;/span&gt;ial &lt;/span&gt;&lt;span style="display:inherit;clear:left;"&gt;statem&lt;span class="_ _7"&gt;&lt;/span&gt;ents&lt;span class="_ _7"&gt;&lt;/span&gt;.&lt;/span&gt;&lt;span style="display:inherit;clear:left;"&gt;Basis of consolidat&lt;span class="_ _2"&gt;&lt;/span&gt;ion&lt;/span&gt;&lt;span style="display:inherit;clear:left;"&gt;Th&lt;span class="_ _7"&gt;&lt;/span&gt;e con&lt;span class="_ _7"&gt;&lt;/span&gt;s&lt;span class="_ _7"&gt;&lt;/span&gt;oli&lt;span class="_ _7"&gt;&lt;/span&gt;da&lt;span class="_ _7"&gt;&lt;/span&gt;ted a&lt;span class="_ _7"&gt;&lt;/span&gt;cc&lt;span class="_ _7"&gt;&lt;/span&gt;oun&lt;span class="_ _7"&gt;&lt;/span&gt;ts i&lt;span class="_ _7"&gt;&lt;/span&gt;nc&lt;span class="_ _7"&gt;&lt;/span&gt;lud&lt;span class="_ _7"&gt;&lt;/span&gt;e Volvo Ca&lt;span class="_ _7"&gt;&lt;/span&gt;r AB (p&lt;span class="_ _7"&gt;&lt;/span&gt;ub&lt;span class="_ _7"&gt;&lt;/span&gt;l.) a&lt;span class="_ _7"&gt;&lt;/span&gt;nd i&lt;span class="_ _7"&gt;&lt;/span&gt;ts  &lt;/span&gt;&lt;span style="display:inherit;clear:left;"&gt;sub&lt;span class="_ _7"&gt;&lt;/span&gt;s&lt;span class="_ _7"&gt;&lt;/span&gt;idi&lt;span class="_ _7"&gt;&lt;/span&gt;ar&lt;span class="_ _7"&gt;&lt;/span&gt;ie&lt;span class="_ _7"&gt;&lt;/span&gt;s&lt;span class="_ _7"&gt;&lt;/span&gt;. Sub&lt;span class="_ _7"&gt;&lt;/span&gt;s&lt;span class="_ _7"&gt;&lt;/span&gt;idi&lt;span class="_ _7"&gt;&lt;/span&gt;ar&lt;span class="_ _7"&gt;&lt;/span&gt;ie&lt;span class="_ _7"&gt;&lt;/span&gt;s ar&lt;span class="_ _7"&gt;&lt;/span&gt;e all e&lt;span class="_ _7"&gt;&lt;/span&gt;nti&lt;span class="_ _7"&gt;&lt;/span&gt;tie&lt;span class="_ _7"&gt;&lt;/span&gt;s ov&lt;span class="_ _7"&gt;&lt;/span&gt;er wh&lt;span class="_ _7"&gt;&lt;/span&gt;ich Volvo C&lt;span class="_ _7"&gt;&lt;/span&gt;ar G&lt;span class="_ _7"&gt;&lt;/span&gt;ro&lt;span class="_ _7"&gt;&lt;/span&gt;up &lt;/span&gt;&lt;span style="display:inherit;clear:left;"&gt;ha&lt;span class="_ _7"&gt;&lt;/span&gt;s con&lt;span class="_ _7"&gt;&lt;/span&gt;tr&lt;span class="_ _7"&gt;&lt;/span&gt;ol&lt;span class="_ _7"&gt;&lt;/span&gt;. Volvo Ca&lt;span class="_ _7"&gt;&lt;/span&gt;r Gr&lt;span class="_ _7"&gt;&lt;/span&gt;oup c&lt;span class="_ _7"&gt;&lt;/span&gt;on&lt;span class="_ _7"&gt;&lt;/span&gt;tro&lt;span class="_ _7"&gt;&lt;/span&gt;l&lt;span class="_ _7"&gt;&lt;/span&gt;s an en&lt;span class="_ _7"&gt;&lt;/span&gt;tit&lt;span class="_ _7"&gt;&lt;/span&gt;y w&lt;span class="_ _7"&gt;&lt;/span&gt;he&lt;span class="_ _7"&gt;&lt;/span&gt;n exp&lt;span class="_ _7"&gt;&lt;/span&gt;os&lt;span class="_ _7"&gt;&lt;/span&gt;e&lt;span class="_ _7"&gt;&lt;/span&gt;d to, o&lt;span class="_ _7"&gt;&lt;/span&gt;r &lt;/span&gt;&lt;span style="display:inherit;clear:left;"&gt;ha&lt;span class="_ _7"&gt;&lt;/span&gt;s rig&lt;span class="_ _7"&gt;&lt;/span&gt;ht&lt;span class="_ _7"&gt;&lt;/span&gt;s to, v&lt;span class="_ _7"&gt;&lt;/span&gt;ari&lt;span class="_ _7"&gt;&lt;/span&gt;ab&lt;span class="_ _7"&gt;&lt;/span&gt;le re&lt;span class="_ _7"&gt;&lt;/span&gt;tur&lt;span class="_ _7"&gt;&lt;/span&gt;ns f&lt;span class="_ _7"&gt;&lt;/span&gt;r&lt;span class="_ _7"&gt;&lt;/span&gt;om it&lt;span class="_ _7"&gt;&lt;/span&gt;s in&lt;span class="_ _7"&gt;&lt;/span&gt;volv&lt;span class="_ _7"&gt;&lt;/span&gt;eme&lt;span class="_ _7"&gt;&lt;/span&gt;nt w&lt;span class="_ _7"&gt;&lt;/span&gt;ith t&lt;span class="_ _7"&gt;&lt;/span&gt;he en&lt;span class="_ _7"&gt;&lt;/span&gt;tit&lt;span class="_ _7"&gt;&lt;/span&gt;y &lt;/span&gt;&lt;span style="display:inherit;clear:left;"&gt;and h&lt;span class="_ _7"&gt;&lt;/span&gt;as t&lt;span class="_ _7"&gt;&lt;/span&gt;he a&lt;span class="_ _7"&gt;&lt;/span&gt;bil&lt;span class="_ _7"&gt;&lt;/span&gt;it&lt;span class="_ _7"&gt;&lt;/span&gt;y to a&lt;span class="_ _7"&gt;&lt;/span&gt;f&lt;span class="_ _7"&gt;&lt;/span&gt;fe&lt;span class="_ _7"&gt;&lt;/span&gt;ct t&lt;span class="_ _7"&gt;&lt;/span&gt;ho&lt;span class="_ _7"&gt;&lt;/span&gt;se r&lt;span class="_ _7"&gt;&lt;/span&gt;et&lt;span class="_ _7"&gt;&lt;/span&gt;urn&lt;span class="_ _7"&gt;&lt;/span&gt;s th&lt;span class="_ _7"&gt;&lt;/span&gt;ro&lt;span class="_ _7"&gt;&lt;/span&gt;ugh i&lt;span class="_ _7"&gt;&lt;/span&gt;ts p&lt;span class="_ _7"&gt;&lt;/span&gt;owe&lt;span class="_ _7"&gt;&lt;/span&gt;r ove&lt;span class="_ _7"&gt;&lt;/span&gt;r the &lt;/span&gt;&lt;span style="display:inherit;clear:left;"&gt;e&lt;span class="_ _7"&gt;&lt;/span&gt;n&lt;span class="_ _7"&gt;&lt;/span&gt;t&lt;span class="_ _7"&gt;&lt;/span&gt;i&lt;span class="_ _7"&gt;&lt;/span&gt;t&lt;span class="_ _7"&gt;&lt;/span&gt;y.&lt;span class="_ _7"&gt;&lt;/span&gt; &lt;/span&gt;&lt;span style="display:inherit;clear:left;"&gt;All w&lt;span class="_ _7"&gt;&lt;/span&gt;ho&lt;span class="_ _7"&gt;&lt;/span&gt;lly-ow&lt;span class="_ _7"&gt;&lt;/span&gt;ne&lt;span class="_ _7"&gt;&lt;/span&gt;d su&lt;span class="_ _7"&gt;&lt;/span&gt;bs&lt;span class="_ _7"&gt;&lt;/span&gt;idi&lt;span class="_ _7"&gt;&lt;/span&gt;ar&lt;span class="_ _7"&gt;&lt;/span&gt;ie&lt;span class="_ _7"&gt;&lt;/span&gt;s an&lt;span class="_ _7"&gt;&lt;/span&gt;d ce&lt;span class="_ _7"&gt;&lt;/span&gt;r&lt;span class="_ _7"&gt;&lt;/span&gt;ta&lt;span class="_ _7"&gt;&lt;/span&gt;in c&lt;span class="_ _7"&gt;&lt;/span&gt;omp&lt;span class="_ _7"&gt;&lt;/span&gt;an&lt;span class="_ _7"&gt;&lt;/span&gt;ie&lt;span class="_ _7"&gt;&lt;/span&gt;s own&lt;span class="_ _7"&gt;&lt;/span&gt;e&lt;span class="_ _7"&gt;&lt;/span&gt;d to &lt;/span&gt;&lt;span style="display:inherit;clear:left;"&gt;50 pe&lt;span class="_ _7"&gt;&lt;/span&gt;r ce&lt;span class="_ _7"&gt;&lt;/span&gt;nt or m&lt;span class="_ _7"&gt;&lt;/span&gt;or&lt;span class="_ _7"&gt;&lt;/span&gt;e, ar&lt;span class="_ _7"&gt;&lt;/span&gt;e co&lt;span class="_ _7"&gt;&lt;/span&gt;ns&lt;span class="_ _7"&gt;&lt;/span&gt;o&lt;span class="_ _7"&gt;&lt;/span&gt;lid&lt;span class="_ _7"&gt;&lt;/span&gt;ate&lt;span class="_ _7"&gt;&lt;/span&gt;d, s&lt;span class="_ _7"&gt;&lt;/span&gt;e&lt;span class="_ _7"&gt;&lt;/span&gt;e Note 8 – P&lt;span class="_ _7"&gt;&lt;/span&gt;ar&lt;span class="_ _7"&gt;&lt;/span&gt;ti&lt;span class="_ _7"&gt;&lt;/span&gt;ci&lt;span class="_ _7"&gt;&lt;/span&gt;pat&lt;span class="_ _7"&gt;&lt;/span&gt;io&lt;span class="_ _7"&gt;&lt;/span&gt;n in &lt;/span&gt;&lt;span style="display:inherit;clear:left;"&gt;subsidiaries (Parent&lt;span class="_ _2"&gt;&lt;/span&gt; Company)&lt;span class="_ _2"&gt;&lt;/span&gt;. Subsidiaries are full&lt;span class="_ _2"&gt;&lt;/span&gt;y consolidated &lt;/span&gt;&lt;span style="display:inherit;clear:left;"&gt;fr&lt;span class="_ _7"&gt;&lt;/span&gt;om th&lt;span class="_ _7"&gt;&lt;/span&gt;e da&lt;span class="_ _7"&gt;&lt;/span&gt;te on w&lt;span class="_ _7"&gt;&lt;/span&gt;hic&lt;span class="_ _7"&gt;&lt;/span&gt;h co&lt;span class="_ _7"&gt;&lt;/span&gt;ntr&lt;span class="_ _7"&gt;&lt;/span&gt;ol i&lt;span class="_ _7"&gt;&lt;/span&gt;s tr&lt;span class="_ _7"&gt;&lt;/span&gt;an&lt;span class="_ _7"&gt;&lt;/span&gt;sf&lt;span class="_ _7"&gt;&lt;/span&gt;er&lt;span class="_ _7"&gt;&lt;/span&gt;re&lt;span class="_ _7"&gt;&lt;/span&gt;d to Volvo Ca&lt;span class="_ _7"&gt;&lt;/span&gt;r Gr&lt;span class="_ _7"&gt;&lt;/span&gt;oup&lt;span class="_ _7"&gt;&lt;/span&gt;. &lt;/span&gt;&lt;span style="display:inherit;clear:left;"&gt;Th&lt;span class="_ _7"&gt;&lt;/span&gt;ey are d&lt;span class="_ _7"&gt;&lt;/span&gt;ec&lt;span class="_ _7"&gt;&lt;/span&gt;on&lt;span class="_ _7"&gt;&lt;/span&gt;s&lt;span class="_ _7"&gt;&lt;/span&gt;oli&lt;span class="_ _7"&gt;&lt;/span&gt;da&lt;span class="_ _7"&gt;&lt;/span&gt;ted f&lt;span class="_ _7"&gt;&lt;/span&gt;ro&lt;span class="_ _7"&gt;&lt;/span&gt;m th&lt;span class="_ _7"&gt;&lt;/span&gt;e date t&lt;span class="_ _7"&gt;&lt;/span&gt;ha&lt;span class="_ _7"&gt;&lt;/span&gt;t con&lt;span class="_ _7"&gt;&lt;/span&gt;tro&lt;span class="_ _7"&gt;&lt;/span&gt;l ce&lt;span class="_ _7"&gt;&lt;/span&gt;as&lt;span class="_ _7"&gt;&lt;/span&gt;e&lt;span class="_ _7"&gt;&lt;/span&gt;s&lt;span class="_ _7"&gt;&lt;/span&gt;. Whe&lt;span class="_ _7"&gt;&lt;/span&gt;n &lt;/span&gt;&lt;span style="display:inherit;clear:left;"&gt;a sub&lt;span class="_ _7"&gt;&lt;/span&gt;s&lt;span class="_ _7"&gt;&lt;/span&gt;idi&lt;span class="_ _7"&gt;&lt;/span&gt;ar&lt;span class="_ _7"&gt;&lt;/span&gt;y i&lt;span class="_ _7"&gt;&lt;/span&gt;s no&lt;span class="_ _7"&gt;&lt;/span&gt;t wh&lt;span class="_ _7"&gt;&lt;/span&gt;ol&lt;span class="_ _7"&gt;&lt;/span&gt;ly-own&lt;span class="_ _7"&gt;&lt;/span&gt;ed by Volvo C&lt;span class="_ _7"&gt;&lt;/span&gt;ar G&lt;span class="_ _7"&gt;&lt;/span&gt;ro&lt;span class="_ _7"&gt;&lt;/span&gt;up, t&lt;span class="_ _7"&gt;&lt;/span&gt;he p&lt;span class="_ _7"&gt;&lt;/span&gt;or&lt;span class="_ _7"&gt;&lt;/span&gt;ti&lt;span class="_ _7"&gt;&lt;/span&gt;on o&lt;span class="_ _7"&gt;&lt;/span&gt;f &lt;/span&gt;&lt;span style="display:inherit;clear:left;"&gt;the r&lt;span class="_ _7"&gt;&lt;/span&gt;es&lt;span class="_ _7"&gt;&lt;/span&gt;ult&lt;span class="_ _7"&gt;&lt;/span&gt;s an&lt;span class="_ _7"&gt;&lt;/span&gt;d eq&lt;span class="_ _7"&gt;&lt;/span&gt;ui&lt;span class="_ _7"&gt;&lt;/span&gt;t&lt;span class="_ _7"&gt;&lt;/span&gt;y at&lt;span class="_ _7"&gt;&lt;/span&gt;tr&lt;span class="_ _7"&gt;&lt;/span&gt;ibu&lt;span class="_ _7"&gt;&lt;/span&gt;ta&lt;span class="_ _7"&gt;&lt;/span&gt;bl&lt;span class="_ _7"&gt;&lt;/span&gt;e to the n&lt;span class="_ _7"&gt;&lt;/span&gt;on-c&lt;span class="_ _7"&gt;&lt;/span&gt;ont&lt;span class="_ _7"&gt;&lt;/span&gt;ro&lt;span class="_ _7"&gt;&lt;/span&gt;lli&lt;span class="_ _7"&gt;&lt;/span&gt;ng in&lt;span class="_ _7"&gt;&lt;/span&gt;ter&lt;span class="_ _7"&gt;&lt;/span&gt;es&lt;span class="_ _7"&gt;&lt;/span&gt;t &lt;/span&gt;&lt;span style="display:inherit;clear:left;"&gt;are p&lt;span class="_ _7"&gt;&lt;/span&gt;re&lt;span class="_ _7"&gt;&lt;/span&gt;s&lt;span class="_ _7"&gt;&lt;/span&gt;ente&lt;span class="_ _7"&gt;&lt;/span&gt;d s&lt;span class="_ _7"&gt;&lt;/span&gt;ep&lt;span class="_ _7"&gt;&lt;/span&gt;ar&lt;span class="_ _7"&gt;&lt;/span&gt;ate&lt;span class="_ _7"&gt;&lt;/span&gt;ly in th&lt;span class="_ _7"&gt;&lt;/span&gt;e f&lt;span class="_ _7"&gt;&lt;/span&gt;ina&lt;span class="_ _7"&gt;&lt;/span&gt;nci&lt;span class="_ _7"&gt;&lt;/span&gt;al s&lt;span class="_ _7"&gt;&lt;/span&gt;t&lt;span class="_ _7"&gt;&lt;/span&gt;ate&lt;span class="_ _7"&gt;&lt;/span&gt;men&lt;span class="_ _7"&gt;&lt;/span&gt;ts&lt;span class="_ _7"&gt;&lt;/span&gt;.&lt;/span&gt;&lt;span style="display:inherit;clear:left;"&gt;Climate&lt;span class="_ _2"&gt;&lt;/span&gt; change&lt;/span&gt;&lt;span style="display:inherit;clear:left;"&gt;Be&lt;span class="_ _7"&gt;&lt;/span&gt;ing a&lt;span class="_ _7"&gt;&lt;/span&gt;n auto&lt;span class="_ _7"&gt;&lt;/span&gt;mo&lt;span class="_ _7"&gt;&lt;/span&gt;tiv&lt;span class="_ _7"&gt;&lt;/span&gt;e in&lt;span class="_ _7"&gt;&lt;/span&gt;dus&lt;span class="_ _7"&gt;&lt;/span&gt;tr&lt;span class="_ _9"&gt;&lt;/span&gt;y acto&lt;span class="_ _7"&gt;&lt;/span&gt;r, V&lt;span class="_ _2"&gt;&lt;/span&gt;olvo C&lt;span class="_ _7"&gt;&lt;/span&gt;ar&lt;span class="_ _7"&gt;&lt;/span&gt;s a&lt;span class="_ _7"&gt;&lt;/span&gt;ckn&lt;span class="_ _7"&gt;&lt;/span&gt;ow&lt;span class="_ _7"&gt;&lt;/span&gt;led&lt;span class="_ _7"&gt;&lt;/span&gt;ge&lt;span class="_ _7"&gt;&lt;/span&gt;s the &lt;/span&gt;&lt;span style="display:inherit;clear:left;"&gt;glo&lt;span class="_ _7"&gt;&lt;/span&gt;ba&lt;span class="_ _7"&gt;&lt;/span&gt;l thr&lt;span class="_ _7"&gt;&lt;/span&gt;ea&lt;span class="_ _7"&gt;&lt;/span&gt;t of cl&lt;span class="_ _7"&gt;&lt;/span&gt;im&lt;span class="_ _7"&gt;&lt;/span&gt;ate ch&lt;span class="_ _7"&gt;&lt;/span&gt;an&lt;span class="_ _7"&gt;&lt;/span&gt;ge an&lt;span class="_ _7"&gt;&lt;/span&gt;d gl&lt;span class="_ _7"&gt;&lt;/span&gt;ob&lt;span class="_ _7"&gt;&lt;/span&gt;al wa&lt;span class="_ _7"&gt;&lt;/span&gt;rm&lt;span class="_ _7"&gt;&lt;/span&gt;ing&lt;span class="_ _7"&gt;&lt;/span&gt;, toge&lt;span class="_ _7"&gt;&lt;/span&gt;th&lt;span class="_ _7"&gt;&lt;/span&gt;er wi&lt;span class="_ _7"&gt;&lt;/span&gt;th &lt;/span&gt;&lt;span style="display:inherit;clear:left;"&gt;the i&lt;span class="_ _7"&gt;&lt;/span&gt;mp&lt;span class="_ _7"&gt;&lt;/span&gt;or&lt;span class="_ _7"&gt;&lt;/span&gt;t&lt;span class="_ _7"&gt;&lt;/span&gt;an&lt;span class="_ _7"&gt;&lt;/span&gt;ce o&lt;span class="_ _7"&gt;&lt;/span&gt;f our o&lt;span class="_ _7"&gt;&lt;/span&gt;wn c&lt;span class="_ _7"&gt;&lt;/span&gt;ont&lt;span class="_ _7"&gt;&lt;/span&gt;rib&lt;span class="_ _7"&gt;&lt;/span&gt;ut&lt;span class="_ _7"&gt;&lt;/span&gt;io&lt;span class="_ _7"&gt;&lt;/span&gt;n to pr&lt;span class="_ _7"&gt;&lt;/span&gt;even&lt;span class="_ _7"&gt;&lt;/span&gt;t glo&lt;span class="_ _7"&gt;&lt;/span&gt;ba&lt;span class="_ _7"&gt;&lt;/span&gt;l cli&lt;span class="_ _7"&gt;&lt;/span&gt;ma&lt;span class="_ _7"&gt;&lt;/span&gt;te &lt;/span&gt;&lt;span style="display:inherit;clear:left;"&gt;act&lt;span class="_ _7"&gt;&lt;/span&gt;io&lt;span class="_ _7"&gt;&lt;/span&gt;n fa&lt;span class="_ _7"&gt;&lt;/span&gt;ilur&lt;</t>
  </si>
  <si>
    <t>f1__s8__6__171</t>
  </si>
  <si>
    <t>ifrs-full:DescriptionOfAccountingPolicyForBorrowingsExplanatory</t>
  </si>
  <si>
    <t>&lt;span style="display:inherit;clear:left;"&gt;Pay&lt;span class="_ _2"&gt;&lt;/span&gt;ables under supplier&lt;span class="_ _2"&gt;&lt;/span&gt; financing program&lt;span class="_ _2"&gt;&lt;/span&gt;mes&lt;/span&gt;&lt;span style="display:inherit;clear:left;"&gt;Liabilities arisin&lt;span class="_ _2"&gt;&lt;/span&gt;g under supplier financi&lt;span class="_ _2"&gt;&lt;/span&gt;ng programmes are classi&lt;span class="ls3 ws3"&gt;-&lt;/span&gt;&lt;/span&gt;&lt;span style="display:inherit;clear:left;"&gt;fi&lt;span class="_ _7"&gt;&lt;/span&gt;ed b&lt;span class="_ _7"&gt;&lt;/span&gt;as&lt;span class="_ _7"&gt;&lt;/span&gt;e&lt;span class="_ _7"&gt;&lt;/span&gt;d on th&lt;span class="_ _7"&gt;&lt;/span&gt;ei&lt;span class="_ _7"&gt;&lt;/span&gt;r con&lt;span class="_ _7"&gt;&lt;/span&gt;tr&lt;span class="_ _7"&gt;&lt;/span&gt;ac&lt;span class="_ _7"&gt;&lt;/span&gt;tua&lt;span class="_ _7"&gt;&lt;/span&gt;l su&lt;span class="_ _7"&gt;&lt;/span&gt;bs&lt;span class="_ _7"&gt;&lt;/span&gt;t&lt;span class="_ _7"&gt;&lt;/span&gt;anc&lt;span class="_ _7"&gt;&lt;/span&gt;e at i&lt;span class="_ _7"&gt;&lt;/span&gt;nit&lt;span class="_ _7"&gt;&lt;/span&gt;ial r&lt;span class="_ _7"&gt;&lt;/span&gt;ec&lt;span class="_ _7"&gt;&lt;/span&gt;og&lt;span class="_ _7"&gt;&lt;/span&gt;ni&lt;span class="_ _7"&gt;&lt;/span&gt;tio&lt;span class="_ _7"&gt;&lt;/span&gt;n.  &lt;/span&gt;&lt;span style="display:inherit;clear:left;"&gt;Ce&lt;span class="_ _7"&gt;&lt;/span&gt;r&lt;span class="_ _7"&gt;&lt;/span&gt;ta&lt;span class="_ _7"&gt;&lt;/span&gt;in b&lt;span class="_ _7"&gt;&lt;/span&gt;al&lt;span class="_ _7"&gt;&lt;/span&gt;anc&lt;span class="_ _7"&gt;&lt;/span&gt;e&lt;span class="_ _7"&gt;&lt;/span&gt;s are r&lt;span class="_ _7"&gt;&lt;/span&gt;ec&lt;span class="_ _7"&gt;&lt;/span&gt;og&lt;span class="_ _7"&gt;&lt;/span&gt;ni&lt;span class="_ _7"&gt;&lt;/span&gt;se&lt;span class="_ _7"&gt;&lt;/span&gt;d an&lt;span class="_ _7"&gt;&lt;/span&gt;d pr&lt;span class="_ _7"&gt;&lt;/span&gt;es&lt;span class="_ _7"&gt;&lt;/span&gt;en&lt;span class="_ _7"&gt;&lt;/span&gt;ted a&lt;span class="_ _7"&gt;&lt;/span&gt;s Acc&lt;span class="_ _7"&gt;&lt;/span&gt;ou&lt;span class="_ _7"&gt;&lt;/span&gt;nt&lt;span class="_ _7"&gt;&lt;/span&gt;s pay&lt;span class="_ _7"&gt;&lt;/span&gt;a-&lt;/span&gt;&lt;span style="display:inherit;clear:left;"&gt;ble&lt;span class="_ _7"&gt;&lt;/span&gt;, wh&lt;span class="_ _7"&gt;&lt;/span&gt;ile ot&lt;span class="_ _7"&gt;&lt;/span&gt;he&lt;span class="_ _7"&gt;&lt;/span&gt;r ba&lt;span class="_ _7"&gt;&lt;/span&gt;la&lt;span class="_ _7"&gt;&lt;/span&gt;nc&lt;span class="_ _7"&gt;&lt;/span&gt;es a&lt;span class="_ _7"&gt;&lt;/span&gt;re in&lt;span class="_ _7"&gt;&lt;/span&gt;iti&lt;span class="_ _7"&gt;&lt;/span&gt;al&lt;span class="_ _7"&gt;&lt;/span&gt;ly re&lt;span class="_ _7"&gt;&lt;/span&gt;cog&lt;span class="_ _7"&gt;&lt;/span&gt;ni&lt;span class="_ _7"&gt;&lt;/span&gt;s&lt;span class="_ _7"&gt;&lt;/span&gt;ed an&lt;span class="_ _7"&gt;&lt;/span&gt;d pr&lt;span class="_ _7"&gt;&lt;/span&gt;e&lt;span class="_ _7"&gt;&lt;/span&gt;se&lt;span class="_ _7"&gt;&lt;/span&gt;nte&lt;span class="_ _7"&gt;&lt;/span&gt;d as &lt;/span&gt;&lt;span style="display:inherit;clear:left;"&gt;Ot&lt;span class="_ _7"&gt;&lt;/span&gt;he&lt;span class="_ _7"&gt;&lt;/span&gt;r cur&lt;span class="_ _7"&gt;&lt;/span&gt;re&lt;span class="_ _7"&gt;&lt;/span&gt;nt li&lt;span class="_ _7"&gt;&lt;/span&gt;abi&lt;span class="_ _7"&gt;&lt;/span&gt;lit&lt;span class="_ _7"&gt;&lt;/span&gt;ie&lt;span class="_ _7"&gt;&lt;/span&gt;s&lt;span class="_ _7"&gt;&lt;/span&gt;. Th&lt;span class="_ _7"&gt;&lt;/span&gt;e pro&lt;span class="_ _7"&gt;&lt;/span&gt;gr&lt;span class="_ _7"&gt;&lt;/span&gt;am&lt;span class="_ _7"&gt;&lt;/span&gt;me&lt;span class="_ _7"&gt;&lt;/span&gt;s do n&lt;span class="_ _7"&gt;&lt;/span&gt;ot re&lt;span class="_ _7"&gt;&lt;/span&gt;s&lt;span class="_ _7"&gt;&lt;/span&gt;ult in d&lt;span class="_ _7"&gt;&lt;/span&gt;er&lt;span class="_ _7"&gt;&lt;/span&gt;ec&lt;span class="_ _7"&gt;&lt;/span&gt;og-&lt;/span&gt;&lt;span style="display:inherit;clear:left;"&gt;nition of the liabili&lt;span class="_ _7"&gt;&lt;/span&gt;ties&lt;span class="_ _7"&gt;&lt;/span&gt;.&lt;/span&gt;</t>
  </si>
  <si>
    <t>f1__s8__6__173-1</t>
  </si>
  <si>
    <t>ifrs-full:DescriptionOfAccountingPolicyForDerivativeFinancialInstrumentsAndHedgingExplanatory</t>
  </si>
  <si>
    <t>&lt;span style="display:inherit;clear:left;"&gt;Hedge a&lt;span class="_ _7"&gt;&lt;/span&gt;cc&lt;span class="_ _7"&gt;&lt;/span&gt;oun&lt;span class="_ _7"&gt;&lt;/span&gt;ting &lt;/span&gt;&lt;span style="display:inherit;clear:left;"&gt;Volvo Ca&lt;span class="_ _7"&gt;&lt;/span&gt;r Gro&lt;span class="_ _7"&gt;&lt;/span&gt;up a&lt;span class="_ _7"&gt;&lt;/span&gt;pp&lt;span class="_ _7"&gt;&lt;/span&gt;lie&lt;span class="_ _7"&gt;&lt;/span&gt;s he&lt;span class="_ _7"&gt;&lt;/span&gt;dg&lt;span class="_ _7"&gt;&lt;/span&gt;e acc&lt;span class="_ _7"&gt;&lt;/span&gt;ou&lt;span class="_ _7"&gt;&lt;/span&gt;nti&lt;span class="_ _7"&gt;&lt;/span&gt;ng wh&lt;span class="_ _7"&gt;&lt;/span&gt;en d&lt;span class="_ _7"&gt;&lt;/span&gt;er&lt;span class="_ _7"&gt;&lt;/span&gt;iv&lt;span class="_ _7"&gt;&lt;/span&gt;ati&lt;span class="_ _7"&gt;&lt;/span&gt;ve in&lt;span class="_ _7"&gt;&lt;/span&gt;st&lt;span class="_ _7"&gt;&lt;/span&gt;ru-&lt;/span&gt;&lt;span style="display:inherit;clear:left;"&gt;me&lt;span class="_ _7"&gt;&lt;/span&gt;nts a&lt;span class="_ _7"&gt;&lt;/span&gt;nd f&lt;span class="_ _7"&gt;&lt;/span&gt;in&lt;span class="_ _7"&gt;&lt;/span&gt;an&lt;span class="_ _7"&gt;&lt;/span&gt;cia&lt;span class="_ _7"&gt;&lt;/span&gt;l li&lt;span class="_ _7"&gt;&lt;/span&gt;abi&lt;span class="_ _7"&gt;&lt;/span&gt;lit&lt;span class="_ _7"&gt;&lt;/span&gt;ie&lt;span class="_ _7"&gt;&lt;/span&gt;s ar&lt;span class="_ _7"&gt;&lt;/span&gt;e inc&lt;span class="_ _7"&gt;&lt;/span&gt;lud&lt;span class="_ _7"&gt;&lt;/span&gt;ed i&lt;span class="_ _7"&gt;&lt;/span&gt;n a do&lt;span class="_ _7"&gt;&lt;/span&gt;cum&lt;span class="_ _7"&gt;&lt;/span&gt;en&lt;span class="_ _7"&gt;&lt;/span&gt;ted h&lt;span class="_ _7"&gt;&lt;/span&gt;ed&lt;span class="_ _7"&gt;&lt;/span&gt;ge &lt;/span&gt;&lt;span style="display:inherit;clear:left;"&gt;re&lt;span class="_ _7"&gt;&lt;/span&gt;lat&lt;span class="_ _7"&gt;&lt;/span&gt;io&lt;span class="_ _7"&gt;&lt;/span&gt;ns&lt;span class="_ _7"&gt;&lt;/span&gt;hip&lt;span class="_ _7"&gt;&lt;/span&gt;. At the in&lt;span class="_ _7"&gt;&lt;/span&gt;ce&lt;span class="_ _7"&gt;&lt;/span&gt;pti&lt;span class="_ _7"&gt;&lt;/span&gt;on o&lt;span class="_ _7"&gt;&lt;/span&gt;f th&lt;span class="_ _7"&gt;&lt;/span&gt;e he&lt;span class="_ _7"&gt;&lt;/span&gt;dge&lt;span class="_ _7"&gt;&lt;/span&gt;, Volvo Ca&lt;span class="_ _7"&gt;&lt;/span&gt;r Gro&lt;span class="_ _7"&gt;&lt;/span&gt;up d&lt;span class="_ _7"&gt;&lt;/span&gt;oc&lt;span class="_ _7"&gt;&lt;/span&gt;u-&lt;/span&gt;&lt;span style="display:inherit;clear:left;"&gt;me&lt;span class="_ _7"&gt;&lt;/span&gt;nts t&lt;span class="_ _7"&gt;&lt;/span&gt;he r&lt;span class="_ _7"&gt;&lt;/span&gt;el&lt;span class="_ _7"&gt;&lt;/span&gt;ati&lt;span class="_ _7"&gt;&lt;/span&gt;on&lt;span class="_ _7"&gt;&lt;/span&gt;sh&lt;span class="_ _7"&gt;&lt;/span&gt;ip b&lt;span class="_ _7"&gt;&lt;/span&gt;et&lt;span class="_ _7"&gt;&lt;/span&gt;we&lt;span class="_ _7"&gt;&lt;/span&gt;en h&lt;span class="_ _7"&gt;&lt;/span&gt;edg&lt;span class="_ _7"&gt;&lt;/span&gt;in&lt;span class="_ _7"&gt;&lt;/span&gt;g ins&lt;span class="_ _7"&gt;&lt;/span&gt;tr&lt;span class="_ _7"&gt;&lt;/span&gt;um&lt;span class="_ _7"&gt;&lt;/span&gt;en&lt;span class="_ _7"&gt;&lt;/span&gt;ts a&lt;span class="_ _7"&gt;&lt;/span&gt;nd h&lt;span class="_ _7"&gt;&lt;/span&gt;edg&lt;span class="_ _7"&gt;&lt;/span&gt;ed &lt;/span&gt;&lt;span style="display:inherit;clear:left;"&gt;ite&lt;span class="_ _7"&gt;&lt;/span&gt;ms&lt;span class="_ _7"&gt;&lt;/span&gt;, as w&lt;span class="_ _7"&gt;&lt;/span&gt;el&lt;span class="_ _7"&gt;&lt;/span&gt;l as it&lt;span class="_ _7"&gt;&lt;/span&gt;s r&lt;span class="_ _7"&gt;&lt;/span&gt;is&lt;span class="_ _7"&gt;&lt;/span&gt;k ma&lt;span class="_ _7"&gt;&lt;/span&gt;nag&lt;span class="_ _7"&gt;&lt;/span&gt;em&lt;span class="_ _7"&gt;&lt;/span&gt;ent s&lt;span class="_ _7"&gt;&lt;/span&gt;tr&lt;span class="_ _7"&gt;&lt;/span&gt;ate&lt;span class="_ _7"&gt;&lt;/span&gt;g&lt;span class="_ _7"&gt;&lt;/span&gt;y an&lt;span class="_ _7"&gt;&lt;/span&gt;d ob&lt;span class="_ _7"&gt;&lt;/span&gt;je&lt;span class="_ _7"&gt;&lt;/span&gt;cti&lt;span class="_ _7"&gt;&lt;/span&gt;ve fo&lt;span class="_ _7"&gt;&lt;/span&gt;r &lt;/span&gt;&lt;span style="display:inherit;clear:left;"&gt;under&lt;span class="_ _7"&gt;&lt;/span&gt;ta&lt;span class="_ _7"&gt;&lt;/span&gt;king hedgi&lt;span class="_ _7"&gt;&lt;/span&gt;ng trans&lt;span class="_ _7"&gt;&lt;/span&gt;action&lt;span class="_ _7"&gt;&lt;/span&gt;s. &lt;/span&gt;&lt;span style="display:inherit;clear:left;"&gt;Cas&lt;span class="_ _7"&gt;&lt;/span&gt;h flow h&lt;span class="_ _7"&gt;&lt;/span&gt;edge&lt;/span&gt;&lt;span style="display:inherit;clear:left;"&gt;Volvo Ca&lt;span class="_ _7"&gt;&lt;/span&gt;r Gro&lt;span class="_ _7"&gt;&lt;/span&gt;up a&lt;span class="_ _7"&gt;&lt;/span&gt;pp&lt;span class="_ _7"&gt;&lt;/span&gt;lie&lt;span class="_ _7"&gt;&lt;/span&gt;s c&lt;span class="_ _7"&gt;&lt;/span&gt;as&lt;span class="_ _7"&gt;&lt;/span&gt;h flo&lt;span class="_ _7"&gt;&lt;/span&gt;w he&lt;span class="_ _7"&gt;&lt;/span&gt;dge a&lt;span class="_ _7"&gt;&lt;/span&gt;cc&lt;span class="_ _7"&gt;&lt;/span&gt;ou&lt;span class="_ _7"&gt;&lt;/span&gt;ntin&lt;span class="_ _7"&gt;&lt;/span&gt;g to ma&lt;span class="_ _7"&gt;&lt;/span&gt;nag&lt;span class="_ _7"&gt;&lt;/span&gt;e  &lt;/span&gt;&lt;span style="display:inherit;clear:left;"&gt;var&lt;span class="_ _7"&gt;&lt;/span&gt;ia&lt;span class="_ _7"&gt;&lt;/span&gt;bil&lt;span class="_ _7"&gt;&lt;/span&gt;it&lt;span class="_ _7"&gt;&lt;/span&gt;y i&lt;span class="_ _7"&gt;&lt;/span&gt;n ca&lt;span class="_ _7"&gt;&lt;/span&gt;sh f&lt;span class="_ _7"&gt;&lt;/span&gt;low&lt;span class="_ _7"&gt;&lt;/span&gt;s ar&lt;span class="_ _7"&gt;&lt;/span&gt;is&lt;span class="_ _7"&gt;&lt;/span&gt;ing f&lt;span class="_ _7"&gt;&lt;/span&gt;ro&lt;span class="_ _7"&gt;&lt;/span&gt;m hig&lt;span class="_ _7"&gt;&lt;/span&gt;hly p&lt;span class="_ _7"&gt;&lt;/span&gt;ro&lt;span class="_ _7"&gt;&lt;/span&gt;ba&lt;span class="_ _7"&gt;&lt;/span&gt;ble f&lt;span class="_ _7"&gt;&lt;/span&gt;or&lt;span class="_ _7"&gt;&lt;/span&gt;ec&lt;span class="_ _7"&gt;&lt;/span&gt;as&lt;span class="_ _7"&gt;&lt;/span&gt;t tr&lt;span class="_ _7"&gt;&lt;/span&gt;an&lt;span class="_ _7"&gt;&lt;/span&gt;s-&lt;/span&gt;&lt;span style="display:inherit;clear:left;"&gt;act&lt;span class="_ _7"&gt;&lt;/span&gt;io&lt;span class="_ _7"&gt;&lt;/span&gt;ns&lt;span class="_ _7"&gt;&lt;/span&gt;, in&lt;span class="_ _7"&gt;&lt;/span&gt;clu&lt;span class="_ _7"&gt;&lt;/span&gt;di&lt;span class="_ _7"&gt;&lt;/span&gt;ng fo&lt;span class="_ _7"&gt;&lt;/span&gt;rei&lt;span class="_ _7"&gt;&lt;/span&gt;gn cu&lt;span class="_ _7"&gt;&lt;/span&gt;rr&lt;span class="_ _7"&gt;&lt;/span&gt;en&lt;span class="_ _7"&gt;&lt;/span&gt;cy ex&lt;span class="_ _7"&gt;&lt;/span&gt;po&lt;span class="_ _7"&gt;&lt;/span&gt;su&lt;span class="_ _7"&gt;&lt;/span&gt;re&lt;span class="_ _7"&gt;&lt;/span&gt;s on f&lt;span class="_ _7"&gt;&lt;/span&gt;ut&lt;span class="_ _7"&gt;&lt;/span&gt;ure s&lt;span class="_ _7"&gt;&lt;/span&gt;a&lt;span class="_ _7"&gt;&lt;/span&gt;le&lt;span class="_ _7"&gt;&lt;/span&gt;s and &lt;/span&gt;&lt;span style="display:inherit;clear:left;"&gt;pur&lt;span class="_ _7"&gt;&lt;/span&gt;ch&lt;span class="_ _7"&gt;&lt;/span&gt;as&lt;span class="_ _7"&gt;&lt;/span&gt;e&lt;span class="_ _7"&gt;&lt;/span&gt;s, ex&lt;span class="_ _7"&gt;&lt;/span&gt;p&lt;span class="_ _7"&gt;&lt;/span&gt;ec&lt;span class="_ _7"&gt;&lt;/span&gt;ted c&lt;span class="_ _7"&gt;&lt;/span&gt;om&lt;span class="_ _7"&gt;&lt;/span&gt;mo&lt;span class="_ _7"&gt;&lt;/span&gt;dit&lt;span class="_ _7"&gt;&lt;/span&gt;y c&lt;span class="_ _7"&gt;&lt;/span&gt;on&lt;span class="_ _7"&gt;&lt;/span&gt;su&lt;span class="_ _7"&gt;&lt;/span&gt;mp&lt;span class="_ _7"&gt;&lt;/span&gt;tio&lt;span class="_ _7"&gt;&lt;/span&gt;n, a&lt;span class="_ _7"&gt;&lt;/span&gt;nd va&lt;span class="_ _7"&gt;&lt;/span&gt;ri&lt;span class="_ _7"&gt;&lt;/span&gt;ab&lt;span class="_ _7"&gt;&lt;/span&gt;le in&lt;span class="_ _7"&gt;&lt;/span&gt;ter&lt;span class="_ _7"&gt;&lt;/span&gt;es&lt;span class="_ _7"&gt;&lt;/span&gt;t &lt;/span&gt;&lt;span style="display:inherit;clear:left;"&gt;pay&lt;span class="_ _7"&gt;&lt;/span&gt;me&lt;span class="_ _7"&gt;&lt;/span&gt;nt&lt;span class="_ _7"&gt;&lt;/span&gt;s on li&lt;span class="_ _7"&gt;&lt;/span&gt;ab&lt;span class="_ _7"&gt;&lt;/span&gt;ili&lt;span class="_ _7"&gt;&lt;/span&gt;ti&lt;span class="_ _7"&gt;&lt;/span&gt;es to c&lt;span class="_ _7"&gt;&lt;/span&gt;re&lt;span class="_ _7"&gt;&lt;/span&gt;dit i&lt;span class="_ _7"&gt;&lt;/span&gt;ns&lt;span class="_ _7"&gt;&lt;/span&gt;ti&lt;span class="_ _7"&gt;&lt;/span&gt;tu&lt;span class="_ _7"&gt;&lt;/span&gt;tio&lt;span class="_ _7"&gt;&lt;/span&gt;ns&lt;span class="_ _7"&gt;&lt;/span&gt;. He&lt;span class="_ _7"&gt;&lt;/span&gt;dg&lt;span class="_ _7"&gt;&lt;/span&gt;ing i&lt;span class="_ _7"&gt;&lt;/span&gt;ns&lt;span class="_ _7"&gt;&lt;/span&gt;tr&lt;span class="_ _7"&gt;&lt;/span&gt;um&lt;span class="_ _7"&gt;&lt;/span&gt;ent&lt;span class="_ _7"&gt;&lt;/span&gt;s &lt;/span&gt;&lt;span style="display:inherit;clear:left;"&gt;comprise forward contracts, options, swap&lt;span class="_ _2"&gt;&lt;/span&gt; contracts and interest &lt;/span&gt;&lt;span style="display:inherit;clear:left;"&gt;ra&lt;span class="_ _7"&gt;&lt;/span&gt;te sw&lt;span class="_ _7"&gt;&lt;/span&gt;ap&lt;span class="_ _7"&gt;&lt;/span&gt;s. &lt;/span&gt;&lt;span style="display:inherit;clear:left;"&gt;Th&lt;span class="_ _7"&gt;&lt;/span&gt;e ef&lt;span class="_ _7"&gt;&lt;/span&gt;f&lt;span class="_ _7"&gt;&lt;/span&gt;ec&lt;span class="_ _7"&gt;&lt;/span&gt;ti&lt;span class="_ _7"&gt;&lt;/span&gt;ve po&lt;span class="_ _7"&gt;&lt;/span&gt;r&lt;span class="_ _7"&gt;&lt;/span&gt;ti&lt;span class="_ _7"&gt;&lt;/span&gt;on of c&lt;span class="_ _7"&gt;&lt;/span&gt;ha&lt;span class="_ _7"&gt;&lt;/span&gt;nge&lt;span class="_ _7"&gt;&lt;/span&gt;s in t&lt;span class="_ _7"&gt;&lt;/span&gt;he f&lt;span class="_ _7"&gt;&lt;/span&gt;air v&lt;span class="_ _7"&gt;&lt;/span&gt;alu&lt;span class="_ _7"&gt;&lt;/span&gt;e of h&lt;span class="_ _7"&gt;&lt;/span&gt;edg&lt;span class="_ _7"&gt;&lt;/span&gt;in&lt;span class="_ _7"&gt;&lt;/span&gt;g &lt;/span&gt;&lt;span style="display:inherit;clear:left;"&gt;instruments is recognised in&lt;span class="_ _2"&gt;&lt;/span&gt; Other comprehensive income and&lt;span class="_ _2"&gt;&lt;/span&gt; &lt;/span&gt;&lt;span style="display:inherit;clear:left;"&gt;acc&lt;span class="_ _7"&gt;&lt;/span&gt;umu&lt;span class="_ _7"&gt;&lt;/span&gt;l&lt;span class="_ _7"&gt;&lt;/span&gt;ate&lt;span class="_ _7"&gt;&lt;/span&gt;d in eq&lt;span class="_ _7"&gt;&lt;/span&gt;ui&lt;span class="_ _7"&gt;&lt;/span&gt;t&lt;span class="_ _7"&gt;&lt;/span&gt;y un&lt;span class="_ _7"&gt;&lt;/span&gt;der o&lt;span class="_ _7"&gt;&lt;/span&gt;the&lt;span class="_ _7"&gt;&lt;/span&gt;r re&lt;span class="_ _7"&gt;&lt;/span&gt;s&lt;span class="_ _7"&gt;&lt;/span&gt;er&lt;span class="_ _7"&gt;&lt;/span&gt;v&lt;span class="_ _7"&gt;&lt;/span&gt;es&lt;span class="_ _7"&gt;&lt;/span&gt;. Am&lt;span class="_ _7"&gt;&lt;/span&gt;ou&lt;span class="_ _7"&gt;&lt;/span&gt;nt&lt;span class="_ _7"&gt;&lt;/span&gt;s de&lt;span class="_ _7"&gt;&lt;/span&gt;fer&lt;span class="_ _7"&gt;&lt;/span&gt;re&lt;span class="_ _7"&gt;&lt;/span&gt;d in &lt;/span&gt;&lt;span style="display:inherit;clear:left;"&gt;eq&lt;span class="_ _7"&gt;&lt;/span&gt;uit&lt;span class="_ _7"&gt;&lt;/span&gt;y a&lt;span class="_ _7"&gt;&lt;/span&gt;re re&lt;span class="_ _7"&gt;&lt;/span&gt;cy&lt;span class="_ _7"&gt;&lt;/span&gt;cle&lt;span class="_ _7"&gt;&lt;/span&gt;d to th&lt;span class="_ _7"&gt;&lt;/span&gt;e inc&lt;span class="_ _7"&gt;&lt;/span&gt;om&lt;span class="_ _7"&gt;&lt;/span&gt;e st&lt;span class="_ _7"&gt;&lt;/span&gt;at&lt;span class="_ _7"&gt;&lt;/span&gt;eme&lt;span class="_ _7"&gt;&lt;/span&gt;nt i&lt;span class="_ _7"&gt;&lt;/span&gt;n the p&lt;span class="_ _7"&gt;&lt;/span&gt;er&lt;span class="_ _7"&gt;&lt;/span&gt;io&lt;span class="_ _7"&gt;&lt;/span&gt;ds i&lt;span class="_ _7"&gt;&lt;/span&gt;n wh&lt;span class="_ _7"&gt;&lt;/span&gt;ich &lt;/span&gt;&lt;span style="display:inherit;clear:left;"&gt;the h&lt;span class="_ _7"&gt;&lt;/span&gt;ed&lt;span class="_ _7"&gt;&lt;/span&gt;ge&lt;span class="_ _7"&gt;&lt;/span&gt;d ite&lt;span class="_ _7"&gt;&lt;/span&gt;ms a&lt;span class="_ _7"&gt;&lt;/span&gt;f&lt;span class="_ _7"&gt;&lt;/span&gt;fe&lt;span class="_ _7"&gt;&lt;/span&gt;ct p&lt;span class="_ _7"&gt;&lt;/span&gt;ro&lt;span class="_ _7"&gt;&lt;/span&gt;fi&lt;span class="_ _7"&gt;&lt;/span&gt;t or lo&lt;span class="_ _7"&gt;&lt;/span&gt;s&lt;span class="_ _7"&gt;&lt;/span&gt;s&lt;span class="_ _7"&gt;&lt;/span&gt;, wi&lt;span class="_ _7"&gt;&lt;/span&gt;thi&lt;span class="_ _7"&gt;&lt;/span&gt;n Reve&lt;span class="_ _7"&gt;&lt;/span&gt;nu&lt;span class="_ _7"&gt;&lt;/span&gt;e, C&lt;span class="_ _7"&gt;&lt;/span&gt;os&lt;span class="_ _7"&gt;&lt;/span&gt;t of s&lt;span class="_ _7"&gt;&lt;/span&gt;a&lt;span class="_ _7"&gt;&lt;/span&gt;les&lt;span class="_ _7"&gt;&lt;/span&gt;, &lt;/span&gt;&lt;span style="display:inherit;clear:left;"&gt;or Int&lt;span class="_ _2"&gt;&lt;/span&gt;eres&lt;span class="_ _7"&gt;&lt;/span&gt;t expenses, as applicable.&lt;span class="_ _2"&gt;&lt;/span&gt; If the ident&lt;span class="_ _2"&gt;&lt;/span&gt;if&lt;span class="_ _7"&gt;&lt;/span&gt;ied relationships are&lt;span class="_ _2"&gt;&lt;/span&gt; &lt;/span&gt;&lt;span style="display:inherit;clear:left;"&gt;no lo&lt;span class="_ _7"&gt;&lt;/span&gt;nge&lt;span class="_ _7"&gt;&lt;/span&gt;r de&lt;span class="_ _7"&gt;&lt;/span&gt;em&lt;span class="_ _7"&gt;&lt;/span&gt;ed e&lt;span class="_ _7"&gt;&lt;/span&gt;f&lt;span class="_ _7"&gt;&lt;/span&gt;fe&lt;span class="_ _7"&gt;&lt;/span&gt;c&lt;span class="_ _7"&gt;&lt;/span&gt;tiv&lt;span class="_ _7"&gt;&lt;/span&gt;e, th&lt;span class="_ _7"&gt;&lt;/span&gt;e flu&lt;span class="_ _7"&gt;&lt;/span&gt;ct&lt;span class="_ _7"&gt;&lt;/span&gt;uat&lt;span class="_ _7"&gt;&lt;/span&gt;io&lt;span class="_ _7"&gt;&lt;/span&gt;n in f&lt;span class="_ _7"&gt;&lt;/span&gt;air v&lt;span class="_ _7"&gt;&lt;/span&gt;alu&lt;span class="_ _7"&gt;&lt;/span&gt;e of th&lt;span class="_ _7"&gt;&lt;/span&gt;e he&lt;span class="_ _7"&gt;&lt;/span&gt;dg-&lt;/span&gt;&lt;span style="display:inherit;clear:left;"&gt;ing i&lt;span class="_ _7"&gt;&lt;/span&gt;ns&lt;span class="_ _7"&gt;&lt;/span&gt;tr&lt;span class="_ _7"&gt;&lt;/span&gt;um&lt;span class="_ _7"&gt;&lt;/span&gt;ent f&lt;span class="_ _7"&gt;&lt;/span&gt;ro&lt;span class="_ _7"&gt;&lt;/span&gt;m the l&lt;span class="_ _7"&gt;&lt;/span&gt;a&lt;span class="_ _7"&gt;&lt;/span&gt;st p&lt;span class="_ _7"&gt;&lt;/span&gt;er&lt;span class="_ _7"&gt;&lt;/span&gt;io&lt;span class="_ _7"&gt;&lt;/span&gt;d in w&lt;span class="_ _7"&gt;&lt;/span&gt;hic&lt;span class="_ _7"&gt;&lt;/span&gt;h the i&lt;span class="_ _7"&gt;&lt;/span&gt;ns&lt;span class="_ _7"&gt;&lt;/span&gt;tr&lt;span class="_ _7"&gt;&lt;/span&gt;um&lt;span class="_ _7"&gt;&lt;/span&gt;en&lt;span class="_ _7"&gt;&lt;/span&gt;t was &lt;/span&gt;&lt;span style="display:inherit;clear:left;"&gt;considered effective is recognised in t&lt;span class="_ _2"&gt;&lt;/span&gt;he income statement.  &lt;/span&gt;&lt;span style="display:inherit;clear:left;"&gt;If th&lt;span class="_ _7"&gt;&lt;/span&gt;e he&lt;span class="_ _7"&gt;&lt;/span&gt;dge&lt;span class="_ _7"&gt;&lt;/span&gt;d tr&lt;span class="_ _7"&gt;&lt;/span&gt;an&lt;span class="_ _7"&gt;&lt;/span&gt;s&lt;span class="_ _7"&gt;&lt;/span&gt;ac&lt;span class="_ _7"&gt;&lt;/span&gt;tio&lt;span class="_ _7"&gt;&lt;/span&gt;n is n&lt;span class="_ _7"&gt;&lt;/span&gt;o lon&lt;span class="_ _7"&gt;&lt;/span&gt;ger ex&lt;span class="_ _7"&gt;&lt;/span&gt;p&lt;span class="_ _7"&gt;&lt;/span&gt;ec&lt;span class="_ _7"&gt;&lt;/span&gt;ted t&lt;span class="_ _7"&gt;&lt;/span&gt;o oc&lt;span class="_ _7"&gt;&lt;/span&gt;cur, the &lt;/span&gt;&lt;span style="display:inherit;clear:left;"&gt;he&lt;span class="_ _7"&gt;&lt;/span&gt;dge’s ac&lt;span class="_ _7"&gt;&lt;/span&gt;cum&lt;span class="_ _7"&gt;&lt;/span&gt;ul&lt;span class="_ _7"&gt;&lt;/span&gt;ate&lt;span class="_ _7"&gt;&lt;/span&gt;d ch&lt;span class="_ _7"&gt;&lt;/span&gt;ang&lt;span class="_ _7"&gt;&lt;/span&gt;es i&lt;span class="_ _7"&gt;&lt;/span&gt;n val&lt;span class="_ _7"&gt;&lt;/span&gt;ue ar&lt;span class="_ _7"&gt;&lt;/span&gt;e imm&lt;span class="_ _7"&gt;&lt;/span&gt;ed&lt;span class="_ _7"&gt;&lt;/span&gt;ia&lt;span class="_ _7"&gt;&lt;/span&gt;tely t&lt;span class="_ _7"&gt;&lt;/span&gt;ra&lt;span class="_ _7"&gt;&lt;/span&gt;ns&lt;span class="_ _7"&gt;&lt;/span&gt;fe&lt;span class="_ _7"&gt;&lt;/span&gt;rr&lt;span class="_ _7"&gt;&lt;/span&gt;ed &lt;/span&gt;&lt;span style="display:inherit;clear:left;"&gt;from other&lt;span class="_ _2"&gt;&lt;/span&gt; res&lt;span class="_ _7"&gt;&lt;/span&gt;erves in equity through&lt;span class="_ _2"&gt;&lt;/span&gt; other comprehensive income&lt;span class="_ _2"&gt;&lt;/span&gt; &lt;/span&gt;&lt;span style="display:inherit;clear:left;"&gt;to t&lt;span class="_ _2"&gt;&lt;/span&gt;he income statement.&lt;/span&gt;&lt;span style="display:inherit;clear:left;"&gt;Fair valu&lt;span class="_ _7"&gt;&lt;/span&gt;e hed&lt;span class="_ _7"&gt;&lt;/span&gt;ge&lt;/span&gt;&lt;span style="display:inherit;clear:left;"&gt;Volvo Ca&lt;span class="_ _7"&gt;&lt;/span&gt;r Gro&lt;span class="_ _7"&gt;&lt;/span&gt;up a&lt;span class="_ _7"&gt;&lt;/span&gt;pp&lt;span class="_ _7"&gt;&lt;/span&gt;lie&lt;span class="_ _7"&gt;&lt;/span&gt;s f&lt;span class="_ _7"&gt;&lt;/span&gt;air v&lt;span class="_ _7"&gt;&lt;/span&gt;alu&lt;span class="_ _7"&gt;&lt;/span&gt;e he&lt;span class="_ _7"&gt;&lt;/span&gt;dge a&lt;span class="_ _7"&gt;&lt;/span&gt;cc&lt;span class="_ _7"&gt;&lt;/span&gt;oun&lt;span class="_ _7"&gt;&lt;/span&gt;tin&lt;span class="_ _7"&gt;&lt;/span&gt;g, wh&lt;span class="_ _7"&gt;&lt;/span&gt;er&lt;span class="_ _7"&gt;&lt;/span&gt;e the &lt;/span&gt;&lt;span style="display:inherit;clear:left;"&gt;de&lt;span class="_ _7"&gt;&lt;/span&gt;sig&lt;span class="_ _7"&gt;&lt;/span&gt;n&lt;span class="_ _7"&gt;&lt;/span&gt;ati&lt;span class="_ _7"&gt;&lt;/span&gt;on s&lt;span class="_ _7"&gt;&lt;/span&gt;hou&lt;span class="_ _7"&gt;&lt;/span&gt;ld e&lt;span class="_ _7"&gt;&lt;/span&gt;lim&lt;span class="_ _7"&gt;&lt;/span&gt;in&lt;span class="_ _7"&gt;&lt;/span&gt;ate th&lt;span class="_ _7"&gt;&lt;/span&gt;e sig&lt;span class="_ _7"&gt;&lt;/span&gt;ni&lt;span class="_ _7"&gt;&lt;/span&gt;f&lt;span class="_ _7"&gt;&lt;/span&gt;ic&lt;span class="_ _7"&gt;&lt;/span&gt;ant a&lt;span class="_ _7"&gt;&lt;/span&gt;cc&lt;span class="_ _7"&gt;&lt;/span&gt;ou&lt;span class="_ _7"&gt;&lt;/span&gt;ntin&lt;span class="_ _7"&gt;&lt;/span&gt;g mi&lt;span class="_ _7"&gt;&lt;/span&gt;sm&lt;span class="_ _7"&gt;&lt;/span&gt;atch &lt;/span&gt;&lt;span style="display:inherit;clear:left;"&gt;of a f&lt;span class="_ _7"&gt;&lt;/span&gt;ixe&lt;span class="_ _7"&gt;&lt;/span&gt;d ra&lt;span class="_ _7"&gt;&lt;/span&gt;te li&lt;span class="_ _7"&gt;&lt;/span&gt;abi&lt;span class="_ _7"&gt;&lt;/span&gt;li&lt;span class="_ _7"&gt;&lt;/span&gt;t&lt;span class="_ _7"&gt;&lt;/span&gt;y ca&lt;span class="_ _7"&gt;&lt;/span&gt;rr&lt;span class="_ _7"&gt;&lt;/span&gt;ie&lt;span class="_ _7"&gt;&lt;/span&gt;d at am&lt;span class="_ _7"&gt;&lt;/span&gt;or&lt;span class="_ _7"&gt;&lt;/span&gt;ti&lt;span class="_ _7"&gt;&lt;/span&gt;s&lt;span class="_ _7"&gt;&lt;/span&gt;ed c&lt;span class="_ _7"&gt;&lt;/span&gt;os&lt;span class="_ _7"&gt;&lt;/span&gt;t an&lt;span class="_ _7"&gt;&lt;/span&gt;d a re&lt;span class="_ _7"&gt;&lt;/span&gt;l&lt;span class="_ _7"&gt;&lt;/span&gt;ate&lt;span class="_ _7"&gt;&lt;/span&gt;d der&lt;span class="_ _7"&gt;&lt;/span&gt;iv-&lt;/span&gt;&lt;span style="display:inherit;clear:left;"&gt;ati&lt;span class="_ _7"&gt;&lt;/span&gt;ve co&lt;span class="_ _7"&gt;&lt;/span&gt;ntr&lt;span class="_ _7"&gt;&lt;/span&gt;ac&lt;span class="_ _7"&gt;&lt;/span&gt;t, s&lt;span class="_ _7"&gt;&lt;/span&gt;uc&lt;span class="_ _7"&gt;&lt;/span&gt;h as a&lt;span class="_ _7"&gt;&lt;/span&gt;n inte&lt;span class="_ _7"&gt;&lt;/span&gt;re&lt;span class="_ _7"&gt;&lt;/span&gt;s&lt;span class="_ _7"&gt;&lt;/span&gt;t rat&lt;span class="_ _7"&gt;&lt;/span&gt;e sw&lt;span class="_ _7"&gt;&lt;/span&gt;ap wh&lt;span class="_ _7"&gt;&lt;/span&gt;ich i&lt;span class="_ _7"&gt;&lt;/span&gt;s re&lt;span class="_ _7"&gt;&lt;/span&gt;co&lt;span class="_ _7"&gt;&lt;/span&gt;gn&lt;span class="_ _7"&gt;&lt;/span&gt;is&lt;span class="_ _7"&gt;&lt;/span&gt;ed a&lt;span class="_ _7"&gt;&lt;/span&gt;t &lt;/span&gt;&lt;span style="display:inherit;clear:left;"&gt;fa&lt;span class="_ _7"&gt;&lt;/span&gt;ir va&lt;span class="_ _7"&gt;&lt;/span&gt;lue th&lt;span class="_ _7"&gt;&lt;/span&gt;ro&lt;span class="_ _7"&gt;&lt;/span&gt;ug&lt;span class="_ _7"&gt;&lt;/span&gt;h pro&lt;span class="_ _7"&gt;&lt;/span&gt;f&lt;span class="_ _7"&gt;&lt;/span&gt;it or l&lt;span class="_ _7"&gt;&lt;/span&gt;os&lt;span class="_ _7"&gt;&lt;/span&gt;s&lt;span class="_ _7"&gt;&lt;/span&gt;. Th&lt;span class="_ _7"&gt;&lt;/span&gt;e c&lt;span class="_ _7"&gt;&lt;/span&gt;arr&lt;span class="_ _9"&gt;&lt;/span&gt;yin&lt;span class="_ _7"&gt;&lt;/span&gt;g val&lt;span class="_ _7"&gt;&lt;/span&gt;ue of t&lt;span class="_ _7"&gt;&lt;/span&gt;he h&lt;span class="_ _7"&gt;&lt;/span&gt;edg&lt;span class="_ _7"&gt;&lt;/span&gt;ed &lt;/span&gt;&lt;span style="display:inherit;clear:left;"&gt;ite&lt;span class="_ _7"&gt;&lt;/span&gt;m, n&lt;span class="_ _7"&gt;&lt;/span&gt;am&lt;span class="_ _7"&gt;&lt;/span&gt;ely a s&lt;span class="_ _7"&gt;&lt;/span&gt;pe&lt;span class="_ _7"&gt;&lt;/span&gt;ci&lt;span class="_ _7"&gt;&lt;/span&gt;fi&lt;span class="_ _7"&gt;&lt;/span&gt;ed p&lt;span class="_ _7"&gt;&lt;/span&gt;ar&lt;span class="_ _7"&gt;&lt;/span&gt;t o&lt;span class="_ _7"&gt;&lt;/span&gt;f a fi&lt;span class="_ _7"&gt;&lt;/span&gt;xe&lt;span class="_ _7"&gt;&lt;/span&gt;d ra&lt;span class="_ _7"&gt;&lt;/span&gt;te is&lt;span class="_ _7"&gt;&lt;/span&gt;s&lt;span class="_ _7"&gt;&lt;/span&gt;ue&lt;span class="_ _7"&gt;&lt;/span&gt;d bo&lt;span class="_ _7"&gt;&lt;/span&gt;nd i&lt;span class="_ _7"&gt;&lt;/span&gt;s ini&lt;span class="_ _7"&gt;&lt;/span&gt;ti&lt;span class="_ _7"&gt;&lt;/span&gt;ally &lt;/span&gt;&lt;span style="display:inherit;clear:left;"&gt;re&lt;span class="_ _7"&gt;&lt;/span&gt;cog&lt;span class="_ _7"&gt;&lt;/span&gt;ni&lt;span class="_ _7"&gt;&lt;/span&gt;s&lt;span class="_ _7"&gt;&lt;/span&gt;ed at a&lt;span class="_ _7"&gt;&lt;/span&gt;mo&lt;span class="_ _7"&gt;&lt;/span&gt;r&lt;span class="_ _7"&gt;&lt;/span&gt;tis&lt;span class="_ _7"&gt;&lt;/span&gt;e&lt;span class="_ _7"&gt;&lt;/span&gt;d co&lt;span class="_ _7"&gt;&lt;/span&gt;s&lt;span class="_ _7"&gt;&lt;/span&gt;t. Su&lt;span class="_ _7"&gt;&lt;/span&gt;bs&lt;span class="_ _7"&gt;&lt;/span&gt;e&lt;span class="_ _7"&gt;&lt;/span&gt;qu&lt;span class="_ _7"&gt;&lt;/span&gt;ent c&lt;span class="_ _7"&gt;&lt;/span&gt;han&lt;span class="_ _7"&gt;&lt;/span&gt;ge&lt;span class="_ _7"&gt;&lt;/span&gt;s re&lt;span class="_ _7"&gt;&lt;/span&gt;la&lt;span class="_ _7"&gt;&lt;/span&gt;ted to t&lt;span class="_ _7"&gt;&lt;/span&gt;he &lt;/span&gt;&lt;span style="display:inherit;clear:left;"&gt;he&lt;span class="_ _7"&gt;&lt;/span&gt;dge&lt;span class="_ _7"&gt;&lt;/span&gt;d ri&lt;span class="_ _7"&gt;&lt;/span&gt;sk&lt;span class="_ _7"&gt;&lt;/span&gt;s ar&lt;span class="_ _7"&gt;&lt;/span&gt;e ref&lt;span class="_ _7"&gt;&lt;/span&gt;le&lt;span class="_ _7"&gt;&lt;/span&gt;ct&lt;span class="_ _7"&gt;&lt;/span&gt;ed in t&lt;span class="_ _7"&gt;&lt;/span&gt;he c&lt;span class="_ _7"&gt;&lt;/span&gt;ar&lt;span class="_ _7"&gt;&lt;/span&gt;r&lt;span class="_ _7"&gt;&lt;/span&gt;y&lt;span class="_ _7"&gt;&lt;/span&gt;ing am&lt;span class="_ _7"&gt;&lt;/span&gt;ou&lt;span class="_ _7"&gt;&lt;/span&gt;nt o&lt;span class="_ _7"&gt;&lt;/span&gt;f the l&lt;span class="_ _7"&gt;&lt;/span&gt;iab&lt;span class="_ _7"&gt;&lt;/span&gt;il&lt;span class="_ _7"&gt;&lt;/span&gt;it&lt;span class="_ _7"&gt;&lt;/span&gt;y as &lt;/span&gt;&lt;span style="display:inherit;clear:left;"&gt;a he&lt;span class="_ _7"&gt;&lt;/span&gt;dge a&lt;span class="_ _7"&gt;&lt;/span&gt;dju&lt;span class="_ _7"&gt;&lt;/span&gt;s&lt;span class="_ _7"&gt;&lt;/span&gt;tme&lt;span class="_ _7"&gt;&lt;/span&gt;nt w&lt;span class="_ _7"&gt;&lt;/span&gt;ith t&lt;span class="_ _7"&gt;&lt;/span&gt;he o&lt;span class="_ _7"&gt;&lt;/span&gt;f&lt;span class="_ _7"&gt;&lt;/span&gt;f&lt;span class="_ _7"&gt;&lt;/span&gt;se&lt;span class="_ _7"&gt;&lt;/span&gt;t&lt;span class="_ _7"&gt;&lt;/span&gt;ting e&lt;span class="_ _7"&gt;&lt;/span&gt;ntr&lt;span class="_ _9"&gt;&lt;/span&gt;y goi&lt;span class="_ _7"&gt;&lt;/span&gt;ng to th&lt;span class="_ _7"&gt;&lt;/span&gt;e in&lt;span class="_ _7"&gt;&lt;/span&gt;com&lt;span class="_ _7"&gt;&lt;/span&gt;e &lt;/span&gt;&lt;span style="display:inherit;clear:left;"&gt;st&lt;span class="_ _7"&gt;&lt;/span&gt;ate&lt;span class="_ _7"&gt;&lt;/span&gt;me&lt;span class="_ _7"&gt;&lt;/span&gt;nt&lt;span class="_ _7"&gt;&lt;/span&gt;. Cha&lt;span class="_ _7"&gt;&lt;/span&gt;nge&lt;span class="_ _7"&gt;&lt;/span&gt;s in t&lt;span class="_ _7"&gt;&lt;/span&gt;he h&lt;span class="_ _7"&gt;&lt;/span&gt;edg&lt;span class="_ _7"&gt;&lt;/span&gt;e ad&lt;span class="_ _7"&gt;&lt;/span&gt;jus&lt;span class="_ _7"&gt;&lt;/span&gt;tm&lt;span class="_ _7"&gt;&lt;/span&gt;en&lt;span class="_ _7"&gt;&lt;/span&gt;ts o&lt;span class="_ _7"&gt;&lt;/span&gt;f th&lt;span class="_ _7"&gt;&lt;/span&gt;e he&lt;span class="_ _7"&gt;&lt;/span&gt;dge&lt;span class="_ _7"&gt;&lt;/span&gt;d ite&lt;span class="_ _7"&gt;&lt;/span&gt;m &lt;/span&gt;&lt;span style="display:inherit;clear:left;"&gt;and t&lt;span class="_ _7"&gt;&lt;/span&gt;he h&lt;span class="_ _7"&gt;&lt;/span&gt;edg&lt;span class="_ _7"&gt;&lt;/span&gt;in&lt;span class="_ _7"&gt;&lt;/span&gt;g in&lt;span class="_ _7"&gt;&lt;/span&gt;st&lt;span class="_ _7"&gt;&lt;/span&gt;ru&lt;span class="_ _7"&gt;&lt;/span&gt;men&lt;span class="_ _7"&gt;&lt;/span&gt;t are b&lt;span class="_ _7"&gt;&lt;/span&gt;ot&lt;span class="_ _7"&gt;&lt;/span&gt;h re&lt;span class="_ _7"&gt;&lt;/span&gt;cog&lt;span class="_ _7"&gt;&lt;/span&gt;ni&lt;span class="_ _7"&gt;&lt;/span&gt;se&lt;span class="_ _7"&gt;&lt;/span&gt;d in t&lt;span class="_ _7"&gt;&lt;/span&gt;he i&lt;span class="_ _7"&gt;&lt;/span&gt;nco&lt;span class="_ _7"&gt;&lt;/span&gt;me &lt;/span&gt;&lt;span style="display:inherit;clear:left;"&gt;st&lt;span class="_ _7"&gt;&lt;/span&gt;ate&lt;span class="_ _7"&gt;&lt;/span&gt;me&lt;span class="_ _7"&gt;&lt;/span&gt;nt an&lt;span class="_ _7"&gt;&lt;/span&gt;d th&lt;span class="_ _7"&gt;&lt;/span&gt;e acc&lt;span class="_ _7"&gt;&lt;/span&gt;ou&lt;span class="_ _7"&gt;&lt;/span&gt;nti&lt;span class="_ _7"&gt;&lt;/span&gt;ng mi&lt;span class="_ _7"&gt;&lt;/span&gt;sm&lt;span class="_ _7"&gt;&lt;/span&gt;atc&lt;span class="_ _7"&gt;&lt;/span&gt;h is th&lt;span class="_ _7"&gt;&lt;/span&gt;er&lt;span class="_ _7"&gt;&lt;/span&gt;ef&lt;span class="_ _7"&gt;&lt;/span&gt;ore e&lt;span class="_ _7"&gt;&lt;/span&gt;li&lt;span class="_ _7"&gt;&lt;/span&gt;min&lt;span class="_ _7"&gt;&lt;/span&gt;ate&lt;span class="_ _7"&gt;&lt;/span&gt;d. &lt;/span&gt;&lt;span style="display:inherit;clear:left;"&gt;Gai&lt;span class="_ _7"&gt;&lt;/span&gt;ns a&lt;span class="_ _7"&gt;&lt;/span&gt;nd lo&lt;span class="_ _7"&gt;&lt;/span&gt;s&lt;span class="_ _7"&gt;&lt;/span&gt;s&lt;span class="_ _7"&gt;&lt;/span&gt;es r&lt;span class="_ _7"&gt;&lt;/span&gt;el&lt;span class="_ _7"&gt;&lt;/span&gt;ate&lt;span class="_ _7"&gt;&lt;/span&gt;d to th&lt;span class="_ _7"&gt;&lt;/span&gt;e in&lt;span class="_ _7"&gt;&lt;/span&gt;ter&lt;span class="_ _7"&gt;&lt;/span&gt;es&lt;span class="_ _7"&gt;&lt;/span&gt;t r&lt;span class="_ _7"&gt;&lt;/span&gt;ate s&lt;span class="_ _7"&gt;&lt;/span&gt;wap&lt;span class="_ _7"&gt;&lt;/span&gt;s an&lt;span class="_ _7"&gt;&lt;/span&gt;d ch&lt;span class="_ _7"&gt;&lt;/span&gt;ang&lt;span class="_ _7"&gt;&lt;/span&gt;es i&lt;span class="_ _7"&gt;&lt;/span&gt;n &lt;/span&gt;&lt;span style="display:inherit;clear:left;"&gt;the h&lt;span class="_ _7"&gt;&lt;/span&gt;ed&lt;span class="_ _7"&gt;&lt;/span&gt;ge ad&lt;span class="_ _7"&gt;&lt;/span&gt;ju&lt;span class="_ _7"&gt;&lt;/span&gt;st&lt;span class="_ _7"&gt;&lt;/span&gt;me&lt;span class="_ _7"&gt;&lt;/span&gt;nt of t&lt;span class="_ _7"&gt;&lt;/span&gt;he h&lt;span class="_ _7"&gt;&lt;/span&gt;edg&lt;span class="_ _7"&gt;&lt;/span&gt;ed f&lt;span class="_ _7"&gt;&lt;/span&gt;i&lt;span class="_ _7"&gt;&lt;/span&gt;xed r&lt;span class="_ _7"&gt;&lt;/span&gt;ate d&lt;span class="_ _7"&gt;&lt;/span&gt;ebt a&lt;span class="_ _7"&gt;&lt;/span&gt;re r&lt;span class="_ _7"&gt;&lt;/span&gt;ec&lt;span class="_ _7"&gt;&lt;/span&gt;og&lt;span class="_ _7"&gt;&lt;/span&gt;nis&lt;span class="_ _7"&gt;&lt;/span&gt;e&lt;span class="_ _7"&gt;&lt;/span&gt;d &lt;/span&gt;&lt;span style="display:inherit;clear:left;"&gt;in th&lt;span class="_ _7"&gt;&lt;/span&gt;e in&lt;span class="_ _7"&gt;&lt;/span&gt;com&lt;span class="_ _7"&gt;&lt;/span&gt;e s&lt;span class="_ _7"&gt;&lt;/span&gt;ta&lt;span class="_ _7"&gt;&lt;/span&gt;tem&lt;span class="_ _7"&gt;&lt;/span&gt;ent&lt;span class="_ _7"&gt;&lt;/span&gt;. He&lt;span class="_ _7"&gt;&lt;/span&gt;dge i&lt;span class="_ _7"&gt;&lt;/span&gt;ne&lt;span class="_ _7"&gt;&lt;/span&gt;f&lt;span class="_ _7"&gt;&lt;/span&gt;fe&lt;span class="_ _7"&gt;&lt;/span&gt;c&lt;span class="_ _7"&gt;&lt;/span&gt;tiv&lt;span class="_ _7"&gt;&lt;/span&gt;ene&lt;span class="_ _7"&gt;&lt;/span&gt;s&lt;span class="_ _7"&gt;&lt;/span&gt;s i&lt;span class="_ _7"&gt;&lt;/span&gt;s al&lt;span class="_ _7"&gt;&lt;/span&gt;s&lt;span class="_ _7"&gt;&lt;/span&gt;o rep&lt;span class="_ _7"&gt;&lt;/span&gt;or&lt;span class="_ _7"&gt;&lt;/span&gt;t&lt;span class="_ _7"&gt;&lt;/span&gt;ed i&lt;span class="_ _7"&gt;&lt;/span&gt;n &lt;/span&gt;&lt;span style="display:inherit;clear:left;"&gt;the income&lt;span class="_ _2"&gt;&lt;/span&gt; st&lt;span class="_ _7"&gt;&lt;/span&gt;atement.&lt;span class="_ _2"&gt;&lt;/span&gt; &lt;/span&gt;&lt;span style="display:inherit;clear:left;"&gt;Net i&lt;span class="_ _7"&gt;&lt;/span&gt;nvest&lt;span class="_ _7"&gt;&lt;/span&gt;men&lt;span class="_ _7"&gt;&lt;/span&gt;t hedge &lt;/span&gt;&lt;span style="display:inherit;clear:left;"&gt;Volvo Ca&lt;span class="_ _7"&gt;&lt;/span&gt;r Gro&lt;span class="_ _7"&gt;&lt;/span&gt;up d&lt;span class="_ _7"&gt;&lt;/span&gt;es&lt;span class="_ _7"&gt;&lt;/span&gt;ig&lt;span class="_ _7"&gt;&lt;/span&gt;nat&lt;span class="_ _7"&gt;&lt;/span&gt;es f&lt;span class="_ _7"&gt;&lt;/span&gt;in&lt;span class="_ _7"&gt;&lt;/span&gt;an&lt;span class="_ _7"&gt;&lt;/span&gt;cia&lt;span class="_ _7"&gt;&lt;/span&gt;l li&lt;span class="_ _7"&gt;&lt;/span&gt;abi&lt;span class="_ _7"&gt;&lt;/span&gt;lit&lt;span class="_ _7"&gt;&lt;/span&gt;ie&lt;span class="_ _7"&gt;&lt;/span&gt;s in th&lt;span class="_ _7"&gt;&lt;/span&gt;e re&lt;span class="_ _7"&gt;&lt;/span&gt;lev&lt;span class="_ _7"&gt;&lt;/span&gt;ant f&lt;span class="_ _7"&gt;&lt;/span&gt;or-&lt;/span&gt;&lt;span style="display:inherit;clear:left;"&gt;eig&lt;span class="_ _7"&gt;&lt;/span&gt;n cu&lt;span class="_ _7"&gt;&lt;/span&gt;rre&lt;span class="_ _7"&gt;&lt;/span&gt;nc&lt;span class="_ _7"&gt;&lt;/span&gt;y ag&lt;span class="_ _7"&gt;&lt;/span&gt;ain&lt;span class="_ _7"&gt;&lt;/span&gt;s&lt;span class="_ _7"&gt;&lt;/span&gt;t cur&lt;span class="_ _7"&gt;&lt;/span&gt;re&lt;span class="_ _7"&gt;&lt;/span&gt;ncy ex&lt;span class="_ _7"&gt;&lt;/span&gt;p&lt;span class="_ _7"&gt;&lt;/span&gt;os&lt;span class="_ _7"&gt;&lt;/span&gt;ure a&lt;span class="_ _7"&gt;&lt;/span&gt;ri&lt;span class="_ _7"&gt;&lt;/span&gt;si&lt;span class="_ _7"&gt;&lt;/span&gt;ng f&lt;span class="_ _7"&gt;&lt;/span&gt;rom i&lt;span class="_ _7"&gt;&lt;/span&gt;nve&lt;span class="_ _7"&gt;&lt;/span&gt;st&lt;span class="_ _7"&gt;&lt;/span&gt;me&lt;span class="_ _7"&gt;&lt;/span&gt;nt&lt;span class="_ _7"&gt;&lt;/span&gt;s &lt;/span&gt;&lt;span style="display:inherit;clear:left;"&gt;in th&lt;span class="_ _7"&gt;&lt;/span&gt;e su&lt;span class="_ _7"&gt;&lt;/span&gt;bs&lt;span class="_ _7"&gt;&lt;/span&gt;id&lt;span class="_ _7"&gt;&lt;/span&gt;iar&lt;span class="_ _7"&gt;&lt;/span&gt;ie&lt;span class="_ _7"&gt;&lt;/span&gt;s&lt;span class="_ _7"&gt;&lt;/span&gt;. Volvo Ca&lt;span class="_ _7"&gt;&lt;/span&gt;r Gr&lt;span class="_ _7"&gt;&lt;/span&gt;oup d&lt;span class="_ _7"&gt;&lt;/span&gt;e&lt;span class="_ _7"&gt;&lt;/span&gt;sig&lt;span class="_ _7"&gt;&lt;/span&gt;na&lt;span class="_ _7"&gt;&lt;/span&gt;te&lt;span class="_ _7"&gt;&lt;/span&gt;s deb&lt;span class="_ _7"&gt;&lt;/span&gt;t in&lt;span class="_ _7"&gt;&lt;/span&gt;st&lt;span class="_ _7"&gt;&lt;/span&gt;ru&lt;span class="_ _7"&gt;&lt;/span&gt;me&lt;span class="_ _7"&gt;&lt;/span&gt;nts &lt;/span&gt;&lt;span style="display:inherit;clear:left;"&gt;in EUR a&lt;span class="_ _7"&gt;&lt;/span&gt;nd US&lt;span class="_ _7"&gt;&lt;/span&gt;D as h&lt;span class="_ _7"&gt;&lt;/span&gt;edg&lt;span class="_ _7"&gt;&lt;/span&gt;in&lt;span class="_ _7"&gt;&lt;/span&gt;g in&lt;span class="_ _7"&gt;&lt;/span&gt;st&lt;span class="_ _7"&gt;&lt;/span&gt;rum&lt;span class="_ _7"&gt;&lt;/span&gt;en&lt;span class="_ _7"&gt;&lt;/span&gt;ts t&lt;span class="_ _7"&gt;&lt;/span&gt;o mit&lt;span class="_ _7"&gt;&lt;/span&gt;iga&lt;span class="_ _7"&gt;&lt;/span&gt;te th&lt;span class="_ _7"&gt;&lt;/span&gt;e tr&lt;span class="_ _7"&gt;&lt;/span&gt;ans&lt;span class="_ _7"&gt;&lt;/span&gt;l&lt;span class="_ _7"&gt;&lt;/span&gt;ati&lt;span class="_ _7"&gt;&lt;/span&gt;on &lt;/span&gt;&lt;span style="display:inherit;clear:left;"&gt;exp&lt;span class="_ _7"&gt;&lt;/span&gt;os&lt;span class="_ _7"&gt;&lt;/span&gt;ur&lt;span class="_ _7"&gt;&lt;/span&gt;e on th&lt;span class="_ _7"&gt;&lt;/span&gt;ei&lt;span class="_ _7"&gt;&lt;/span&gt;r ne&lt;span class="_ _7"&gt;&lt;/span&gt;t inve&lt;span class="_ _7"&gt;&lt;/span&gt;s&lt;span class="_ _7"&gt;&lt;/span&gt;tme&lt;span class="_ _7"&gt;&lt;/span&gt;nt&lt;span class="_ _7"&gt;&lt;/span&gt;s in th&lt;span class="_ _7"&gt;&lt;/span&gt;e&lt;span class="_ _7"&gt;&lt;/span&gt;se c&lt;span class="_ _7"&gt;&lt;/span&gt;urr&lt;span class="_ _7"&gt;&lt;/span&gt;en&lt;span class="_ _7"&gt;&lt;/span&gt;cie&lt;span class="_ _7"&gt;&lt;/span&gt;s&lt;span class="_ _7"&gt;&lt;/span&gt;. Ne&lt;span class="_ _7"&gt;&lt;/span&gt;t inve&lt;span class="_ _7"&gt;&lt;/span&gt;s&lt;span class="_ _7"&gt;&lt;/span&gt;t&lt;span class="_ _2"&gt;&lt;/span&gt;-&lt;/span&gt;&lt;span style="display:inherit;clear:left;"&gt;me&lt;span class="_ _7"&gt;&lt;/span&gt;nts i&lt;span class="_ _7"&gt;&lt;/span&gt;n fo&lt;span class="_ _7"&gt;&lt;/span&gt;rei&lt;span class="_ _7"&gt;&lt;/span&gt;gn o&lt;span class="_ _7"&gt;&lt;/span&gt;pe&lt;span class="_ _7"&gt;&lt;/span&gt;ra&lt;span class="_ _7"&gt;&lt;/span&gt;tio&lt;span class="_ _7"&gt;&lt;/span&gt;ns c&lt;span class="_ _7"&gt;&lt;/span&gt;on&lt;span class="_ _7"&gt;&lt;/span&gt;si&lt;span class="_ _7"&gt;&lt;/span&gt;st&lt;span class="_ _7"&gt;&lt;/span&gt;s o&lt;span class="_ _7"&gt;&lt;/span&gt;f the v&lt;span class="_ _7"&gt;&lt;/span&gt;alu&lt;span class="_ _7"&gt;&lt;/span&gt;e of Volvo C&lt;span class="_ _7"&gt;&lt;/span&gt;ar &lt;/span&gt;&lt;span style="display:inherit;clear:left;"&gt;Gro&lt;span class="_ _7"&gt;&lt;/span&gt;up’s sh&lt;span class="_ _7"&gt;&lt;/span&gt;ar&lt;span class="_ _7"&gt;&lt;/span&gt;e of th&lt;span class="_ _7"&gt;&lt;/span&gt;e ne&lt;span class="_ _7"&gt;&lt;/span&gt;t as&lt;span class="_ _7"&gt;&lt;/span&gt;s&lt;span class="_ _7"&gt;&lt;/span&gt;et&lt;span class="_ _7"&gt;&lt;/span&gt;s of t&lt;span class="_ _7"&gt;&lt;/span&gt;he fo&lt;span class="_ _7"&gt;&lt;/span&gt;re&lt;span class="_ _7"&gt;&lt;/span&gt;ign s&lt;span class="_ _7"&gt;&lt;/span&gt;ub&lt;span class="_ _7"&gt;&lt;/span&gt;si&lt;span class="_ _7"&gt;&lt;/span&gt;di&lt;span class="_ _7"&gt;&lt;/span&gt;ar&lt;span class="_ _7"&gt;&lt;/span&gt;y. Th&lt;span class="_ _7"&gt;&lt;/span&gt;e he&lt;span class="_ _7"&gt;&lt;/span&gt;dge &lt;/span&gt;&lt;span style="display:inherit;clear:left;"&gt;re&lt;span class="_ _7"&gt;&lt;/span&gt;se&lt;span class="_ _7"&gt;&lt;/span&gt;r&lt;span class="_ _7"&gt;&lt;/span&gt;ve w&lt;span class="_ _7"&gt;&lt;/span&gt;ith r&lt;span class="_ _7"&gt;&lt;/span&gt;eg&lt;span class="_ _7"&gt;&lt;/span&gt;ard&lt;span class="_ _7"&gt;&lt;/span&gt;s to n&lt;span class="_ _7"&gt;&lt;/span&gt;et in&lt;span class="_ _7"&gt;&lt;/span&gt;ves&lt;span class="_ _7"&gt;&lt;/span&gt;tm&lt;span class="_ _7"&gt;&lt;/span&gt;en&lt;span class="_ _7"&gt;&lt;/span&gt;t in fo&lt;span class="_ _7"&gt;&lt;/span&gt;re&lt;span class="_ _7"&gt;&lt;/span&gt;ign o&lt;span class="_ _7"&gt;&lt;/span&gt;pe&lt;span class="_ _7"&gt;&lt;/span&gt;ra&lt;span class="_ _7"&gt;&lt;/span&gt;tio&lt;span class="_ _7"&gt;&lt;/span&gt;ns i&lt;span class="_ _7"&gt;&lt;/span&gt;s &lt;/span&gt;&lt;span style="display:inherit;clear:left;"&gt;recorded in o&lt;span class="_ _2"&gt;&lt;/span&gt;ther comprehensive income&lt;span class="_ _2"&gt;&lt;/span&gt; and accumulated in&lt;span class="_ _2"&gt;&lt;/span&gt; cur&lt;span class="_ _2"&gt;&lt;/span&gt;&lt;span class="ls3 ws3"&gt;-&lt;/span&gt;&lt;/span&gt;&lt;span style="display:inherit;clear:left;"&gt;ren&lt;span class="_ _7"&gt;&lt;/span&gt;cy t&lt;span class="_ _7"&gt;&lt;/span&gt;ra&lt;span class="_ _7"&gt;&lt;/span&gt;ns&lt;span class="_ _7"&gt;&lt;/span&gt;la&lt;span class="_ _7"&gt;&lt;/span&gt;tio&lt;span class="_ _7"&gt;&lt;/span&gt;n re&lt;span class="_ _7"&gt;&lt;/span&gt;s&lt;span class="_ _7"&gt;&lt;/span&gt;er&lt;span class="_ _7"&gt;&lt;/span&gt;ve i&lt;span class="_ _7"&gt;&lt;/span&gt;n eq&lt;span class="_ _7"&gt;&lt;/span&gt;uit&lt;span class="_ _7"&gt;&lt;/span&gt;y i&lt;span class="_ _7"&gt;&lt;/span&gt;n or&lt;span class="_ _7"&gt;&lt;/span&gt;de&lt;span class="_ _7"&gt;&lt;/span&gt;r to me&lt;span class="_ _7"&gt;&lt;/span&gt;et th&lt;span class="_ _7"&gt;&lt;/span&gt;e tr&lt;span class="_ _7"&gt;&lt;/span&gt;an&lt;span class="_ _7"&gt;&lt;/span&gt;sl&lt;span class="_ _7"&gt;&lt;/span&gt;at&lt;span class="_ _7"&gt;&lt;/span&gt;ion &lt;/span&gt;&lt;span style="display:inherit;clear:left;"&gt;dif&lt;span class="_ _7"&gt;&lt;/span&gt;ference of&lt;span class="_ _2"&gt;&lt;/span&gt; cons&lt;span class="_ _7"&gt;&lt;/span&gt;olidated f&lt;span class="_ _2"&gt;&lt;/span&gt;oreign subsidiaries. In the e&lt;span class="_ _2"&gt;&lt;/span&gt;vent of a&lt;span class="_ _2"&gt;&lt;/span&gt; &lt;/span&gt;&lt;span style="display:inherit;clear:left;"&gt;di&lt;span class="_ _7"&gt;&lt;/span&gt;ves&lt;span class="_ _7"&gt;&lt;/span&gt;tm&lt;span class="_ _7"&gt;&lt;/span&gt;en&lt;span class="_ _7"&gt;&lt;/span&gt;t, th&lt;span class="_ _7"&gt;&lt;/span&gt;e ac&lt;span class="_ _7"&gt;&lt;/span&gt;cum&lt;span class="_ _7"&gt;&lt;/span&gt;ul&lt;span class="_ _7"&gt;&lt;/span&gt;ate&lt;span class="_ _7"&gt;&lt;/span&gt;d he&lt;span class="_ _7"&gt;&lt;/span&gt;dg&lt;span class="_ _7"&gt;&lt;/span&gt;e ef&lt;span class="_ _7"&gt;&lt;/span&gt;f&lt;span class="_ _7"&gt;&lt;/span&gt;ec&lt;span class="_ _7"&gt;&lt;/span&gt;t is t&lt;span class="_ _7"&gt;&lt;/span&gt;ra&lt;span class="_ _7"&gt;&lt;/span&gt;ns&lt;span class="_ _7"&gt;&lt;/span&gt;fe&lt;span class="_ _7"&gt;&lt;/span&gt;rr&lt;span class="_ _7"&gt;&lt;/span&gt;ed f&lt;span class="_ _7"&gt;&lt;/span&gt;ro&lt;span class="_ _7"&gt;&lt;/span&gt;m th&lt;span class="_ _7"&gt;&lt;/span&gt;e &lt;/span&gt;&lt;span style="display:inherit;clear:left;"&gt;he&lt;span class="_ _7"&gt;&lt;/span&gt;dge r&lt;span class="_ _7"&gt;&lt;/span&gt;es&lt;span class="_ _7"&gt;&lt;/span&gt;er&lt;span class="_ _9"&gt;&lt;/span&gt;ve in e&lt;span class="_ _7"&gt;&lt;/span&gt;qui&lt;span class="_ _7"&gt;&lt;/span&gt;t&lt;span class="_ _7"&gt;&lt;/span&gt;y to th&lt;span class="_ _7"&gt;&lt;/span&gt;e inc&lt;span class="_ _7"&gt;&lt;/span&gt;om&lt;span class="_ _7"&gt;&lt;/span&gt;e s&lt;span class="_ _7"&gt;&lt;/span&gt;tat&lt;span class="_ _7"&gt;&lt;/span&gt;em&lt;span class="_ _7"&gt;&lt;/span&gt;ent&lt;span class="_ _7"&gt;&lt;/span&gt;.&lt;/span&gt;&lt;span style="display:inherit;clear:left;"&gt;Fair value h&lt;span class="_ _7"&gt;&lt;/span&gt;iera&lt;span class="_ _7"&gt;&lt;/span&gt;rchy levels&lt;/span&gt;&lt;span style="display:inherit;clear:left;"&gt;Fin&lt;span class="_ _7"&gt;&lt;/span&gt;an&lt;span class="_ _7"&gt;&lt;/span&gt;cia&lt;span class="_ _7"&gt;&lt;/span&gt;l in&lt;span class="_ _7"&gt;&lt;/span&gt;st&lt;span class="_ _7"&gt;&lt;/span&gt;ru&lt;span class="_ _7"&gt;&lt;/span&gt;me&lt;span class="_ _7"&gt;&lt;/span&gt;nt&lt;span class="_ _7"&gt;&lt;/span&gt;s are d&lt;span class="_ _7"&gt;&lt;/span&gt;iv&lt;span class="_ _7"&gt;&lt;/span&gt;id&lt;span class="_ _7"&gt;&lt;/span&gt;ed i&lt;span class="_ _7"&gt;&lt;/span&gt;nto th&lt;span class="_ _7"&gt;&lt;/span&gt;re&lt;span class="_ _7"&gt;&lt;/span&gt;e leve&lt;span class="_ _7"&gt;&lt;/span&gt;l&lt;span class="_ _7"&gt;&lt;/span&gt;s dep&lt;span class="_ _7"&gt;&lt;/span&gt;en&lt;span class="_ _7"&gt;&lt;/span&gt;di&lt;span class="_ _7"&gt;&lt;/span&gt;ng on t&lt;span class="_ _7"&gt;&lt;/span&gt;he &lt;/span&gt;&lt;span style="display:inherit;clear:left;"&gt;market&lt;span class="_ _2"&gt;&lt;/span&gt; information available.&lt;/span&gt;&lt;span style="display:inherit;clear:left;position:relative;height:209.24609375px;"&gt;&lt;span class="pp-font-color-override-1" style="position: absolute; display: inline-block; left: 0px; top: 0.0136718px; width: 217.529px; white-space: pre; word-spacing: -0.096px; letter-spacing: 0.096px; margin-left: 0px; font-size: 9.6px; font-family: ff94; -webkit-text-stroke: 0.144px rgba(0, 0, 0, 0);"&gt;&lt;span style="display: inline-block;"&gt;Level&lt;/span&gt;&lt;span style="word-spacing: -0.096px; letter-spacing: 0.096px; display: inline-block; margin-left: 0px; width: 8.53125px; font-size: 9.6px; font-family: ff94; -webkit-text-stroke: 0.144px rgba(0, 0, 0, 0);"&gt;&lt;span style="display: inline-block;"&gt; &lt;/span&gt;&lt;/span&gt;&lt;span class="pp-font-color-override-1" style="word-spacing: -0.192px; letter-spacing: 0.192px; display: inline-block; margin-left: 0px; font-size: 9.6px; font-family: ff94; -webkit-text-stroke: 0.144px rgba(0, 0, 0, 0);"&gt;&lt;span style="display: inline-block;"&gt;Fair val&lt;/span&gt;&lt;span style="word-spacing: -0.192px; letter-spacing: 0.192px; display: inline-block; margin-left: -0.684px; width: 0px; font-size: 9.6px; font-family: ff94; -webkit-text-stroke: 0.144px rgba(0, 0, 0, 0);"&gt;&lt;/span&gt;&lt;span style="display: inline-block;"&gt;ue determination&lt;/span&gt;&lt;span style="word-spacing: -0.192px; letter-spacing: 0.192px; display: inline-block; margin-left: 0px; width: 45.4864px; font-size: 9.6px; font-family: ff94; -webkit-text-stroke: 0.144px rgba(0, 0, 0, 0);"&gt;&lt;span style="display: inline-block;"&gt; &lt;/span&gt;&lt;/span&gt;&lt;span class="pp-font-color-override-1" style="word-spacing: -0.2016px; letter-spacing: 0.2016px; display: inline-block; margin-left: 0px; font-size: 9.6px; font-family: ff94; -webkit-text-stroke: 0.144px rgba(0, 0, 0, 0);"&gt;&lt;span style="display: inline-block;"&gt;Comprise&lt;/span&gt;&lt;span style="word-spacing: -0.2016px; letter-spacing: 0.2016px; display: inline-block; margin-left: 0px; width: 0.410156px; font-size: 9.6px; font-family: ff94; -webkit-text-stroke: 0.144px rgba(0, 0, 0, 0);"&gt;&lt;/span&gt;&lt;span style="display: inline-block;"&gt;s&lt;/span&gt;&lt;/span&gt;&lt;/span&gt;&lt;/span&gt;&lt;span class="pp-font-color-override-1" style="position: absolute; display: inline-block; left: 0px; top: 21.7129px; width: 169.682px; white-space: pre; word-spacing: 0px; letter-spacing: 0px; margin-left: 0px; font-size: 10.5px; font-family: ff95; -webkit-text-stroke: 0.1575px rgba(0, 0, 0, 0);"&gt;&lt;span style="display: inline-block;"&gt;1&lt;/span&gt;&lt;span style="word-spacing: 0px; letter-spacing: 0px; display: inline-block; margin-left: 0px; width: 29.1973px; font-size: 10.5px; font-family: ff95; -webkit-text-stroke: 0.1575px rgba(0, 0, 0, 0);"&gt;&lt;</t>
  </si>
  <si>
    <t>f1__s8__6__174-1</t>
  </si>
  <si>
    <t>ifrs-full:DescriptionOfAccountingPolicyForHedgingExplanatory</t>
  </si>
  <si>
    <t>f1__s8__6__175-1</t>
  </si>
  <si>
    <t>ifrs-full:DisclosureOfFinancialRiskManagementExplanatory</t>
  </si>
  <si>
    <t>f1__s8__6__176-1</t>
  </si>
  <si>
    <t>ifrs-full:DisclosureOfFairValueMeasurementExplanatory</t>
  </si>
  <si>
    <t>f1__s8__6__18</t>
  </si>
  <si>
    <t>ifrs-full:DisclosureOfBasisOfPreparationOfFinancialStatementsExplanatory</t>
  </si>
  <si>
    <t>&lt;span style="display:inherit;clear:left;"&gt;NOT&lt;span class="_ _7"&gt;&lt;/span&gt;E 1&lt;/span&gt;&lt;span style="display:inherit;clear:left;"&gt; &lt;span class="_ _1"&gt;&lt;/span&gt;GENERAL INFORMA&lt;span class="_ _2"&gt;&lt;/span&gt;TION FOR FINANCIAL&lt;span class="_ _2"&gt;&lt;/span&gt; &lt;span class="ls3 ws3"&gt; &lt;/span&gt;&lt;/span&gt;&lt;span style="display:inherit;clear:left;"&gt;REP&lt;span class="_ _7"&gt;&lt;/span&gt;OR&lt;span class="_ _7"&gt;&lt;/span&gt;TIN&lt;span class="_ _7"&gt;&lt;/span&gt;G IN VO&lt;span class="_ _7"&gt;&lt;/span&gt;L&lt;span class="_ _2"&gt;&lt;/span&gt;VO CAR GR&lt;span class="_ _7"&gt;&lt;/span&gt;OU&lt;span class="_ _7"&gt;&lt;/span&gt;P&lt;/span&gt;&lt;span style="display:inherit;clear:left;"&gt;Basis of preparation&lt;/span&gt;&lt;span style="display:inherit;clear:left;"&gt;Th&lt;span class="_ _7"&gt;&lt;/span&gt;e con&lt;span class="_ _7"&gt;&lt;/span&gt;s&lt;span class="_ _7"&gt;&lt;/span&gt;oli&lt;span class="_ _7"&gt;&lt;/span&gt;da&lt;span class="_ _7"&gt;&lt;/span&gt;ted f&lt;span class="_ _7"&gt;&lt;/span&gt;in&lt;span class="_ _7"&gt;&lt;/span&gt;an&lt;span class="_ _7"&gt;&lt;/span&gt;cia&lt;span class="_ _7"&gt;&lt;/span&gt;l s&lt;span class="_ _7"&gt;&lt;/span&gt;tat&lt;span class="_ _7"&gt;&lt;/span&gt;em&lt;span class="_ _7"&gt;&lt;/span&gt;ent&lt;span class="_ _7"&gt;&lt;/span&gt;s of Volvo C&lt;span class="_ _7"&gt;&lt;/span&gt;ar A&lt;span class="_ _7"&gt;&lt;/span&gt;B (p&lt;span class="_ _7"&gt;&lt;/span&gt;ubl&lt;span class="_ _7"&gt;&lt;/span&gt;.) h&lt;span class="_ _7"&gt;&lt;/span&gt;ave &lt;/span&gt;&lt;span style="display:inherit;clear:left;"&gt;been prepared in&lt;span class="_ _2"&gt;&lt;/span&gt; accordance with the&lt;span class="_ _2"&gt;&lt;/span&gt; International F&lt;span class="_ _2"&gt;&lt;/span&gt;inancial &lt;/span&gt;&lt;span style="display:inherit;clear:left;"&gt;Rep&lt;span class="_ _7"&gt;&lt;/span&gt;or&lt;span class="_ _7"&gt;&lt;/span&gt;t&lt;span class="_ _7"&gt;&lt;/span&gt;ing St&lt;span class="_ _7"&gt;&lt;/span&gt;an&lt;span class="_ _7"&gt;&lt;/span&gt;da&lt;span class="_ _7"&gt;&lt;/span&gt;rd&lt;span class="_ _7"&gt;&lt;/span&gt;s (IFRS) i&lt;span class="_ _7"&gt;&lt;/span&gt;s&lt;span class="_ _7"&gt;&lt;/span&gt;sue&lt;span class="_ _7"&gt;&lt;/span&gt;d by th&lt;span class="_ _7"&gt;&lt;/span&gt;e In&lt;span class="_ _7"&gt;&lt;/span&gt;ter&lt;span class="_ _7"&gt;&lt;/span&gt;nat&lt;span class="_ _7"&gt;&lt;/span&gt;io&lt;span class="_ _7"&gt;&lt;/span&gt;na&lt;span class="_ _7"&gt;&lt;/span&gt;l Acco&lt;span class="_ _7"&gt;&lt;/span&gt;un&lt;span class="_ _7"&gt;&lt;/span&gt;ting &lt;/span&gt;&lt;span style="display:inherit;clear:left;"&gt;St&lt;span class="_ _7"&gt;&lt;/span&gt;and&lt;span class="_ _7"&gt;&lt;/span&gt;ar&lt;span class="_ _7"&gt;&lt;/span&gt;ds B&lt;span class="_ _7"&gt;&lt;/span&gt;oa&lt;span class="_ _7"&gt;&lt;/span&gt;rd (I&lt;span class="_ _7"&gt;&lt;/span&gt;ASB), as ad&lt;span class="_ _7"&gt;&lt;/span&gt;op&lt;span class="_ _7"&gt;&lt;/span&gt;ted by t&lt;span class="_ _7"&gt;&lt;/span&gt;he Eu&lt;span class="_ _7"&gt;&lt;/span&gt;rop&lt;span class="_ _7"&gt;&lt;/span&gt;ea&lt;span class="_ _7"&gt;&lt;/span&gt;n Un&lt;span class="_ _7"&gt;&lt;/span&gt;ion a&lt;span class="_ _7"&gt;&lt;/span&gt;nd t&lt;span class="_ _7"&gt;&lt;/span&gt;he &lt;/span&gt;&lt;span style="display:inherit;clear:left;"&gt;Swe&lt;span class="_ _7"&gt;&lt;/span&gt;di&lt;span class="_ _7"&gt;&lt;/span&gt;sh A&lt;span class="_ _7"&gt;&lt;/span&gt;nnu&lt;span class="_ _7"&gt;&lt;/span&gt;al Ac&lt;span class="_ _7"&gt;&lt;/span&gt;co&lt;span class="_ _7"&gt;&lt;/span&gt;unt&lt;span class="_ _7"&gt;&lt;/span&gt;s Act&lt;span class="_ _7"&gt;&lt;/span&gt;. In a&lt;span class="_ _7"&gt;&lt;/span&gt;dd&lt;span class="_ _7"&gt;&lt;/span&gt;iti&lt;span class="_ _7"&gt;&lt;/span&gt;on&lt;span class="_ _7"&gt;&lt;/span&gt;, RFR 1 Su&lt;span class="_ _7"&gt;&lt;/span&gt;pp&lt;span class="_ _7"&gt;&lt;/span&gt;lem&lt;span class="_ _7"&gt;&lt;/span&gt;en&lt;span class="_ _7"&gt;&lt;/span&gt;ta&lt;span class="_ _7"&gt;&lt;/span&gt;r&lt;span class="_ _7"&gt;&lt;/span&gt;y &lt;/span&gt;&lt;span style="display:inherit;clear:left;"&gt;Rule&lt;span class="_ _7"&gt;&lt;/span&gt;s fo&lt;span class="_ _7"&gt;&lt;/span&gt;r Gr&lt;span class="_ _7"&gt;&lt;/span&gt;ou&lt;span class="_ _7"&gt;&lt;/span&gt;ps h&lt;span class="_ _7"&gt;&lt;/span&gt;as b&lt;span class="_ _7"&gt;&lt;/span&gt;ee&lt;span class="_ _7"&gt;&lt;/span&gt;n ap&lt;span class="_ _7"&gt;&lt;/span&gt;pli&lt;span class="_ _7"&gt;&lt;/span&gt;ed&lt;span class="_ _7"&gt;&lt;/span&gt;, a s&lt;span class="_ _7"&gt;&lt;/span&gt;ta&lt;span class="_ _7"&gt;&lt;/span&gt;nd&lt;span class="_ _7"&gt;&lt;/span&gt;ard i&lt;span class="_ _7"&gt;&lt;/span&gt;s&lt;span class="_ _7"&gt;&lt;/span&gt;su&lt;span class="_ _7"&gt;&lt;/span&gt;ed b&lt;span class="_ _7"&gt;&lt;/span&gt;y the Sw&lt;span class="_ _7"&gt;&lt;/span&gt;ed-&lt;/span&gt;&lt;span style="display:inherit;clear:left;"&gt;is&lt;span class="_ _7"&gt;&lt;/span&gt;h Fin&lt;span class="_ _7"&gt;&lt;/span&gt;an&lt;span class="_ _7"&gt;&lt;/span&gt;cia&lt;span class="_ _7"&gt;&lt;/span&gt;l Rep&lt;span class="_ _7"&gt;&lt;/span&gt;or&lt;span class="_ _9"&gt;&lt;/span&gt;ting B&lt;span class="_ _7"&gt;&lt;/span&gt;oa&lt;span class="_ _7"&gt;&lt;/span&gt;rd&lt;span class="_ _7"&gt;&lt;/span&gt;. RFR 1 s&lt;span class="_ _7"&gt;&lt;/span&gt;pe&lt;span class="_ _7"&gt;&lt;/span&gt;ci&lt;span class="_ _7"&gt;&lt;/span&gt;fi&lt;span class="_ _7"&gt;&lt;/span&gt;es m&lt;span class="_ _7"&gt;&lt;/span&gt;an&lt;span class="_ _7"&gt;&lt;/span&gt;da&lt;span class="_ _7"&gt;&lt;/span&gt;tor&lt;span class="_ _7"&gt;&lt;/span&gt;y a&lt;span class="_ _7"&gt;&lt;/span&gt;dd&lt;span class="_ _7"&gt;&lt;/span&gt;iti&lt;span class="_ _7"&gt;&lt;/span&gt;on&lt;span class="_ _7"&gt;&lt;/span&gt;s &lt;/span&gt;&lt;span style="display:inherit;clear:left;"&gt;to the I&lt;span class="_ _7"&gt;&lt;/span&gt;FRS di&lt;span class="_ _7"&gt;&lt;/span&gt;sc&lt;span class="_ _7"&gt;&lt;/span&gt;lo&lt;span class="_ _7"&gt;&lt;/span&gt;su&lt;span class="_ _7"&gt;&lt;/span&gt;re re&lt;span class="_ _7"&gt;&lt;/span&gt;qu&lt;span class="_ _7"&gt;&lt;/span&gt;ire&lt;span class="_ _7"&gt;&lt;/span&gt;me&lt;span class="_ _7"&gt;&lt;/span&gt;nt&lt;span class="_ _7"&gt;&lt;/span&gt;s in a&lt;span class="_ _7"&gt;&lt;/span&gt;cco&lt;span class="_ _7"&gt;&lt;/span&gt;rd&lt;span class="_ _7"&gt;&lt;/span&gt;an&lt;span class="_ _7"&gt;&lt;/span&gt;ce wi&lt;span class="_ _7"&gt;&lt;/span&gt;th th&lt;span class="_ _7"&gt;&lt;/span&gt;e Swe&lt;span class="_ _7"&gt;&lt;/span&gt;di&lt;span class="_ _7"&gt;&lt;/span&gt;sh &lt;/span&gt;&lt;span style="display:inherit;clear:left;"&gt;Ann&lt;span class="_ _7"&gt;&lt;/span&gt;ua&lt;span class="_ _7"&gt;&lt;/span&gt;l Acc&lt;span class="_ _7"&gt;&lt;/span&gt;oun&lt;span class="_ _7"&gt;&lt;/span&gt;ts Ac&lt;span class="_ _7"&gt;&lt;/span&gt;t&lt;span class="_ _7"&gt;&lt;/span&gt;. Gro&lt;span class="_ _7"&gt;&lt;/span&gt;up c&lt;span class="_ _7"&gt;&lt;/span&gt;omp&lt;span class="_ _7"&gt;&lt;/span&gt;an&lt;span class="_ _7"&gt;&lt;/span&gt;ie&lt;span class="_ _7"&gt;&lt;/span&gt;s ap&lt;span class="_ _7"&gt;&lt;/span&gt;ply t&lt;span class="_ _7"&gt;&lt;/span&gt;he s&lt;span class="_ _7"&gt;&lt;/span&gt;am&lt;span class="_ _7"&gt;&lt;/span&gt;e ac&lt;span class="_ _7"&gt;&lt;/span&gt;cou&lt;span class="_ _7"&gt;&lt;/span&gt;nti&lt;span class="_ _7"&gt;&lt;/span&gt;ng &lt;/span&gt;&lt;span style="display:inherit;clear:left;"&gt;po&lt;span class="_ _7"&gt;&lt;/span&gt;lic&lt;span class="_ _7"&gt;&lt;/span&gt;ie&lt;span class="_ _7"&gt;&lt;/span&gt;s&lt;span class="_ _7"&gt;&lt;/span&gt;, irr&lt;span class="_ _7"&gt;&lt;/span&gt;e&lt;span class="_ _7"&gt;&lt;/span&gt;sp&lt;span class="_ _7"&gt;&lt;/span&gt;ec&lt;span class="_ _7"&gt;&lt;/span&gt;ti&lt;span class="_ _7"&gt;&lt;/span&gt;ve of n&lt;span class="_ _7"&gt;&lt;/span&gt;ati&lt;span class="_ _7"&gt;&lt;/span&gt;on&lt;span class="_ _7"&gt;&lt;/span&gt;al le&lt;span class="_ _7"&gt;&lt;/span&gt;gi&lt;span class="_ _7"&gt;&lt;/span&gt;sl&lt;span class="_ _7"&gt;&lt;/span&gt;ati&lt;span class="_ _7"&gt;&lt;/span&gt;on&lt;span class="_ _7"&gt;&lt;/span&gt;, as d&lt;span class="_ _7"&gt;&lt;/span&gt;ef&lt;span class="_ _7"&gt;&lt;/span&gt;in&lt;span class="_ _7"&gt;&lt;/span&gt;ed i&lt;span class="_ _7"&gt;&lt;/span&gt;n Volvo Ca&lt;span class="_ _7"&gt;&lt;/span&gt;r &lt;/span&gt;&lt;span style="display:inherit;clear:left;"&gt;Gro&lt;span class="_ _7"&gt;&lt;/span&gt;up a&lt;span class="_ _7"&gt;&lt;/span&gt;cc&lt;span class="_ _7"&gt;&lt;/span&gt;oun&lt;span class="_ _7"&gt;&lt;/span&gt;tin&lt;span class="_ _7"&gt;&lt;/span&gt;g dir&lt;span class="_ _7"&gt;&lt;/span&gt;ec&lt;span class="_ _7"&gt;&lt;/span&gt;ti&lt;span class="_ _7"&gt;&lt;/span&gt;ves a&lt;span class="_ _7"&gt;&lt;/span&gt;nd t&lt;span class="_ _7"&gt;&lt;/span&gt;hey h&lt;span class="_ _7"&gt;&lt;/span&gt;ave b&lt;span class="_ _7"&gt;&lt;/span&gt;ee&lt;span class="_ _7"&gt;&lt;/span&gt;n ap&lt;span class="_ _7"&gt;&lt;/span&gt;pli&lt;span class="_ _7"&gt;&lt;/span&gt;ed c&lt;span class="_ _7"&gt;&lt;/span&gt;on&lt;span class="_ _7"&gt;&lt;/span&gt;si&lt;span class="_ _7"&gt;&lt;/span&gt;st-&lt;/span&gt;&lt;span style="display:inherit;clear:left;"&gt;ent&lt;span class="_ _7"&gt;&lt;/span&gt;ly for a&lt;span class="_ _7"&gt;&lt;/span&gt;ll p&lt;span class="_ _7"&gt;&lt;/span&gt;er&lt;span class="_ _7"&gt;&lt;/span&gt;io&lt;span class="_ _7"&gt;&lt;/span&gt;ds&lt;span class="_ _7"&gt;&lt;/span&gt;, un&lt;span class="_ _7"&gt;&lt;/span&gt;le&lt;span class="_ _7"&gt;&lt;/span&gt;s&lt;span class="_ _7"&gt;&lt;/span&gt;s oth&lt;span class="_ _7"&gt;&lt;/span&gt;er&lt;span class="_ _7"&gt;&lt;/span&gt;w&lt;span class="_ _7"&gt;&lt;/span&gt;is&lt;span class="_ _7"&gt;&lt;/span&gt;e s&lt;span class="_ _7"&gt;&lt;/span&gt;ta&lt;span class="_ _7"&gt;&lt;/span&gt;ted&lt;span class="_ _7"&gt;&lt;/span&gt;. &lt;/span&gt;&lt;span style="display:inherit;clear:left;"&gt;Th&lt;span class="_ _7"&gt;&lt;/span&gt;e fi&lt;span class="_ _7"&gt;&lt;/span&gt;nan&lt;span class="_ _7"&gt;&lt;/span&gt;ci&lt;span class="_ _7"&gt;&lt;/span&gt;al s&lt;span class="_ _7"&gt;&lt;/span&gt;ta&lt;span class="_ _7"&gt;&lt;/span&gt;tem&lt;span class="_ _7"&gt;&lt;/span&gt;ent&lt;span class="_ _7"&gt;&lt;/span&gt;s ar&lt;span class="_ _7"&gt;&lt;/span&gt;e ba&lt;span class="_ _7"&gt;&lt;/span&gt;s&lt;span class="_ _7"&gt;&lt;/span&gt;ed o&lt;span class="_ _7"&gt;&lt;/span&gt;n co&lt;span class="_ _7"&gt;&lt;/span&gt;st&lt;span class="_ _7"&gt;&lt;/span&gt;, ap&lt;span class="_ _7"&gt;&lt;/span&gt;ar&lt;span class="_ _7"&gt;&lt;/span&gt;t f&lt;span class="_ _7"&gt;&lt;/span&gt;ro&lt;span class="_ _7"&gt;&lt;/span&gt;m ce&lt;span class="_ _7"&gt;&lt;/span&gt;r&lt;span class="_ _7"&gt;&lt;/span&gt;ta&lt;span class="_ _7"&gt;&lt;/span&gt;in &lt;/span&gt;&lt;span style="display:inherit;clear:left;"&gt;financial instruments, provisions for&lt;span class="_ _2"&gt;&lt;/span&gt; pensions and other&lt;span class="_ _2"&gt;&lt;/span&gt; po&lt;span class="_ _7"&gt;&lt;/span&gt;st&lt;span class="_ _2"&gt;&lt;/span&gt;-em&lt;span class="_ _2"&gt;&lt;/span&gt;&lt;span class="ls3 ws3"&gt;-&lt;/span&gt;&lt;/span&gt;&lt;span style="display:inherit;clear:left;"&gt;ploy&lt;span class="_ _7"&gt;&lt;/span&gt;m&lt;span class="_ _7"&gt;&lt;/span&gt;ent b&lt;span class="_ _7"&gt;&lt;/span&gt;en&lt;span class="_ _7"&gt;&lt;/span&gt;ef&lt;span class="_ _7"&gt;&lt;/span&gt;it&lt;span class="_ _7"&gt;&lt;/span&gt;s w&lt;span class="_ _7"&gt;&lt;/span&gt;hic&lt;span class="_ _7"&gt;&lt;/span&gt;h are r&lt;span class="_ _7"&gt;&lt;/span&gt;ep&lt;span class="_ _7"&gt;&lt;/span&gt;or&lt;span class="_ _7"&gt;&lt;/span&gt;te&lt;span class="_ _7"&gt;&lt;/span&gt;d at f&lt;span class="_ _7"&gt;&lt;/span&gt;ai&lt;span class="_ _7"&gt;&lt;/span&gt;r val&lt;span class="_ _7"&gt;&lt;/span&gt;ue. P&lt;span class="_ _7"&gt;&lt;/span&gt;rep&lt;span class="_ _7"&gt;&lt;/span&gt;ar&lt;span class="_ _7"&gt;&lt;/span&gt;at&lt;span class="_ _7"&gt;&lt;/span&gt;ion o&lt;span class="_ _7"&gt;&lt;/span&gt;f &lt;/span&gt;&lt;span style="display:inherit;clear:left;"&gt;the f&lt;span class="_ _7"&gt;&lt;/span&gt;in&lt;span class="_ _7"&gt;&lt;/span&gt;an&lt;span class="_ _7"&gt;&lt;/span&gt;cia&lt;span class="_ _7"&gt;&lt;/span&gt;l s&lt;span class="_ _7"&gt;&lt;/span&gt;tat&lt;span class="_ _7"&gt;&lt;/span&gt;eme&lt;span class="_ _7"&gt;&lt;/span&gt;nt&lt;span class="_ _7"&gt;&lt;/span&gt;s in a&lt;span class="_ _7"&gt;&lt;/span&gt;cc&lt;span class="_ _7"&gt;&lt;/span&gt;ord&lt;span class="_ _7"&gt;&lt;/span&gt;an&lt;span class="_ _7"&gt;&lt;/span&gt;ce w&lt;span class="_ _7"&gt;&lt;/span&gt;ith I&lt;span class="_ _7"&gt;&lt;/span&gt;FRS re&lt;span class="_ _7"&gt;&lt;/span&gt;qui&lt;span class="_ _7"&gt;&lt;/span&gt;re&lt;span class="_ _7"&gt;&lt;/span&gt;s th&lt;span class="_ _7"&gt;&lt;/span&gt;e Co&lt;span class="_ _7"&gt;&lt;/span&gt;m-&lt;/span&gt;&lt;span style="display:inherit;clear:left;"&gt;pa&lt;span class="_ _7"&gt;&lt;/span&gt;ny’s E&lt;span class="_ _7"&gt;&lt;/span&gt;xecu&lt;span class="_ _7"&gt;&lt;/span&gt;ti&lt;span class="_ _7"&gt;&lt;/span&gt;ve Ma&lt;span class="_ _7"&gt;&lt;/span&gt;nag&lt;span class="_ _7"&gt;&lt;/span&gt;em&lt;span class="_ _7"&gt;&lt;/span&gt;ent a&lt;span class="_ _7"&gt;&lt;/span&gt;nd t&lt;span class="_ _7"&gt;&lt;/span&gt;he B&lt;span class="_ _7"&gt;&lt;/span&gt;oa&lt;span class="_ _7"&gt;&lt;/span&gt;rd of D&lt;span class="_ _7"&gt;&lt;/span&gt;ir&lt;span class="_ _7"&gt;&lt;/span&gt;ec&lt;span class="_ _7"&gt;&lt;/span&gt;tor&lt;span class="_ _7"&gt;&lt;/span&gt;s to m&lt;span class="_ _7"&gt;&lt;/span&gt;ake &lt;/span&gt;&lt;span style="display:inherit;clear:left;"&gt;es&lt;span class="_ _7"&gt;&lt;/span&gt;ti&lt;span class="_ _7"&gt;&lt;/span&gt;mat&lt;span class="_ _7"&gt;&lt;/span&gt;io&lt;span class="_ _7"&gt;&lt;/span&gt;ns an&lt;span class="_ _7"&gt;&lt;/span&gt;d ju&lt;span class="_ _7"&gt;&lt;/span&gt;dge&lt;span class="_ _7"&gt;&lt;/span&gt;me&lt;span class="_ _7"&gt;&lt;/span&gt;nt&lt;span class="_ _7"&gt;&lt;/span&gt;s th&lt;span class="_ _7"&gt;&lt;/span&gt;at af&lt;span class="_ _9"&gt;&lt;/span&gt;fec&lt;span class="_ _7"&gt;&lt;/span&gt;t th&lt;span class="_ _7"&gt;&lt;/span&gt;e valu&lt;span class="_ _7"&gt;&lt;/span&gt;e of t&lt;span class="_ _7"&gt;&lt;/span&gt;he re&lt;span class="_ _7"&gt;&lt;/span&gt;p&lt;span class="_ _7"&gt;&lt;/span&gt;or&lt;span class="_ _7"&gt;&lt;/span&gt;te&lt;span class="_ _7"&gt;&lt;/span&gt;d &lt;/span&gt;&lt;span style="display:inherit;clear:left;"&gt;as&lt;span class="_ _7"&gt;&lt;/span&gt;s&lt;span class="_ _7"&gt;&lt;/span&gt;et&lt;span class="_ _7"&gt;&lt;/span&gt;s&lt;span class="_ _7"&gt;&lt;/span&gt;, lia&lt;span class="_ _7"&gt;&lt;/span&gt;bi&lt;span class="_ _7"&gt;&lt;/span&gt;liti&lt;span class="_ _7"&gt;&lt;/span&gt;e&lt;span class="_ _7"&gt;&lt;/span&gt;s, i&lt;span class="_ _7"&gt;&lt;/span&gt;nc&lt;span class="_ _7"&gt;&lt;/span&gt;om&lt;span class="_ _7"&gt;&lt;/span&gt;e an&lt;span class="_ _7"&gt;&lt;/span&gt;d exp&lt;span class="_ _7"&gt;&lt;/span&gt;en&lt;span class="_ _7"&gt;&lt;/span&gt;se&lt;span class="_ _7"&gt;&lt;/span&gt;s&lt;span class="_ _7"&gt;&lt;/span&gt;. Es&lt;span class="_ _7"&gt;&lt;/span&gt;ti&lt;span class="_ _7"&gt;&lt;/span&gt;ma&lt;span class="_ _7"&gt;&lt;/span&gt;tes a&lt;span class="_ _7"&gt;&lt;/span&gt;nd j&lt;span class="_ _7"&gt;&lt;/span&gt;udg&lt;span class="_ _7"&gt;&lt;/span&gt;em&lt;span class="_ _7"&gt;&lt;/span&gt;ent&lt;span class="_ _7"&gt;&lt;/span&gt;s &lt;/span&gt;&lt;span style="display:inherit;clear:left;"&gt;wil&lt;span class="_ _7"&gt;&lt;/span&gt;l imp&lt;span class="_ _7"&gt;&lt;/span&gt;ac&lt;span class="_ _7"&gt;&lt;/span&gt;t th&lt;span class="_ _7"&gt;&lt;/span&gt;e val&lt;span class="_ _7"&gt;&lt;/span&gt;ue&lt;span class="_ _7"&gt;&lt;/span&gt;s of a&lt;span class="_ _7"&gt;&lt;/span&gt;s&lt;span class="_ _7"&gt;&lt;/span&gt;se&lt;span class="_ _7"&gt;&lt;/span&gt;ts a&lt;span class="_ _7"&gt;&lt;/span&gt;nd l&lt;span class="_ _7"&gt;&lt;/span&gt;iab&lt;span class="_ _7"&gt;&lt;/span&gt;ili&lt;span class="_ _7"&gt;&lt;/span&gt;ti&lt;span class="_ _7"&gt;&lt;/span&gt;es&lt;span class="_ _7"&gt;&lt;/span&gt;. T&lt;span class="_ _7"&gt;&lt;/span&gt;he ac&lt;span class="_ _7"&gt;&lt;/span&gt;tu&lt;span class="_ _7"&gt;&lt;/span&gt;al o&lt;span class="_ _7"&gt;&lt;/span&gt;utc&lt;span class="_ _7"&gt;&lt;/span&gt;om&lt;span class="_ _7"&gt;&lt;/span&gt;e &lt;/span&gt;&lt;span style="display:inherit;clear:left;"&gt;(valu&lt;span class="_ _7"&gt;&lt;/span&gt;e) may di&lt;span class="_ _7"&gt;&lt;/span&gt;f&lt;span class="_ _7"&gt;&lt;/span&gt;f&lt;span class="_ _7"&gt;&lt;/span&gt;er f&lt;span class="_ _7"&gt;&lt;/span&gt;rom t&lt;span class="_ _7"&gt;&lt;/span&gt;he&lt;span class="_ _7"&gt;&lt;/span&gt;s&lt;span class="_ _7"&gt;&lt;/span&gt;e es&lt;span class="_ _7"&gt;&lt;/span&gt;ti&lt;span class="_ _7"&gt;&lt;/span&gt;mat&lt;span class="_ _7"&gt;&lt;/span&gt;es a&lt;span class="_ _7"&gt;&lt;/span&gt;nd ju&lt;span class="_ _7"&gt;&lt;/span&gt;dg&lt;span class="_ _7"&gt;&lt;/span&gt;eme&lt;span class="_ _7"&gt;&lt;/span&gt;nt&lt;span class="_ _7"&gt;&lt;/span&gt;s an&lt;span class="_ _7"&gt;&lt;/span&gt;d co&lt;span class="_ _7"&gt;&lt;/span&gt;rr&lt;span class="_ _7"&gt;&lt;/span&gt;ec-&lt;/span&gt;&lt;span style="display:inherit;clear:left;"&gt;tio&lt;span class="_ _7"&gt;&lt;/span&gt;ns m&lt;span class="_ _7"&gt;&lt;/span&gt;ay be n&lt;span class="_ _7"&gt;&lt;/span&gt;e&lt;span class="_ _7"&gt;&lt;/span&gt;ce&lt;span class="_ _7"&gt;&lt;/span&gt;s&lt;span class="_ _7"&gt;&lt;/span&gt;s&lt;span class="_ _7"&gt;&lt;/span&gt;ar&lt;span class="_ _7"&gt;&lt;/span&gt;y to m&lt;span class="_ _7"&gt;&lt;/span&gt;ake. T&lt;span class="_ _7"&gt;&lt;/span&gt;he&lt;span class="_ _7"&gt;&lt;/span&gt;re&lt;span class="_ _7"&gt;&lt;/span&gt;for&lt;span class="_ _7"&gt;&lt;/span&gt;e, th&lt;span class="_ _7"&gt;&lt;/span&gt;e e&lt;span class="_ _7"&gt;&lt;/span&gt;st&lt;span class="_ _7"&gt;&lt;/span&gt;ima&lt;span class="_ _7"&gt;&lt;/span&gt;te&lt;span class="_ _7"&gt;&lt;/span&gt;s and &lt;/span&gt;&lt;span style="display:inherit;clear:left;"&gt;jud&lt;span class="_ _7"&gt;&lt;/span&gt;gem&lt;span class="_ _7"&gt;&lt;/span&gt;en&lt;span class="_ _7"&gt;&lt;/span&gt;ts a&lt;span class="_ _7"&gt;&lt;/span&gt;re r&lt;span class="_ _7"&gt;&lt;/span&gt;evi&lt;span class="_ _7"&gt;&lt;/span&gt;ewe&lt;span class="_ _7"&gt;&lt;/span&gt;d on a r&lt;span class="_ _7"&gt;&lt;/span&gt;eg&lt;span class="_ _7"&gt;&lt;/span&gt;ul&lt;span class="_ _7"&gt;&lt;/span&gt;ar b&lt;span class="_ _7"&gt;&lt;/span&gt;as&lt;span class="_ _7"&gt;&lt;/span&gt;is&lt;span class="_ _7"&gt;&lt;/span&gt;. &lt;/span&gt;&lt;span style="display:inherit;clear:left;"&gt;All a&lt;span class="_ _7"&gt;&lt;/span&gt;cco&lt;span class="_ _7"&gt;&lt;/span&gt;un&lt;span class="_ _7"&gt;&lt;/span&gt;ting p&lt;span class="_ _7"&gt;&lt;/span&gt;o&lt;span class="_ _7"&gt;&lt;/span&gt;lic&lt;span class="_ _7"&gt;&lt;/span&gt;ie&lt;span class="_ _7"&gt;&lt;/span&gt;s an&lt;span class="_ _7"&gt;&lt;/span&gt;d cri&lt;span class="_ _7"&gt;&lt;/span&gt;tic&lt;span class="_ _7"&gt;&lt;/span&gt;al a&lt;span class="_ _7"&gt;&lt;/span&gt;cc&lt;span class="_ _7"&gt;&lt;/span&gt;ou&lt;span class="_ _7"&gt;&lt;/span&gt;nti&lt;span class="_ _7"&gt;&lt;/span&gt;ng es&lt;span class="_ _7"&gt;&lt;/span&gt;ti&lt;span class="_ _7"&gt;&lt;/span&gt;ma&lt;span class="_ _7"&gt;&lt;/span&gt;tes a&lt;span class="_ _7"&gt;&lt;/span&gt;nd &lt;/span&gt;&lt;span style="display:inherit;clear:left;"&gt;jud&lt;span class="_ _7"&gt;&lt;/span&gt;gem&lt;span class="_ _7"&gt;&lt;/span&gt;en&lt;span class="_ _7"&gt;&lt;/span&gt;ts c&lt;span class="_ _7"&gt;&lt;/span&gt;on&lt;span class="_ _7"&gt;&lt;/span&gt;si&lt;span class="_ _7"&gt;&lt;/span&gt;de&lt;span class="_ _7"&gt;&lt;/span&gt;re&lt;span class="_ _7"&gt;&lt;/span&gt;d mat&lt;span class="_ _7"&gt;&lt;/span&gt;eri&lt;span class="_ _7"&gt;&lt;/span&gt;al to Volvo C&lt;span class="_ _7"&gt;&lt;/span&gt;ar G&lt;span class="_ _7"&gt;&lt;/span&gt;ro&lt;span class="_ _7"&gt;&lt;/span&gt;up ar&lt;span class="_ _7"&gt;&lt;/span&gt;e de&lt;span class="_ _7"&gt;&lt;/span&gt;s&lt;span class="_ _7"&gt;&lt;/span&gt;cri&lt;span class="_ _7"&gt;&lt;/span&gt;be&lt;span class="_ _7"&gt;&lt;/span&gt;d in &lt;/span&gt;&lt;span style="display:inherit;clear:left;"&gt;con&lt;span class="_ _7"&gt;&lt;/span&gt;ju&lt;span class="_ _7"&gt;&lt;/span&gt;nc&lt;span class="_ _7"&gt;&lt;/span&gt;tio&lt;span class="_ _7"&gt;&lt;/span&gt;n wi&lt;span class="_ _7"&gt;&lt;/span&gt;th ea&lt;span class="_ _7"&gt;&lt;/span&gt;ch n&lt;span class="_ _7"&gt;&lt;/span&gt;ote. W&lt;span class="_ _7"&gt;&lt;/span&gt;he&lt;span class="_ _7"&gt;&lt;/span&gt;n a new a&lt;span class="_ _7"&gt;&lt;/span&gt;cc&lt;span class="_ _7"&gt;&lt;/span&gt;ou&lt;span class="_ _7"&gt;&lt;/span&gt;nti&lt;span class="_ _7"&gt;&lt;/span&gt;ng po&lt;span class="_ _7"&gt;&lt;/span&gt;li&lt;span class="_ _7"&gt;&lt;/span&gt;cy ha&lt;span class="_ _7"&gt;&lt;/span&gt;s be&lt;span class="_ _7"&gt;&lt;/span&gt;en &lt;/span&gt;&lt;span style="display:inherit;clear:left;"&gt;imp&lt;span class="_ _7"&gt;&lt;/span&gt;le&lt;span class="_ _7"&gt;&lt;/span&gt;men&lt;span class="_ _7"&gt;&lt;/span&gt;ted o&lt;span class="_ _7"&gt;&lt;/span&gt;r wh&lt;span class="_ _7"&gt;&lt;/span&gt;en th&lt;span class="_ _7"&gt;&lt;/span&gt;er&lt;span class="_ _7"&gt;&lt;/span&gt;e ha&lt;span class="_ _7"&gt;&lt;/span&gt;s be&lt;span class="_ _7"&gt;&lt;/span&gt;en c&lt;span class="_ _7"&gt;&lt;/span&gt;ha&lt;span class="_ _7"&gt;&lt;/span&gt;nge&lt;span class="_ _7"&gt;&lt;/span&gt;s in d&lt;span class="_ _7"&gt;&lt;/span&gt;is&lt;span class="_ _7"&gt;&lt;/span&gt;clo&lt;span class="_ _7"&gt;&lt;/span&gt;s&lt;span class="_ _7"&gt;&lt;/span&gt;ure&lt;span class="_ _7"&gt;&lt;/span&gt;s th&lt;span class="_ _7"&gt;&lt;/span&gt;is i&lt;span class="_ _7"&gt;&lt;/span&gt;s &lt;/span&gt;&lt;span style="display:inherit;clear:left;"&gt;de&lt;span class="_ _7"&gt;&lt;/span&gt;sc&lt;span class="_ _7"&gt;&lt;/span&gt;ri&lt;span class="_ _7"&gt;&lt;/span&gt;be&lt;span class="_ _7"&gt;&lt;/span&gt;d as p&lt;span class="_ _7"&gt;&lt;/span&gt;ar&lt;span class="_ _7"&gt;&lt;/span&gt;t o&lt;span class="_ _7"&gt;&lt;/span&gt;f the r&lt;span class="_ _7"&gt;&lt;/span&gt;ele&lt;span class="_ _7"&gt;&lt;/span&gt;van&lt;span class="_ _7"&gt;&lt;/span&gt;t no&lt;span class="_ _7"&gt;&lt;/span&gt;te.&lt;/span&gt;&lt;span style="display:inherit;clear:left;"&gt;In order&lt;span class="_ _2"&gt;&lt;/span&gt; to avoid&lt;span class="_ _2"&gt;&lt;/span&gt; duplication of inf&lt;span class="_ _2"&gt;&lt;/span&gt;ormation, cross-references&lt;span class="_ _2"&gt;&lt;/span&gt; &lt;/span&gt;&lt;span style="display:inherit;clear:left;"&gt;have b&lt;span class="_ _7"&gt;&lt;/span&gt;e&lt;span class="_ _7"&gt;&lt;/span&gt;en m&lt;span class="_ _7"&gt;&lt;/span&gt;ade b&lt;span class="_ _7"&gt;&lt;/span&gt;et&lt;span class="_ _7"&gt;&lt;/span&gt;we&lt;span class="_ _7"&gt;&lt;/span&gt;en d&lt;span class="_ _7"&gt;&lt;/span&gt;if&lt;span class="_ _9"&gt;&lt;/span&gt;fer&lt;span class="_ _7"&gt;&lt;/span&gt;ent p&lt;span class="_ _7"&gt;&lt;/span&gt;ar&lt;span class="_ _7"&gt;&lt;/span&gt;t&lt;span class="_ _7"&gt;&lt;/span&gt;s o&lt;span class="_ _7"&gt;&lt;/span&gt;f the a&lt;span class="_ _7"&gt;&lt;/span&gt;nnu&lt;span class="_ _7"&gt;&lt;/span&gt;al r&lt;span class="_ _7"&gt;&lt;/span&gt;ep&lt;span class="_ _7"&gt;&lt;/span&gt;or&lt;span class="_ _7"&gt;&lt;/span&gt;t&lt;span class="_ _7"&gt;&lt;/span&gt;. &lt;/span&gt;&lt;span style="display:inherit;clear:left;"&gt;New accounting policies&lt;/span&gt;&lt;span style="display:inherit;clear:left;"&gt;New account&lt;span class="_ _2"&gt;&lt;/span&gt;ing policies 2&lt;span class="_ _2"&gt;&lt;/span&gt;025&lt;/span&gt;&lt;span style="display:inherit;clear:left;"&gt;IASB h&lt;span class="_ _7"&gt;&lt;/span&gt;as p&lt;span class="_ _7"&gt;&lt;/span&gt;ub&lt;span class="_ _7"&gt;&lt;/span&gt;li&lt;span class="_ _7"&gt;&lt;/span&gt;sh&lt;span class="_ _7"&gt;&lt;/span&gt;ed am&lt;span class="_ _7"&gt;&lt;/span&gt;en&lt;span class="_ _7"&gt;&lt;/span&gt;dm&lt;span class="_ _7"&gt;&lt;/span&gt;ent&lt;span class="_ _7"&gt;&lt;/span&gt;s to s&lt;span class="_ _7"&gt;&lt;/span&gt;t&lt;span class="_ _7"&gt;&lt;/span&gt;and&lt;span class="_ _7"&gt;&lt;/span&gt;ar&lt;span class="_ _7"&gt;&lt;/span&gt;ds t&lt;span class="_ _7"&gt;&lt;/span&gt;hat w&lt;span class="_ _7"&gt;&lt;/span&gt;ere e&lt;span class="_ _7"&gt;&lt;/span&gt;nd&lt;span class="_ _7"&gt;&lt;/span&gt;or&lt;span class="_ _7"&gt;&lt;/span&gt;s&lt;span class="_ _7"&gt;&lt;/span&gt;ed &lt;/span&gt;&lt;span style="display:inherit;clear:left;"&gt;by EU, ef&lt;span class="_ _9"&gt;&lt;/span&gt;fec&lt;span class="_ _7"&gt;&lt;/span&gt;ti&lt;span class="_ _7"&gt;&lt;/span&gt;ve af&lt;span class="_ _9"&gt;&lt;/span&gt;ter 1 Ja&lt;span class="_ _7"&gt;&lt;/span&gt;nu&lt;span class="_ _7"&gt;&lt;/span&gt;ar&lt;span class="_ _7"&gt;&lt;/span&gt;y 2025. T&lt;span class="_ _7"&gt;&lt;/span&gt;he&lt;span class="_ _7"&gt;&lt;/span&gt;se a&lt;span class="_ _7"&gt;&lt;/span&gt;dd&lt;span class="_ _7"&gt;&lt;/span&gt;iti&lt;span class="_ _7"&gt;&lt;/span&gt;on&lt;span class="_ _7"&gt;&lt;/span&gt;s ha&lt;span class="_ _7"&gt;&lt;/span&gt;ve not h&lt;span class="_ _7"&gt;&lt;/span&gt;ad &lt;/span&gt;&lt;span style="display:inherit;clear:left;"&gt;any m&lt;span class="_ _7"&gt;&lt;/span&gt;ater&lt;span class="_ _7"&gt;&lt;/span&gt;ia&lt;span class="_ _7"&gt;&lt;/span&gt;l im&lt;span class="_ _7"&gt;&lt;/span&gt;pac&lt;span class="_ _7"&gt;&lt;/span&gt;t on t&lt;span class="_ _7"&gt;&lt;/span&gt;he f&lt;span class="_ _7"&gt;&lt;/span&gt;in&lt;span class="_ _7"&gt;&lt;/span&gt;an&lt;span class="_ _7"&gt;&lt;/span&gt;cia&lt;span class="_ _7"&gt;&lt;/span&gt;l st&lt;span class="_ _7"&gt;&lt;/span&gt;ate&lt;span class="_ _7"&gt;&lt;/span&gt;me&lt;span class="_ _7"&gt;&lt;/span&gt;nt&lt;span class="_ _7"&gt;&lt;/span&gt;s&lt;span class="_ _7"&gt;&lt;/span&gt;. &lt;/span&gt;&lt;span style="display:inherit;clear:left;"&gt;New ac&lt;span class="_ _7"&gt;&lt;/span&gt;co&lt;span class="_ _7"&gt;&lt;/span&gt;unti&lt;span class="_ _7"&gt;&lt;/span&gt;ng pol&lt;span class="_ _7"&gt;&lt;/span&gt;ici&lt;span class="_ _7"&gt;&lt;/span&gt;es 2026 and l&lt;span class="_ _7"&gt;&lt;/span&gt;ater&lt;/span&gt;&lt;span style="display:inherit;clear:left;"&gt;IASB h&lt;span class="_ _7"&gt;&lt;/span&gt;as p&lt;span class="_ _7"&gt;&lt;/span&gt;ub&lt;span class="_ _7"&gt;&lt;/span&gt;li&lt;span class="_ _7"&gt;&lt;/span&gt;sh&lt;span class="_ _7"&gt;&lt;/span&gt;ed s&lt;span class="_ _7"&gt;&lt;/span&gt;ta&lt;span class="_ _7"&gt;&lt;/span&gt;nd&lt;span class="_ _7"&gt;&lt;/span&gt;ar&lt;span class="_ _7"&gt;&lt;/span&gt;ds an&lt;span class="_ _7"&gt;&lt;/span&gt;d am&lt;span class="_ _7"&gt;&lt;/span&gt;en&lt;span class="_ _7"&gt;&lt;/span&gt;dm&lt;span class="_ _7"&gt;&lt;/span&gt;ent&lt;span class="_ _7"&gt;&lt;/span&gt;s to s&lt;span class="_ _7"&gt;&lt;/span&gt;ta&lt;span class="_ _7"&gt;&lt;/span&gt;nd&lt;span class="_ _7"&gt;&lt;/span&gt;ar&lt;span class="_ _7"&gt;&lt;/span&gt;ds th&lt;span class="_ _7"&gt;&lt;/span&gt;at &lt;/span&gt;&lt;span style="display:inherit;clear:left;"&gt;wer&lt;span class="_ _7"&gt;&lt;/span&gt;e en&lt;span class="_ _7"&gt;&lt;/span&gt;do&lt;span class="_ _7"&gt;&lt;/span&gt;rs&lt;span class="_ _7"&gt;&lt;/span&gt;e&lt;span class="_ _7"&gt;&lt;/span&gt;d by EU, ef&lt;span class="_ _9"&gt;&lt;/span&gt;fec&lt;span class="_ _7"&gt;&lt;/span&gt;ti&lt;span class="_ _7"&gt;&lt;/span&gt;ve af&lt;span class="_ _9"&gt;&lt;/span&gt;ter 1 Ja&lt;span class="_ _7"&gt;&lt;/span&gt;nu&lt;span class="_ _7"&gt;&lt;/span&gt;ar&lt;span class="_ _7"&gt;&lt;/span&gt;y 2026. N&lt;span class="_ _7"&gt;&lt;/span&gt;one o&lt;span class="_ _7"&gt;&lt;/span&gt;f th&lt;span class="_ _7"&gt;&lt;/span&gt;e &lt;/span&gt;&lt;span style="display:inherit;clear:left;"&gt;ame&lt;span class="_ _7"&gt;&lt;/span&gt;nd&lt;span class="_ _7"&gt;&lt;/span&gt;me&lt;span class="_ _7"&gt;&lt;/span&gt;nt&lt;span class="_ _7"&gt;&lt;/span&gt;s are ex&lt;span class="_ _7"&gt;&lt;/span&gt;p&lt;span class="_ _7"&gt;&lt;/span&gt;ec&lt;span class="_ _7"&gt;&lt;/span&gt;ted to h&lt;span class="_ _7"&gt;&lt;/span&gt;ave a m&lt;span class="_ _7"&gt;&lt;/span&gt;ate&lt;span class="_ _7"&gt;&lt;/span&gt;ri&lt;span class="_ _7"&gt;&lt;/span&gt;al e&lt;span class="_ _7"&gt;&lt;/span&gt;f&lt;span class="_ _7"&gt;&lt;/span&gt;fe&lt;span class="_ _7"&gt;&lt;/span&gt;ct o&lt;span class="_ _7"&gt;&lt;/span&gt;n the f&lt;span class="_ _7"&gt;&lt;/span&gt;i&lt;span class="_ _7"&gt;&lt;/span&gt;nan&lt;span class="_ _7"&gt;&lt;/span&gt;ci&lt;span class="_ _7"&gt;&lt;/span&gt;al &lt;/span&gt;&lt;span style="display:inherit;clear:left;"&gt;st&lt;span class="_ _7"&gt;&lt;/span&gt;ate&lt;span class="_ _7"&gt;&lt;/span&gt;me&lt;span class="_ _7"&gt;&lt;/span&gt;nt&lt;span class="_ _7"&gt;&lt;/span&gt;s. T&lt;span class="_ _7"&gt;&lt;/span&gt;he n&lt;span class="_ _7"&gt;&lt;/span&gt;ew s&lt;span class="_ _7"&gt;&lt;/span&gt;ta&lt;span class="_ _7"&gt;&lt;/span&gt;nd&lt;span class="_ _7"&gt;&lt;/span&gt;ar&lt;span class="_ _7"&gt;&lt;/span&gt;d IFRS 18 Pr&lt;span class="_ _7"&gt;&lt;/span&gt;es&lt;span class="_ _7"&gt;&lt;/span&gt;en&lt;span class="_ _7"&gt;&lt;/span&gt;ta&lt;span class="_ _7"&gt;&lt;/span&gt;tio&lt;span class="_ _7"&gt;&lt;/span&gt;n an&lt;span class="_ _7"&gt;&lt;/span&gt;d Di&lt;span class="_ _7"&gt;&lt;/span&gt;sc&lt;span class="_ _7"&gt;&lt;/span&gt;los&lt;span class="_ _7"&gt;&lt;/span&gt;ur&lt;span class="_ _7"&gt;&lt;/span&gt;e &lt;/span&gt;&lt;span style="display:inherit;clear:left;"&gt;in Fi&lt;span class="_ _7"&gt;&lt;/span&gt;na&lt;span class="_ _7"&gt;&lt;/span&gt;nci&lt;span class="_ _7"&gt;&lt;/span&gt;al St&lt;span class="_ _7"&gt;&lt;/span&gt;at&lt;span class="_ _7"&gt;&lt;/span&gt;eme&lt;span class="_ _7"&gt;&lt;/span&gt;nt&lt;span class="_ _7"&gt;&lt;/span&gt;s wa&lt;span class="_ _7"&gt;&lt;/span&gt;s re&lt;span class="_ _7"&gt;&lt;/span&gt;lea&lt;span class="_ _7"&gt;&lt;/span&gt;s&lt;span class="_ _7"&gt;&lt;/span&gt;ed in A&lt;span class="_ _7"&gt;&lt;/span&gt;pr&lt;span class="_ _7"&gt;&lt;/span&gt;il 2024 an&lt;span class="_ _7"&gt;&lt;/span&gt;d ha&lt;span class="_ _7"&gt;&lt;/span&gt;s an ef&lt;span class="_ _9"&gt;&lt;/span&gt;fec-&lt;/span&gt;&lt;span style="display:inherit;clear:left;"&gt;tiv&lt;span class="_ _7"&gt;&lt;/span&gt;e dat&lt;span class="_ _7"&gt;&lt;/span&gt;e 1 Jan&lt;span class="_ _7"&gt;&lt;/span&gt;ua&lt;span class="_ _7"&gt;&lt;/span&gt;r&lt;span class="_ _7"&gt;&lt;/span&gt;y 2027&lt;span class="_ _2"&gt;&lt;/span&gt;. An im&lt;span class="_ _7"&gt;&lt;/span&gt;pa&lt;span class="_ _7"&gt;&lt;/span&gt;ct a&lt;span class="_ _7"&gt;&lt;/span&gt;s&lt;span class="_ _7"&gt;&lt;/span&gt;se&lt;span class="_ _7"&gt;&lt;/span&gt;s&lt;span class="_ _7"&gt;&lt;/span&gt;s&lt;span class="_ _7"&gt;&lt;/span&gt;me&lt;span class="_ _7"&gt;&lt;/span&gt;nt is c&lt;span class="_ _7"&gt;&lt;/span&gt;ur&lt;span class="_ _7"&gt;&lt;/span&gt;ren&lt;span class="_ _7"&gt;&lt;/span&gt;tly b&lt;span class="_ _7"&gt;&lt;/span&gt;ein&lt;span class="_ _7"&gt;&lt;/span&gt;g &lt;/span&gt;&lt;span style="display:inherit;clear:left;"&gt;pe&lt;span class="_ _7"&gt;&lt;/span&gt;r&lt;span class="_ _7"&gt;&lt;/span&gt;fo&lt;span class="_ _7"&gt;&lt;/span&gt;rm&lt;span class="_ _7"&gt;&lt;/span&gt;ed a&lt;span class="_ _7"&gt;&lt;/span&gt;s to ho&lt;span class="_ _7"&gt;&lt;/span&gt;w thi&lt;span class="_ _7"&gt;&lt;/span&gt;s new s&lt;span class="_ _7"&gt;&lt;/span&gt;t&lt;span class="_ _7"&gt;&lt;/span&gt;an&lt;span class="_ _7"&gt;&lt;/span&gt;dar&lt;span class="_ _7"&gt;&lt;/span&gt;d wi&lt;span class="_ _7"&gt;&lt;/span&gt;ll im&lt;span class="_ _7"&gt;&lt;/span&gt;pa&lt;span class="_ _7"&gt;&lt;/span&gt;ct t&lt;span class="_ _7"&gt;&lt;/span&gt;he f&lt;span class="_ _7"&gt;&lt;/span&gt;in&lt;span class="_ _7"&gt;&lt;/span&gt;anc&lt;span class="_ _7"&gt;&lt;/span&gt;ial &lt;/span&gt;&lt;span style="display:inherit;clear:left;"&gt;statem&lt;span class="_ _7"&gt;&lt;/span&gt;ents&lt;span class="_ _7"&gt;&lt;/span&gt;.&lt;/span&gt;</t>
  </si>
  <si>
    <t>f1__s8__6__187-1</t>
  </si>
  <si>
    <t>ifrs-full:DisclosureOfDerivativeFinancialInstrumentsExplanatory</t>
  </si>
  <si>
    <t>&lt;span style="display:inherit;clear:left;position:relative;height:650.314453125px;"&gt;&lt;span class="pp-font-color-override-1" style="position: absolute; display: inline-block; left: 0px; top: 0.0078125px; width: 375.182px; white-space: pre; word-spacing: 0px; letter-spacing: 0px; margin-left: 0px; font-size: 10.95px; font-family: ff93; -webkit-text-stroke: 0.16425px rgba(0, 0, 0, 0);"&gt;&lt;span style="display: inline-block;"&gt;Th&lt;/span&gt;&lt;span style="word-spacing: 0px; letter-spacing: 0px; display: inline-block; margin-left: 0px; width: 0.410156px; font-size: 10.95px; font-family: ff93; -webkit-text-stroke: 0.16425px rgba(0, 0, 0, 0);"&gt;&lt;/span&gt;&lt;span style="display: inline-block;"&gt;e tab&lt;/span&gt;&lt;span style="word-spacing: 0px; letter-spacing: 0px; display: inline-block; margin-left: 0px; width: 0.410156px; font-size: 10.95px; font-family: ff93; -webkit-text-stroke: 0.16425px rgba(0, 0, 0, 0);"&gt;&lt;/span&gt;&lt;span style="display: inline-block;"&gt;le b&lt;/span&gt;&lt;span style="word-spacing: 0px; letter-spacing: 0px; display: inline-block; margin-left: 0px; width: 0.410156px; font-size: 10.95px; font-family: ff93; -webkit-text-stroke: 0.16425px rgba(0, 0, 0, 0);"&gt;&lt;/span&gt;&lt;span style="display: inline-block;"&gt;el&lt;/span&gt;&lt;span style="word-spacing: 0px; letter-spacing: 0px; display: inline-block; margin-left: 0px; width: 0.410156px; font-size: 10.95px; font-family: ff93; -webkit-text-stroke: 0.16425px rgba(0, 0, 0, 0);"&gt;&lt;/span&gt;&lt;span style="display: inline-block;"&gt;ow pr&lt;/span&gt;&lt;span style="word-spacing: 0px; letter-spacing: 0px; display: inline-block; margin-left: 0px; width: 0.410156px; font-size: 10.95px; font-family: ff93; -webkit-text-stroke: 0.16425px rgba(0, 0, 0, 0);"&gt;&lt;/span&gt;&lt;span style="display: inline-block;"&gt;es&lt;/span&gt;&lt;span style="word-spacing: 0px; letter-spacing: 0px; display: inline-block; margin-left: 0px; width: 0.410156px; font-size: 10.95px; font-family: ff93; -webkit-text-stroke: 0.16425px rgba(0, 0, 0, 0);"&gt;&lt;/span&gt;&lt;span style="display: inline-block;"&gt;en&lt;/span&gt;&lt;span style="word-spacing: 0px; letter-spacing: 0px; display: inline-block; margin-left: 0px; width: 0.410156px; font-size: 10.95px; font-family: ff93; -webkit-text-stroke: 0.16425px rgba(0, 0, 0, 0);"&gt;&lt;/span&gt;&lt;span style="display: inline-block;"&gt;ts f&lt;/span&gt;&lt;span style="word-spacing: 0px; letter-spacing: 0px; display: inline-block; margin-left: 0px; width: 0.410156px; font-size: 10.95px; font-family: ff93; -webkit-text-stroke: 0.16425px rgba(0, 0, 0, 0);"&gt;&lt;/span&gt;&lt;span style="display: inline-block;"&gt;in&lt;/span&gt;&lt;span style="word-spacing: 0px; letter-spacing: 0px; display: inline-block; margin-left: 0px; width: 0.410156px; font-size: 10.95px; font-family: ff93; -webkit-text-stroke: 0.16425px rgba(0, 0, 0, 0);"&gt;&lt;/span&gt;&lt;span style="display: inline-block;"&gt;an&lt;/span&gt;&lt;span style="word-spacing: 0px; letter-spacing: 0px; display: inline-block; margin-left: 0px; width: 0.410156px; font-size: 10.95px; font-family: ff93; -webkit-text-stroke: 0.16425px rgba(0, 0, 0, 0);"&gt;&lt;/span&gt;&lt;span style="display: inline-block;"&gt;cia&lt;/span&gt;&lt;span style="word-spacing: 0px; letter-spacing: 0px; display: inline-block; margin-left: 0px; width: 0.410156px; font-size: 10.95px; font-family: ff93; -webkit-text-stroke: 0.16425px rgba(0, 0, 0, 0);"&gt;&lt;/span&gt;&lt;span style="display: inline-block;"&gt;l in&lt;/span&gt;&lt;span style="word-spacing: 0px; letter-spacing: 0px; display: inline-block; margin-left: 0px; width: 0.410156px; font-size: 10.95px; font-family: ff93; -webkit-text-stroke: 0.16425px rgba(0, 0, 0, 0);"&gt;&lt;/span&gt;&lt;span style="display: inline-block;"&gt;st&lt;/span&gt;&lt;span style="word-spacing: 0px; letter-spacing: 0px; display: inline-block; margin-left: 0px; width: 0.410156px; font-size: 10.95px; font-family: ff93; -webkit-text-stroke: 0.16425px rgba(0, 0, 0, 0);"&gt;&lt;/span&gt;&lt;span style="display: inline-block;"&gt;ru&lt;/span&gt;&lt;span style="word-spacing: 0px; letter-spacing: 0px; display: inline-block; margin-left: 0px; width: 0.410156px; font-size: 10.95px; font-family: ff93; -webkit-text-stroke: 0.16425px rgba(0, 0, 0, 0);"&gt;&lt;/span&gt;&lt;span style="display: inline-block;"&gt;me&lt;/span&gt;&lt;span style="word-spacing: 0px; letter-spacing: 0px; display: inline-block; margin-left: 0px; width: 0.410156px; font-size: 10.95px; font-family: ff93; -webkit-text-stroke: 0.16425px rgba(0, 0, 0, 0);"&gt;&lt;/span&gt;&lt;span style="display: inline-block;"&gt;nt&lt;/span&gt;&lt;span style="word-spacing: 0px; letter-spacing: 0px; display: inline-block; margin-left: 0px; width: 0.410156px; font-size: 10.95px; font-family: ff93; -webkit-text-stroke: 0.16425px rgba(0, 0, 0, 0);"&gt;&lt;/span&gt;&lt;span style="display: inline-block;"&gt;s by ca&lt;/span&gt;&lt;span style="word-spacing: 0px; letter-spacing: 0px; display: inline-block; margin-left: 0px; width: 0.410156px; font-size: 10.95px; font-family: ff93; -webkit-text-stroke: 0.16425px rgba(0, 0, 0, 0);"&gt;&lt;/span&gt;&lt;span style="display: inline-block;"&gt;teg&lt;/span&gt;&lt;span style="word-spacing: 0px; letter-spacing: 0px; display: inline-block; margin-left: 0px; width: 0.410156px; font-size: 10.95px; font-family: ff93; -webkit-text-stroke: 0.16425px rgba(0, 0, 0, 0);"&gt;&lt;/span&gt;&lt;span style="display: inline-block;"&gt;or&lt;/span&gt;&lt;span style="word-spacing: 0px; letter-spacing: 0px; display: inline-block; margin-left: 0px; width: 0.410156px; font-size: 10.95px; font-family: ff93; -webkit-text-stroke: 0.16425px rgba(0, 0, 0, 0);"&gt;&lt;/span&gt;&lt;span style="display: inline-block;"&gt;y a&lt;/span&gt;&lt;span style="word-spacing: 0px; letter-spacing: 0px; display: inline-block; margin-left: 0px; width: 0.410156px; font-size: 10.95px; font-family: ff93; -webkit-text-stroke: 0.16425px rgba(0, 0, 0, 0);"&gt;&lt;/span&gt;&lt;span style="display: inline-block;"&gt;nd m&lt;/span&gt;&lt;span style="word-spacing: 0px; letter-spacing: 0px; display: inline-block; margin-left: 0px; width: 0.410156px; font-size: 10.95px; font-family: ff93; -webkit-text-stroke: 0.16425px rgba(0, 0, 0, 0);"&gt;&lt;/span&gt;&lt;span style="display: inline-block;"&gt;ea&lt;/span&gt;&lt;span style="word-spacing: 0px; letter-spacing: 0px; display: inline-block; margin-left: 0px; width: 0.410156px; font-size: 10.95px; font-family: ff93; -webkit-text-stroke: 0.16425px rgba(0, 0, 0, 0);"&gt;&lt;/span&gt;&lt;span style="display: inline-block;"&gt;sur&lt;/span&gt;&lt;span style="word-spacing: 0px; letter-spacing: 0px; display: inline-block; margin-left: 0px; width: 0.410156px; font-size: 10.95px; font-family: ff93; -webkit-text-stroke: 0.16425px rgba(0, 0, 0, 0);"&gt;&lt;/span&gt;&lt;span style="display: inline-block;"&gt;em&lt;/span&gt;&lt;span style="word-spacing: 0px; letter-spacing: 0px; display: inline-block; margin-left: 0px; width: 0.410156px; font-size: 10.95px; font-family: ff93; -webkit-text-stroke: 0.16425px rgba(0, 0, 0, 0);"&gt;&lt;/span&gt;&lt;span style="display: inline-block;"&gt;en&lt;/span&gt;&lt;span style="word-spacing: 0px; letter-spacing: 0px; display: inline-block; margin-left: 0px; width: 0.410156px; font-size: 10.95px; font-family: ff93; -webkit-text-stroke: 0.16425px rgba(0, 0, 0, 0);"&gt;&lt;/span&gt;&lt;span style="display: inline-block;"&gt;t leve&lt;/span&gt;&lt;span style="word-spacing: 0px; letter-spacing: 0px; display: inline-block; margin-left: 0px; width: 0.410156px; font-size: 10.95px; font-family: ff93; -webkit-text-stroke: 0.16425px rgba(0, 0, 0, 0);"&gt;&lt;/span&gt;&lt;span style="display: inline-block;"&gt;l.&lt;/span&gt;&lt;/span&gt;&lt;span class="pp-font-color-override-1" style="position: absolute; display: inline-block; left: 517.359px; top: 18.6133px; width: 178.248px; white-space: pre; word-spacing: 0px; letter-spacing: 0px; margin-left: 0px; font-size: 9.6px; font-family: ff94; -webkit-text-stroke: 0.144px rgba(0, 0, 0, 0);"&gt;&lt;span style="display: inline-block;"&gt;31 De&lt;/span&gt;&lt;span style="word-spacing: 0px; letter-spacing: 0px; display: inline-block; margin-left: 0px; width: 0.410156px; font-size: 9.6px; font-family: ff94; -webkit-text-stroke: 0.144px rgba(0, 0, 0, 0);"&gt;&lt;/span&gt;&lt;span style="display: inline-block;"&gt;c 2025&lt;/span&gt;&lt;span style="word-spacing: 0px; letter-spacing: 0px; display: inline-block; margin-left: 0px; width: 79.3301px; font-size: 9.6px; font-family: ff94; -webkit-text-stroke: 0.144px rgba(0, 0, 0, 0);"&gt;&lt;span style="display: inline-block;"&gt; &lt;/span&gt;&lt;/span&gt;&lt;span class="pp-font-color-override-1" style="word-spacing: 0px; letter-spacing: 0px; display: inline-block; margin-left: 0px; font-size: 9.6px; font-family: ff93; -webkit-text-stroke: 0.144px rgba(0, 0, 0, 0);"&gt;&lt;span style="display: inline-block;"&gt;31 D&lt;/span&gt;&lt;span style="word-spacing: 0px; letter-spacing: 0px; display: inline-block; margin-left: 0px; width: 0.410156px; font-size: 9.6px; font-family: ff93; -webkit-text-stroke: 0.144px rgba(0, 0, 0, 0);"&gt;&lt;/span&gt;&lt;span style="display: inline-block;"&gt;ec 2024&lt;/span&gt;&lt;/span&gt;&lt;/span&gt;&lt;span class="pp-font-color-override-1" style="position: absolute; display: inline-block; left: 428.188px; top: 33.9414px; width: 37.5234px; white-space: pre; word-spacing: -0.1824px; letter-spacing: 0.1824px; margin-left: 0px; font-size: 9.6px; font-family: ff93; -webkit-text-stroke: 0.144px rgba(0, 0, 0, 0);"&gt;&lt;span style="display: inline-block;"&gt;Measure&lt;/span&gt;&lt;span class="pp-font-color-override-1" style="word-spacing: 0px; letter-spacing: 0px; display: inline-block; margin-left: 0px; font-size: 9.6px; font-family: ff93; -webkit-text-stroke: 0.144px rgba(0, 0, 0, 0);"&gt;&lt;span style="display: inline-block;"&gt;-&lt;/span&gt;&lt;/span&gt;&lt;/span&gt;&lt;span class="pp-font-color-override-1" style="position: absolute; display: inline-block; left: 501.891px; top: 33.9414px; width: 38.3145px; white-space: pre; word-spacing: -0.1728px; letter-spacing: 0.1728px; margin-left: 0px; font-size: 9.6px; font-family: ff93; -webkit-text-stroke: 0.144px rgba(0, 0, 0, 0);"&gt;&lt;span style="display: inline-block;"&gt;Carr&lt;/span&gt;&lt;span style="word-spacing: -0.1728px; letter-spacing: 0.1728px; display: inline-block; margin-left: 0px; width: 0.410156px; font-size: 9.6px; font-family: ff93; -webkit-text-stroke: 0.144px rgba(0, 0, 0, 0);"&gt;&lt;/span&gt;&lt;span style="display: inline-block;"&gt;ying &lt;/span&gt;&lt;/span&gt;&lt;span class="pp-font-color-override-1" style="position: absolute; display: inline-block; left: 637.5px; top: 33.9414px; width: 38.3145px; white-space: pre; word-spacing: -0.1728px; letter-spacing: 0.1728px; margin-left: 0px; font-size: 9.6px; font-family: ff93; -webkit-text-stroke: 0.144px rgba(0, 0, 0, 0);"&gt;&lt;span style="display: inline-block;"&gt;Carr&lt;/span&gt;&lt;span style="word-spacing: -0.1728px; letter-spacing: 0.1728px; display: inline-block; margin-left: 0px; width: 0.410156px; font-size: 9.6px; font-family: ff93; -webkit-text-stroke: 0.144px rgba(0, 0, 0, 0);"&gt;&lt;/span&gt;&lt;span style="display: inline-block;"&gt;ying &lt;/span&gt;&lt;/span&gt;&lt;span class="pp-font-color-override-1" style="position: absolute; display: inline-block; left: 382.547px; top: 44.4414px; width: 21.4688px; white-space: pre; word-spacing: 0px; letter-spacing: 0px; margin-left: 0px; font-size: 9.6px; font-family: ff93; -webkit-text-stroke: 0.144px rgba(0, 0, 0, 0);"&gt;&lt;span style="display: inline-block;"&gt;Not&lt;/span&gt;&lt;span style="word-spacing: 0px; letter-spacing: 0px; display: inline-block; margin-left: 0px; width: 0.410156px; font-size: 9.6px; font-family: ff93; -webkit-text-stroke: 0.144px rgba(0, 0, 0, 0);"&gt;&lt;/span&gt;&lt;span style="display: inline-block;"&gt;e &lt;/span&gt;&lt;/span&gt;&lt;span class="pp-font-color-override-1" style="position: absolute; display: inline-block; left: 425.734px; top: 44.4414px; width: 41.0742px; white-space: pre; word-spacing: 0px; letter-spacing: 0px; margin-left: 0px; font-size: 9.6px; font-family: ff93; -webkit-text-stroke: 0.144px rgba(0, 0, 0, 0);"&gt;&lt;span style="display: inline-block;"&gt;me&lt;/span&gt;&lt;span style="word-spacing: 0px; letter-spacing: 0px; display: inline-block; margin-left: 0px; width: 0.410156px; font-size: 9.6px; font-family: ff93; -webkit-text-stroke: 0.144px rgba(0, 0, 0, 0);"&gt;&lt;/span&gt;&lt;span style="display: inline-block;"&gt;nt le&lt;/span&gt;&lt;span style="word-spacing: 0px; letter-spacing: 0px; display: inline-block; margin-left: 0px; width: 0.410156px; font-size: 9.6px; font-family: ff93; -webkit-text-stroke: 0.144px rgba(0, 0, 0, 0);"&gt;&lt;/span&gt;&lt;span style="display: inline-block;"&gt;vel&lt;/span&gt;&lt;/span&gt;&lt;span class="pp-font-color-override-1" style="position: absolute; display: inline-block; left: 517.359px; top: 44.4414px; width: 85.8164px; white-space: pre; word-spacing: -0.1056px; letter-spacing: 0.1056px; margin-left: 0px; font-size: 9.6px; font-family: ff93; -webkit-text-stroke: 0.144px rgba(0, 0, 0, 0);"&gt;&lt;span style="display: inline-block;"&gt;value&lt;/span&gt;&lt;span style="word-spacing: -0.1056px; letter-spacing: 0.1056px; display: inline-block; margin-left: 0px; width: 24.2988px; font-size: 9.6px; font-family: ff93; -webkit-text-stroke: 0.144px rgba(0, 0, 0, 0);"&gt;&lt;span style="display: inline-block;"&gt; &lt;/span&gt;&lt;/span&gt;&lt;span class="pp-font-color-override-1" style="word-spacing: -0.1728px; letter-spacing: 0.1728px; display: inline-block; margin-left: 0px; font-size: 9.6px; font-family: ff93; -webkit-text-stroke: 0.144px rgba(0, 0, 0, 0);"&gt;&lt;span style="display: inline-block;"&gt;Fair value&lt;/span&gt;&lt;/span&gt;&lt;/span&gt;&lt;span class="pp-font-color-override-1" style="position: absolute; display: inline-block; left: 653.5px; top: 44.4414px; width: 85.8164px; white-space: pre; word-spacing: -0.1056px; letter-spacing: 0.1056px; margin-left: 0px; font-size: 9.6px; font-family: ff93; -webkit-text-stroke: 0.144px rgba(0, 0, 0, 0);"&gt;&lt;span style="display: inline-block;"&gt;value&lt;/span&gt;&lt;span style="word-spacing: -0.1056px; letter-spacing: 0.1056px; display: inline-block; margin-left: 0px; width: 24.2988px; font-size: 9.6px; font-family: ff93; -webkit-text-stroke: 0.144px rgba(0, 0, 0, 0);"&gt;&lt;span style="display: inline-block;"&gt; &lt;/span&gt;&lt;/span&gt;&lt;span class="pp-font-color-override-1" style="word-spacing: -0.1728px; letter-spacing: 0.1728px; display: inline-block; margin-left: 0px; font-size: 9.6px; font-family: ff93; -webkit-text-stroke: 0.144px rgba(0, 0, 0, 0);"&gt;&lt;span style="display: inline-block;"&gt;Fair value&lt;/span&gt;&lt;/span&gt;&lt;/span&gt;&lt;span class="pp-font-color-override-1" style="position: absolute; display: inline-block; left: 3.96875px; top: 70.8672px; width: 179.678px; white-space: pre; word-spacing: 0px; letter-spacing: 0.0315px; margin-left: 0px; font-size: 10.5px; font-family: ff94; -webkit-text-stroke: 0.1575px rgba(0, 0, 0, 0);"&gt;&lt;span style="display: inline-block;"&gt;Fin&lt;/span&gt;&lt;span style="word-spacing: 0px; letter-spacing: 0.0315px; display: inline-block; margin-left: 0px; width: 0.410156px; font-size: 10.5px; font-family: ff94; -webkit-text-stroke: 0.1575px rgba(0, 0, 0, 0);"&gt;&lt;/span&gt;&lt;span style="display: inline-block;"&gt;an&lt;/span&gt;&lt;span style="word-spacing: 0px; letter-spacing: 0.0315px; display: inline-block; margin-left: 0px; width: 0.410156px; font-size: 10.5px; font-family: ff94; -webkit-text-stroke: 0.1575px rgba(0, 0, 0, 0);"&gt;&lt;/span&gt;&lt;span style="display: inline-block;"&gt;ci&lt;/span&gt;&lt;span style="word-spacing: 0px; letter-spacing: 0.0315px; display: inline-block; margin-left: 0px; width: 0.410156px; font-size: 10.5px; font-family: ff94; -webkit-text-stroke: 0.1575px rgba(0, 0, 0, 0);"&gt;&lt;/span&gt;&lt;span style="display: inline-block;"&gt;al a&lt;/span&gt;&lt;span style="word-spacing: 0px; letter-spacing: 0.0315px; display: inline-block; margin-left: 0px; width: 0.410156px; font-size: 10.5px; font-family: ff94; -webkit-text-stroke: 0.1575px rgba(0, 0, 0, 0);"&gt;&lt;/span&gt;&lt;span style="display: inline-block;"&gt;s&lt;/span&gt;&lt;span style="word-spacing: 0px; letter-spacing: 0.0315px; display: inline-block; margin-left: 0px; width: 0.410156px; font-size: 10.5px; font-family: ff94; -webkit-text-stroke: 0.1575px rgba(0, 0, 0, 0);"&gt;&lt;/span&gt;&lt;span style="display: inline-block;"&gt;se&lt;/span&gt;&lt;span style="word-spacing: 0px; letter-spacing: 0.0315px; display: inline-block; margin-left: 0px; width: 0.410156px; font-size: 10.5px; font-family: ff94; -webkit-text-stroke: 0.1575px rgba(0, 0, 0, 0);"&gt;&lt;/span&gt;&lt;span style="display: inline-block;"&gt;ts c&lt;/span&gt;&lt;span style="word-spacing: 0px; letter-spacing: 0.0315px; display: inline-block; margin-left: 0px; width: 0.410156px; font-size: 10.5px; font-family: ff94; -webkit-text-stroke: 0.1575px rgba(0, 0, 0, 0);"&gt;&lt;/span&gt;&lt;span style="display: inline-block;"&gt;ar&lt;/span&gt;&lt;span style="word-spacing: 0px; letter-spacing: 0.0315px; display: inline-block; margin-left: 0px; width: 0.410156px; font-size: 10.5px; font-family: ff94; -webkit-text-stroke: 0.1575px rgba(0, 0, 0, 0);"&gt;&lt;/span&gt;&lt;span style="display: inline-block;"&gt;ri&lt;/span&gt;&lt;span style="word-spacing: 0px; letter-spacing: 0.0315px; display: inline-block; margin-left: 0px; width: 0.410156px; font-size: 10.5px; font-family: ff94; -webkit-text-stroke: 0.1575px rgba(0, 0, 0, 0);"&gt;&lt;/span&gt;&lt;span style="display: inline-block;"&gt;ed a&lt;/span&gt;&lt;span style="word-spacing: 0px; letter-spacing: 0.0315px; display: inline-block; margin-left: 0px; width: 0.410156px; font-size: 10.5px; font-family: ff94; -webkit-text-stroke: 0.1575px rgba(0, 0, 0, 0);"&gt;&lt;/span&gt;&lt;span style="display: inline-block;"&gt;t am&lt;/span&gt;&lt;span style="word-spacing: 0px; letter-spacing: 0.0315px; display: inline-block; margin-left: 0px; width: 0.410156px; font-size: 10.5px; font-family: ff94; -webkit-text-stroke: 0.1575px rgba(0, 0, 0, 0);"&gt;&lt;/span&gt;&lt;span style="display: inline-block;"&gt;or&lt;/span&gt;&lt;span style="word-spacing: 0px; letter-spacing: 0.0315px; display: inline-block; margin-left: 0px; width: 0.410156px; font-size: 10.5px; font-family: ff94; -webkit-text-stroke: 0.1575px rgba(0, 0, 0, 0);"&gt;&lt;/span&gt;&lt;span style="display: inline-block;"&gt;ti&lt;/span&gt;&lt;span style="word-spacing: 0px; letter-spacing: 0.0315px; display: inline-block; margin-left: 0px; width: 0.410156px; font-size: 10.5px; font-family: ff94; -webkit-text-stroke: 0.1575px rgba(0, 0, 0, 0);"&gt;&lt;/span&gt;&lt;span style="display: inline-block;"&gt;s&lt;/span&gt;&lt;span style="word-spacing: 0px; letter-spacing: 0.0315px; display: inline-block; margin-left: 0px; width: 0.410156px; font-size: 10.5px; font-family: ff94; -webkit-text-stroke: 0.1575px rgba(0, 0, 0, 0);"&gt;&lt;/span&gt;&lt;span style="display: inline-block;"&gt;ed c&lt;/span&gt;&lt;span style="word-spacing: 0px; letter-spacing: 0.0315px; display: inline-block; margin-left: 0px; width: 0.410156px; font-size: 10.5px; font-family: ff94; -webkit-text-stroke: 0.1575px rgba(0, 0, 0, 0);"&gt;&lt;/span&gt;&lt;span style="display: inline-block;"&gt;os&lt;/span&gt;&lt;span style="word-spacing: 0px; letter-spacing: 0.0315px; display: inline-block; margin-left: 0px; width: 0.410156px; font-size: 10.5px; font-family: ff94; -webkit-text-stroke: 0.1575px rgba(0, 0, 0, 0);"&gt;&lt;/span&gt;&lt;span style="display: inline-block;"&gt;t&lt;/span&gt;&lt;/span&gt;&lt;span class="pp-font-color-override-1" style="position: absolute; display: inline-block; left: 3.96875px; top: 87.0879px; width: 377.531px; white-space: pre; word-spacing: -0.1995px; letter-spacing: 0.231px; margin-left: 0px; font-size: 10.5px; font-family: ff95; -webkit-text-stroke: 0.1575px rgba(0, 0, 0, 0);"&gt;&lt;span style="display: inline-block;"&gt;Accounts&lt;/span&gt;&lt;span style="word-spacing: -0.1995px; letter-spacing: 0.231px; display: inline-block; margin-left: -0.684px; width: 0px; font-size: 10.5px; font-family: ff95; -webkit-text-stroke: 0.1575px rgba(0, 0, 0, 0);"&gt;&lt;/span&gt;&lt;span style="display: inline-block;"&gt; receivable&lt;/span&gt;&lt;span style="word-spacing: -0.1995px; letter-spacing: 0.231px; display: inline-block; margin-left: 0px; width: 288.603px; font-size: 10.5px; font-family: ff95; -webkit-text-stroke: 0.1575px rgba(0, 0, 0, 0);"&gt;&lt;span style="display: inline-block;"&gt; &lt;/span&gt;&lt;/span&gt;&lt;/span&gt;&lt;span class="pp-font-color-override-1" style="position: absolute; display: inline-block; left: 381.5px; top: 87.0879px; width: 68.2383px; white-space: pre; word-spacing: 0.021px; letter-spacing: -0.021px; margin-left: 0px; font-size: 10.5px; font-family: ff95; -webkit-text-stroke: 0.1575px rgba(0, 0, 0, 0);"&gt;&lt;span style="display: inline-block;"&gt;18&lt;/span&gt;&lt;span style="word-spacing: 0.021px; letter-spacing: -0.021px; display: inline-block; margin-left: 0px; width: 57.7792px; font-size: 10.5px; font-family: ff95; -webkit-text-stroke: 0.1575px rgba(0, 0, 0, 0);"&gt;&lt;span style="display: inline-block;"&gt;&lt;span style="width: 2.625px; display: inline-block;"&gt; &lt;/span&gt;&lt;/span&gt;&lt;/span&gt;&lt;/span&gt;&lt;span class="pp-font-color-override-1" style="position: absolute; display: inline-block; left: 449.738px; top: 87.0879px; width: 48.1641px; white-space: pre; word-spacing: 0px; letter-spacing: 0px; margin-left: 0px; font-size: 10.5px; font-family: ff95; -webkit-text-stroke: 0.1575px rgba(0, 0, 0, 0);"&gt;&lt;span style="display: inline-block;"&gt;—&lt;/span&gt;&lt;span style="word-spacing: 0px; letter-spacing: 0px; display: inline-block; margin-left: 0px; width: 37.6643px; font-size: 10.5px; font-family: ff95; -webkit-text-stroke: 0.1575px rgba(0, 0, 0, 0);"&gt;&lt;span style="display: inline-block;"&gt; &lt;/span&gt;&lt;/span&gt;&lt;/span&gt;&lt;span class="pp-font-color-override-1" style="position: absolute; display: inline-block; left: 497.902px; top: 87.0879px; width: 219.709px; white-space: pre; word-spacing: 0.3465px; letter-spacing: -0.3465px; margin-left: 0px; font-size: 10.5px; font-family: ff95; -webkit-text-stroke: 0.1575px rgba(0, 0, 0, 0);"&gt;&lt;span style="display: inline-block;"&gt;2&lt;/span&gt;&lt;span style="word-spacing: 0.3465px; letter-spacing: -0.3465px; display: inline-block; margin-left: 0px; width: 0.410156px; font-size: 10.5px; font-family: ff95; -webkit-text-stroke: 0.1575px rgba(0, 0, 0, 0);"&gt;&lt;/span&gt;&lt;span style="display: inline-block;"&gt;1&lt;/span&gt;&lt;span style="word-spacing: 0.3465px; letter-spacing: -0.3465px; display: inline-block; margin-left: 0px; width: 0.410156px; font-size: 10.5px; font-family: ff95; -webkit-text-stroke: 0.1575px rgba(0, 0, 0, 0);"&gt;&lt;/span&gt;&lt;span style="display: inline-block;"&gt;,&lt;/span&gt;&lt;span style="word-spacing: 0.3465px; letter-spacing: -0.3465px; display: inline-block; margin-left: 0px; width: 0.925781px; font-size: 10.5px; font-family: ff95; -webkit-text-stroke: 0.1575px rgba(0, 0, 0, 0);"&gt;&lt;/span&gt;&lt;span style="display: inline-block;"&gt;241&lt;/span&gt;&lt;span style="word-spacing: 0.3465px; letter-spacing: -0.3465px; display: inline-block; margin-left: 0px; width: 38.1855px; font-size: 10.5px; font-family: ff95; -webkit-text-stroke: 0.1575px rgba(0, 0, 0, 0);"&gt;&lt;span style="display: inline-block;"&gt;&lt;span style="width: 2.625px; display: inline-block;"&gt; &lt;/span&gt;&lt;/span&gt;&lt;/span&gt;&lt;span style="display: inline-block;"&gt;21&lt;/span&gt;&lt;span style="word-spacing: 0.3465px; letter-spacing: -0.3465px; display: inline-block; margin-left: 0px; width: 0.925781px; font-size: 10.5px; font-family: ff95; -webkit-text-stroke: 0.1575px rgba(0, 0, 0, 0);"&gt;&lt;/span&gt;&lt;span style="display: inline-block;"&gt;,&lt;/span&gt;&lt;span style="word-spacing: 0.3465px; letter-spacing: -0.3465px; display: inline-block; margin-left: 0px; width: 0.410156px; font-size: 10.5px; font-family: ff95; -webkit-text-stroke: 0.1575px rgba(0, 0, 0, 0);"&gt;&lt;/span&gt;&lt;span style="display: inline-block;"&gt;241&lt;/span&gt;&lt;span style="word-spacing: 0.3465px; letter-spacing: -0.3465px; display: inline-block; margin-left: 0px; width: 33.5273px; font-size: 10.5px; font-family: ff95;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ff95; -webkit-text-stroke: 0.1575px rgba(0, 0, 0, 0);"&gt;&lt;span style="display: inline-block;"&gt;2&lt;/span&gt;&lt;span style="word-spacing: 0.273px; letter-spacing: -0.273px; display: inline-block; margin-left: 0px; width: 0.410156px; font-size: 10.5px; font-family: ff95; -webkit-text-stroke: 0.1575px rgba(0, 0, 0, 0);"&gt;&lt;/span&gt;&lt;span style="display: inline-block;"&gt;2&lt;/span&gt;&lt;span style="word-spacing: 0.273px; letter-spacing: -0.273px; display: inline-block; margin-left: 0px; width: 0.410156px; font-size: 10.5px; font-family: ff95; -webkit-text-stroke: 0.1575px rgba(0, 0, 0, 0);"&gt;&lt;/span&gt;&lt;span style="display: inline-block;"&gt;,7&lt;/span&gt;&lt;span style="word-spacing: 0.273px; letter-spacing: -0.273px; display: inline-block; margin-left: 0px; width: 0.410156px; font-size: 10.5px; font-family: ff95; -webkit-text-stroke: 0.1575px rgba(0, 0, 0, 0);"&gt;&lt;/span&gt;&lt;span style="display: inline-block;"&gt;8&lt;/span&gt;&lt;span style="word-spacing: 0.273px; letter-spacing: -0.273px; display: inline-block; margin-left: 0px; width: 0.410156px; font-size: 10.5px; font-family: ff95; -webkit-text-stroke: 0.1575px rgba(0, 0, 0, 0);"&gt;&lt;/span&gt;&lt;span style="display: inline-block;"&gt;0&lt;/span&gt;&lt;span style="word-spacing: 0.273px; letter-spacing: -0.273px; display: inline-block; margin-left: 0px; width: 33.5273px; font-size: 10.5px; font-family: ff95; -webkit-text-stroke: 0.1575px rgba(0, 0, 0, 0);"&gt;&lt;span style="display: inline-block;"&gt;&lt;span style="width: 2.625px; display: inline-block;"&gt; &lt;/span&gt;&lt;/span&gt;&lt;/span&gt;&lt;span style="display: inline-block;"&gt;2&lt;/span&gt;&lt;span style="word-spacing: 0.273px; letter-spacing: -0.273px; display: inline-block; margin-left: 0px; width: 0.410156px; font-size: 10.5px; font-family: ff95; -webkit-text-stroke: 0.1575px rgba(0, 0, 0, 0);"&gt;&lt;/span&gt;&lt;span style="display: inline-block;"&gt;2&lt;/span&gt;&lt;span style="word-spacing: 0.273px; letter-spacing: -0.273px; display: inline-block; margin-left: 0px; width: 0.410156px; font-size: 10.5px; font-family: ff95; -webkit-text-stroke: 0.1575px rgba(0, 0, 0, 0);"&gt;&lt;/span&gt;&lt;span style="display: inline-block;"&gt;,7&lt;/span&gt;&lt;span style="word-spacing: 0.273px; letter-spacing: -0.273px; display: inline-block; margin-left: 0px; width: 0.410156px; font-size: 10.5px; font-family: ff95; -webkit-text-stroke: 0.1575px rgba(0, 0, 0, 0);"&gt;&lt;/span&gt;&lt;span style="display: inline-block;"&gt;8&lt;/span&gt;&lt;span style="word-spacing: 0.273px; letter-spacing: -0.273px; display: inline-block; margin-left: 0px; width: 0.410156px; font-size: 10.5px; font-family: ff95; -webkit-text-stroke: 0.1575px rgba(0, 0, 0, 0);"&gt;&lt;/span&gt;&lt;span style="display: inline-block;"&gt;0&lt;/span&gt;&lt;/span&gt;&lt;/span&gt;&lt;span class="pp-font-color-override-1" style="position: absolute; display: inline-block; left: 260.172px; top: 102.887px; width: 5.10938px; white-space: pre; word-spacing: -0.0061215px; letter-spacing: 0.0061215px; margin-left: 0px; font-size: 6.1215px; font-family: ff95; -webkit-text-stroke: 0.0918225px rgba(0, 0, 0, 0);"&gt;&lt;span style="display: inline-block;"&gt;1)&lt;/span&gt;&lt;/span&gt;&lt;span class="pp-font-color-override-1" style="position: absolute; display: inline-block; left: 3.96875px; top: 103.041px; width: 225.926px; white-space: pre; word-spacing: -0.147px; letter-spacing: 0.147px; margin-left: 0px; font-size: 10.5px; font-family: ff95; -webkit-text-stroke: 0.1575px rgba(0, 0, 0, 0);"&gt;&lt;span style="display: inline-block;"&gt;Other&lt;/span&gt;&lt;span class="pp-font-color-override-3" style="word-spacing: 0px; letter-spacing: 0px; display: inline-block; margin-left: 0px; font-size: 10.5px; font-family: ff95; -webkit-text-stroke: 0.1575px rgba(0, 0, 0, 0);"&gt;&lt;span style="display: inline-block;"&gt; &lt;/span&gt;&lt;/span&gt;&lt;span class="pp-font-color-override-4" style="word-spacing: -0.147px; letter-spacing: 0.1785px; display: inline-block; margin-left: 0px; font-size: 10.5px; font-family: ff95; -webkit-text-stroke: 0.1575px rgba(0, 0, 0, 0);"&gt;&lt;span style="display: inline-block;"&gt;f&lt;/span&gt;&lt;span style="word-spacing: -0.147px; letter-spacing: 0.1785px; display: inline-block; margin-left: 0px; width: 0.410156px; font-size: 10.5px; font-family: ff95; -webkit-text-stroke: 0.1575px rgba(0, 0, 0, 0);"&gt;&lt;/span&gt;&lt;span style="display: inline-block;"&gt;inancial r&lt;/span&gt;&lt;/span&gt;&lt;span class="pp-font-color-override-1" style="word-spacing: -0.1365px; letter-spacing: 0.168px; display: inline-block; margin-left: 0px; font-size: 10.5px; font-family: ff95; -webkit-text-stroke: 0.1575px rgba(0, 0, 0, 0);"&gt;&lt;span style="display: inline-block;"&gt;eceivables, non-current and current&lt;/span&gt;&lt;/span&gt;&lt;/span&gt;&lt;span class="pp-font-color-override-1" style="position: absolute; display: inline-block; left: 393.375px; top: 103.041px; width: 67.7812px; white-space: pre; word-spacing: 0.021px; letter-spacing: -0.021px; margin-left: 0px; font-size: 10.5px; font-family: ff95; -webkit-text-stroke: 0.1575px rgba(0, 0, 0, 0);"&gt;&lt;span style="display: inline-block;"&gt;18&lt;/span&gt;&lt;span style="word-spacing: 0.021px; letter-spacing: -0.021px; display: inline-block; margin-left: 0px; width: 57.3221px; font-size: 10.5px; font-family: ff95; -webkit-text-stroke: 0.1575px rgba(0, 0, 0, 0);"&gt;&lt;span style="display: inline-block;"&gt;&lt;span style="width: 2.625px; display: inline-block;"&gt; &lt;/span&gt;&lt;/span&gt;&lt;/span&gt;&lt;/span&gt;&lt;span class="pp-font-color-override-1" style="position: absolute; display: inline-block; left: 461.156px; top: 103.041px; width: 267.393px; white-space: pre; word-spacing: 0px; letter-spacing: 0px; margin-left: 0px; font-size: 10.5px; font-family: ff95; -webkit-text-stroke: 0.1575px rgba(0, 0, 0, 0);"&gt;&lt;span style="display: inline-block;"&gt;—&lt;/span&gt;&lt;span style="word-spacing: 0px; letter-spacing: 0px; display: inline-block; margin-left: 0px; width: 39.0352px; font-size: 10.5px; font-family: ff95; -webkit-text-stroke: 0.1575px rgba(0, 0, 0, 0);"&gt;&lt;span style="display: inline-block;"&gt; &lt;/span&gt;&lt;/span&gt;&lt;span style="display: inline-block;"&gt;5,&lt;/span&gt;&lt;span style="word-spacing: 0px; letter-spacing: 0px; display: inline-block; margin-left: 0px; width: 0.410156px; font-size: 10.5px; font-family: ff95; -webkit-text-stroke: 0.1575px rgba(0, 0, 0, 0);"&gt;&lt;/span&gt;&lt;span style="display: inline-block;"&gt;022 &lt;/span&gt;&lt;span style="word-spacing: 0px; letter-spacing: 0px; display: inline-block; margin-left: 0px; width: 35.0918px; font-size: 10.5px; font-family: ff95; -webkit-text-stroke: 0.1575px rgba(0, 0, 0, 0);"&gt;&lt;span style="display: inline-block;"&gt; &lt;/span&gt;&lt;/span&gt;&lt;span style="display: inline-block;"&gt;5&lt;/span&gt;&lt;span style="word-spacing: 0px; letter-spacing: 0px; display: inline-block; margin-left: 0px; width: 0.410156px; font-size: 10.5px; font-family: ff95; -webkit-text-stroke: 0.1575px rgba(0, 0, 0, 0);"&gt;&lt;/span&gt;&lt;span style="display: inline-block;"&gt;,030 &lt;/span&gt;&lt;span style="word-spacing: 0px; letter-spacing: 0px; display: inline-block; margin-left: 0px; width: 40.5469px; font-size: 10.5px; font-family: ff95; -webkit-text-stroke: 0.1575px rgba(0, 0, 0, 0);"&gt;&lt;span style="display: inline-block;"&gt; &lt;/span&gt;&lt;/span&gt;&lt;span class="pp-font-color-override-1" style="word-spacing: 0.3885px; letter-spacing: -0.3885px; display: inline-block; margin-left: 0px; font-size: 10.5px; font-family: ff95; -webkit-text-stroke: 0.1575px rgba(0, 0, 0, 0);"&gt;&lt;span style="display: inline-block;"&gt;2&lt;/span&gt;&lt;span style="word-spacing: 0.3885px; letter-spacing: -0.3885px; display: inline-block; margin-left: 0px; width: 0.410156px; font-size: 10.5px; font-family: ff95; -webkit-text-stroke: 0.1575px rgba(0, 0, 0, 0);"&gt;&lt;/span&gt;&lt;span style="display: inline-block;"&gt;,1&lt;/span&gt;&lt;span style="word-spacing: 0.3885px; letter-spacing: -0.3885px; display: inline-block; margin-left: 0px; width: 0.410156px; font-size: 10.5px; font-family: ff95; -webkit-text-stroke: 0.1575px rgba(0, 0, 0, 0);"&gt;&lt;/span&gt;&lt;span style="display: inline-block;"&gt;6&lt;/span&gt;&lt;span style="word-spacing: 0.3885px; letter-spacing: -0.3885px; display: inline-block; margin-left: 0px; width: 0.410156px; font-size: 10.5px; font-family: ff95; -webkit-text-stroke: 0.1575px rgba(0, 0, 0, 0);"&gt;&lt;/span&gt;&lt;span style="display: inline-block;"&gt;7&lt;/span&gt;&lt;span style="word-spacing: 0.3885px; letter-spacing: -0.3885px; display: inline-block; margin-left: 0px; width: 43.0545px; font-size: 10.5px; font-family: ff95; -webkit-text-stroke: 0.1575px rgba(0, 0, 0, 0);"&gt;&lt;span style="display: inline-block;"&gt;&lt;span style="width: 2.625px; display: inline-block;"&gt; &lt;/span&gt;&lt;/span&gt;&lt;/span&gt;&lt;span style="display: inline-block;"&gt;2&lt;/span&gt;&lt;span style="word-spacing: 0.3885px; letter-spacing: -0.3885px; display: inline-block; margin-left: 0px; width: 0.410156px; font-size: 10.5px; font-family: ff95; -webkit-text-stroke: 0.1575px rgba(0, 0, 0, 0);"&gt;&lt;/span&gt;&lt;span style="display: inline-block;"&gt;,1&lt;/span&gt;&lt;span style="word-spacing: 0.3885px; letter-spacing: -0.3885px; display: inline-block; margin-left: 0px; width: 0.410156px; font-size: 10.5px; font-family: ff95; -webkit-text-stroke: 0.1575px rgba(0, 0, 0, 0);"&gt;&lt;/span&gt;&lt;span style="display: inline-block;"&gt;7&lt;/span&gt;&lt;span style="word-spacing: 0.3885px; letter-spacing: -0.3885px; display: inline-block; margin-left: 0px; width: 0.410156px; font-size: 10.5px; font-family: ff95; -webkit-text-stroke: 0.1575px rgba(0, 0, 0, 0);"&gt;&lt;/span&gt;&lt;span style="display: inline-block;"&gt;9&lt;/span&gt;&lt;/span&gt;&lt;/span&gt;&lt;span class="pp-font-color-override-1" style="position: absolute; display: inline-block; left: 3.96875px; top: 118.994px; width: 114.609px; white-space: pre; word-spacing: 0px; letter-spacing: 0.0315px; margin-left: 0px; font-size: 10.5px; font-family: ff95; -webkit-text-stroke: 0.1575px rgba(0, 0, 0, 0);"&gt;&lt;span style="display: inline-block;"&gt;Ca&lt;/span&gt;&lt;span style="word-spacing: 0px; letter-spacing: 0.0315px; display: inline-block; margin-left: 0px; width: 0.410156px; font-size: 10.5px; font-family: ff95; -webkit-text-stroke: 0.1575px rgba(0, 0, 0, 0);"&gt;&lt;/span&gt;&lt;span style="display: inline-block;"&gt;sh a&lt;/span&gt;&lt;span style="word-spacing: 0px; letter-spacing: 0.0315px; display: inline-block; margin-left: 0px; width: 0.410156px; font-size: 10.5px; font-family: ff95; -webkit-text-stroke: 0.1575px rgba(0, 0, 0, 0);"&gt;&lt;/</t>
  </si>
  <si>
    <t>f1__s8__6__188-1</t>
  </si>
  <si>
    <t>ifrs-full:DisclosureOfFairValueOfFinancialInstrumentsExplanatory</t>
  </si>
  <si>
    <t>f1__s8__6__189-1</t>
  </si>
  <si>
    <t>ifrs-full:DisclosureOfFinancialInstrumentsAtFairValueThroughProfitOrLossExplanatory</t>
  </si>
  <si>
    <t>f1__s8__6__19</t>
  </si>
  <si>
    <t>ifrs-full:StatementOfIFRSCompliance</t>
  </si>
  <si>
    <t>f1__s8__6__190-1</t>
  </si>
  <si>
    <t>ifrs-full:DisclosureOfFinancialInstrumentsDesignatedAtFairValueThroughProfitOrLossExplanatory</t>
  </si>
  <si>
    <t>f1__s8__6__196-1</t>
  </si>
  <si>
    <t>ifrs-full:DescriptionOfAccountingPolicyForCashFlowsExplanatory</t>
  </si>
  <si>
    <t>&lt;span style="display:inherit;clear:left;"&gt;Payables u&lt;span class="_ _7"&gt;&lt;/span&gt;nde&lt;span class="_ _7"&gt;&lt;/span&gt;r sup&lt;span class="_ _7"&gt;&lt;/span&gt;plie&lt;span class="_ _7"&gt;&lt;/span&gt;r fin&lt;span class="_ _7"&gt;&lt;/span&gt;anci&lt;span class="_ _7"&gt;&lt;/span&gt;ng  &lt;span class="_ _0"&gt;&lt;/span&gt;prog&lt;span class="_ _7"&gt;&lt;/span&gt;ram&lt;span class="_ _7"&gt;&lt;/span&gt;me&lt;span class="_ _7"&gt;&lt;/span&gt;s&lt;/span&gt;&lt;span style="display:inherit;clear:left;"&gt;Supplier in&lt;span class="_ _2"&gt;&lt;/span&gt;voices may be&lt;span class="_ _2"&gt;&lt;/span&gt; subject to supplier&lt;span class="_ _2"&gt;&lt;/span&gt; financing programmes &lt;/span&gt;&lt;span style="display:inherit;clear:left;"&gt;und&lt;span class="_ _7"&gt;&lt;/span&gt;er w&lt;span class="_ _7"&gt;&lt;/span&gt;hi&lt;span class="_ _7"&gt;&lt;/span&gt;ch a f&lt;span class="_ _7"&gt;&lt;/span&gt;ina&lt;span class="_ _7"&gt;&lt;/span&gt;nc&lt;span class="_ _7"&gt;&lt;/span&gt;ial i&lt;span class="_ _7"&gt;&lt;/span&gt;ns&lt;span class="_ _7"&gt;&lt;/span&gt;ti&lt;span class="_ _7"&gt;&lt;/span&gt;tut&lt;span class="_ _7"&gt;&lt;/span&gt;io&lt;span class="_ _7"&gt;&lt;/span&gt;n pay&lt;span class="_ _7"&gt;&lt;/span&gt;s pa&lt;span class="_ _7"&gt;&lt;/span&gt;r&lt;span class="_ _7"&gt;&lt;/span&gt;ti&lt;span class="_ _7"&gt;&lt;/span&gt;cip&lt;span class="_ _7"&gt;&lt;/span&gt;ati&lt;span class="_ _7"&gt;&lt;/span&gt;ng su&lt;span class="_ _7"&gt;&lt;/span&gt;pp&lt;span class="_ _7"&gt;&lt;/span&gt;lie&lt;span class="_ _7"&gt;&lt;/span&gt;r&lt;span class="_ _7"&gt;&lt;/span&gt;s ea&lt;span class="_ _7"&gt;&lt;/span&gt;rly, &lt;/span&gt;&lt;span style="display:inherit;clear:left;"&gt;and Volvo C&lt;span class="_ _7"&gt;&lt;/span&gt;ar G&lt;span class="_ _7"&gt;&lt;/span&gt;ro&lt;span class="_ _7"&gt;&lt;/span&gt;up s&lt;span class="_ _7"&gt;&lt;/span&gt;et&lt;span class="_ _7"&gt;&lt;/span&gt;tl&lt;span class="_ _7"&gt;&lt;/span&gt;es th&lt;span class="_ _7"&gt;&lt;/span&gt;e or&lt;span class="_ _7"&gt;&lt;/span&gt;ig&lt;span class="_ _7"&gt;&lt;/span&gt;in&lt;span class="_ _7"&gt;&lt;/span&gt;al inv&lt;span class="_ _7"&gt;&lt;/span&gt;oic&lt;span class="_ _7"&gt;&lt;/span&gt;e am&lt;span class="_ _7"&gt;&lt;/span&gt;ou&lt;span class="_ _7"&gt;&lt;/span&gt;nt wi&lt;span class="_ _7"&gt;&lt;/span&gt;th th&lt;span class="_ _7"&gt;&lt;/span&gt;e &lt;/span&gt;&lt;span style="display:inherit;clear:left;"&gt;institution in&lt;span class="_ _2"&gt;&lt;/span&gt; accordance with a&lt;span class="_ _2"&gt;&lt;/span&gt;gree&lt;span class="_ _7"&gt;&lt;/span&gt;d payment&lt;span class="_ _2"&gt;&lt;/span&gt; terms. Payables aris&lt;span class="_ _2"&gt;&lt;/span&gt;&lt;span class="ls3 ws3"&gt;-&lt;/span&gt;&lt;/span&gt;&lt;span style="display:inherit;clear:left;"&gt;ing f&lt;span class="_ _7"&gt;&lt;/span&gt;ro&lt;span class="_ _7"&gt;&lt;/span&gt;m op&lt;span class="_ _7"&gt;&lt;/span&gt;er&lt;span class="_ _7"&gt;&lt;/span&gt;ati&lt;span class="_ _7"&gt;&lt;/span&gt;ng pu&lt;span class="_ _7"&gt;&lt;/span&gt;rc&lt;span class="_ _7"&gt;&lt;/span&gt;ha&lt;span class="_ _7"&gt;&lt;/span&gt;sin&lt;span class="_ _7"&gt;&lt;/span&gt;g ac&lt;span class="_ _7"&gt;&lt;/span&gt;tiv&lt;span class="_ _7"&gt;&lt;/span&gt;it&lt;span class="_ _7"&gt;&lt;/span&gt;ie&lt;span class="_ _7"&gt;&lt;/span&gt;s are p&lt;span class="_ _7"&gt;&lt;/span&gt;re&lt;span class="_ _7"&gt;&lt;/span&gt;s&lt;span class="_ _7"&gt;&lt;/span&gt;ent&lt;span class="_ _7"&gt;&lt;/span&gt;ed a&lt;span class="_ _7"&gt;&lt;/span&gt;s acc&lt;span class="_ _7"&gt;&lt;/span&gt;ou&lt;span class="_ _7"&gt;&lt;/span&gt;nt&lt;span class="_ _7"&gt;&lt;/span&gt;s &lt;/span&gt;&lt;span style="display:inherit;clear:left;"&gt;pay&lt;span class="_ _7"&gt;&lt;/span&gt;ab&lt;span class="_ _7"&gt;&lt;/span&gt;le unt&lt;span class="_ _7"&gt;&lt;/span&gt;il s&lt;span class="_ _7"&gt;&lt;/span&gt;et&lt;span class="_ _7"&gt;&lt;/span&gt;tl&lt;span class="_ _7"&gt;&lt;/span&gt;eme&lt;span class="_ _7"&gt;&lt;/span&gt;nt&lt;span class="_ _7"&gt;&lt;/span&gt;, wi&lt;span class="_ _7"&gt;&lt;/span&gt;th re&lt;span class="_ _7"&gt;&lt;/span&gt;la&lt;span class="_ _7"&gt;&lt;/span&gt;ted c&lt;span class="_ _7"&gt;&lt;/span&gt;a&lt;span class="_ _7"&gt;&lt;/span&gt;sh f&lt;span class="_ _7"&gt;&lt;/span&gt;low&lt;span class="_ _7"&gt;&lt;/span&gt;s re&lt;span class="_ _7"&gt;&lt;/span&gt;po&lt;span class="_ _7"&gt;&lt;/span&gt;r&lt;span class="_ _7"&gt;&lt;/span&gt;ted w&lt;span class="_ _7"&gt;&lt;/span&gt;ith&lt;span class="_ _7"&gt;&lt;/span&gt;in &lt;/span&gt;&lt;span style="display:inherit;clear:left;"&gt;op&lt;span class="_ _7"&gt;&lt;/span&gt;er&lt;span class="_ _7"&gt;&lt;/span&gt;ati&lt;span class="_ _7"&gt;&lt;/span&gt;ng c&lt;span class="_ _7"&gt;&lt;/span&gt;as&lt;span class="_ _7"&gt;&lt;/span&gt;h flo&lt;span class="_ _7"&gt;&lt;/span&gt;ws&lt;span class="_ _7"&gt;&lt;/span&gt;. &lt;/span&gt;&lt;span style="display:inherit;clear:left;"&gt;A sim&lt;span class="_ _7"&gt;&lt;/span&gt;il&lt;span class="_ _7"&gt;&lt;/span&gt;ar p&lt;span class="_ _7"&gt;&lt;/span&gt;rog&lt;span class="_ _7"&gt;&lt;/span&gt;r&lt;span class="_ _7"&gt;&lt;/span&gt;amm&lt;span class="_ _7"&gt;&lt;/span&gt;e is a&lt;span class="_ _7"&gt;&lt;/span&gt;ls&lt;span class="_ _7"&gt;&lt;/span&gt;o u&lt;span class="_ _7"&gt;&lt;/span&gt;se&lt;span class="_ _7"&gt;&lt;/span&gt;d fo&lt;span class="_ _7"&gt;&lt;/span&gt;r ce&lt;span class="_ _7"&gt;&lt;/span&gt;r&lt;span class="_ _7"&gt;&lt;/span&gt;ta&lt;span class="_ _7"&gt;&lt;/span&gt;in su&lt;span class="_ _7"&gt;&lt;/span&gt;pp&lt;span class="_ _7"&gt;&lt;/span&gt;li&lt;span class="_ _7"&gt;&lt;/span&gt;er&lt;span class="_ _7"&gt;&lt;/span&gt;s re&lt;span class="_ _7"&gt;&lt;/span&gt;la&lt;span class="_ _7"&gt;&lt;/span&gt;ted t&lt;span class="_ _7"&gt;&lt;/span&gt;o &lt;/span&gt;&lt;span style="display:inherit;clear:left;"&gt;investing ac&lt;span class="_ _7"&gt;&lt;/span&gt;tivitie&lt;span class="_ _7"&gt;&lt;/span&gt;s. Un&lt;span class="_ _7"&gt;&lt;/span&gt;der this progr&lt;span class="_ _7"&gt;&lt;/span&gt;amme, the fi&lt;span class="_ _7"&gt;&lt;/span&gt;nancial in&lt;span class="_ _7"&gt;&lt;/span&gt;stituti&lt;span class="_ _7"&gt;&lt;/span&gt;on &lt;/span&gt;&lt;span style="display:inherit;clear:left;"&gt;pay&lt;span class="_ _7"&gt;&lt;/span&gt;s su&lt;span class="_ _7"&gt;&lt;/span&gt;pp&lt;span class="_ _7"&gt;&lt;/span&gt;lie&lt;span class="_ _7"&gt;&lt;/span&gt;r&lt;span class="_ _7"&gt;&lt;/span&gt;s ear&lt;span class="_ _7"&gt;&lt;/span&gt;ly an&lt;span class="_ _7"&gt;&lt;/span&gt;d&lt;span class="_ _7"&gt;&lt;/span&gt;, in th&lt;span class="_ _7"&gt;&lt;/span&gt;is s&lt;span class="_ _7"&gt;&lt;/span&gt;pe&lt;span class="_ _7"&gt;&lt;/span&gt;ci&lt;span class="_ _7"&gt;&lt;/span&gt;fi&lt;span class="_ _7"&gt;&lt;/span&gt;c se&lt;span class="_ _7"&gt;&lt;/span&gt;tup&lt;span class="_ _7"&gt;&lt;/span&gt;, su&lt;span class="_ _7"&gt;&lt;/span&gt;pp&lt;span class="_ _7"&gt;&lt;/span&gt;lie&lt;span class="_ _7"&gt;&lt;/span&gt;r&lt;span class="_ _7"&gt;&lt;/span&gt;s are a&lt;span class="_ _7"&gt;&lt;/span&gt;ls&lt;span class="_ _7"&gt;&lt;/span&gt;o &lt;/span&gt;&lt;span style="display:inherit;clear:left;"&gt;abl&lt;span class="_ _7"&gt;&lt;/span&gt;e to is&lt;span class="_ _7"&gt;&lt;/span&gt;s&lt;span class="_ _7"&gt;&lt;/span&gt;ue i&lt;span class="_ _7"&gt;&lt;/span&gt;nvoi&lt;span class="_ _7"&gt;&lt;/span&gt;ce&lt;span class="_ _7"&gt;&lt;/span&gt;s at a&lt;span class="_ _7"&gt;&lt;/span&gt;n ea&lt;span class="_ _7"&gt;&lt;/span&gt;rli&lt;span class="_ _7"&gt;&lt;/span&gt;er s&lt;span class="_ _7"&gt;&lt;/span&gt;t&lt;span class="_ _7"&gt;&lt;/span&gt;age th&lt;span class="_ _7"&gt;&lt;/span&gt;an u&lt;span class="_ _7"&gt;&lt;/span&gt;nd&lt;span class="_ _7"&gt;&lt;/span&gt;er s&lt;span class="_ _7"&gt;&lt;/span&gt;ta&lt;span class="_ _7"&gt;&lt;/span&gt;nd&lt;span class="_ _7"&gt;&lt;/span&gt;ard c&lt;span class="_ _7"&gt;&lt;/span&gt;om-&lt;/span&gt;&lt;span style="display:inherit;clear:left;"&gt;mercial practice,&lt;span class="_ _2"&gt;&lt;/span&gt; thereby accelerati&lt;span class="_ _2"&gt;&lt;/span&gt;ng both in&lt;span class="_ _2"&gt;&lt;/span&gt;voice issuance and &lt;/span&gt;&lt;span style="display:inherit;clear:left;"&gt;pay&lt;span class="_ _7"&gt;&lt;/span&gt;me&lt;span class="_ _7"&gt;&lt;/span&gt;nt&lt;span class="_ _7"&gt;&lt;/span&gt;. Li&lt;span class="_ _7"&gt;&lt;/span&gt;abi&lt;span class="_ _7"&gt;&lt;/span&gt;lit&lt;span class="_ _7"&gt;&lt;/span&gt;ie&lt;span class="_ _7"&gt;&lt;/span&gt;s ar&lt;span class="_ _7"&gt;&lt;/span&gt;is&lt;span class="_ _7"&gt;&lt;/span&gt;ing f&lt;span class="_ _7"&gt;&lt;/span&gt;ro&lt;span class="_ _7"&gt;&lt;/span&gt;m thi&lt;span class="_ _7"&gt;&lt;/span&gt;s pr&lt;span class="_ _7"&gt;&lt;/span&gt;og&lt;span class="_ _7"&gt;&lt;/span&gt;ra&lt;span class="_ _7"&gt;&lt;/span&gt;mm&lt;span class="_ _7"&gt;&lt;/span&gt;e are p&lt;span class="_ _7"&gt;&lt;/span&gt;re&lt;span class="_ _7"&gt;&lt;/span&gt;s&lt;span class="_ _7"&gt;&lt;/span&gt;ente&lt;span class="_ _7"&gt;&lt;/span&gt;d as &lt;/span&gt;&lt;span style="display:inherit;clear:left;"&gt;oth&lt;span class="_ _7"&gt;&lt;/span&gt;er cu&lt;span class="_ _7"&gt;&lt;/span&gt;rr&lt;span class="_ _7"&gt;&lt;/span&gt;ent l&lt;span class="_ _7"&gt;&lt;/span&gt;iab&lt;span class="_ _7"&gt;&lt;/span&gt;il&lt;span class="_ _7"&gt;&lt;/span&gt;iti&lt;span class="_ _7"&gt;&lt;/span&gt;es u&lt;span class="_ _7"&gt;&lt;/span&gt;nti&lt;span class="_ _7"&gt;&lt;/span&gt;l se&lt;span class="_ _7"&gt;&lt;/span&gt;t&lt;span class="_ _7"&gt;&lt;/span&gt;tle&lt;span class="_ _7"&gt;&lt;/span&gt;me&lt;span class="_ _7"&gt;&lt;/span&gt;nt, w&lt;span class="_ _7"&gt;&lt;/span&gt;it&lt;span class="_ _7"&gt;&lt;/span&gt;h rel&lt;span class="_ _7"&gt;&lt;/span&gt;at&lt;span class="_ _7"&gt;&lt;/span&gt;ed c&lt;span class="_ _7"&gt;&lt;/span&gt;as&lt;span class="_ _7"&gt;&lt;/span&gt;h fl&lt;span class="_ _7"&gt;&lt;/span&gt;ows &lt;/span&gt;&lt;span style="display:inherit;clear:left;"&gt;rep&lt;span class="_ _7"&gt;&lt;/span&gt;or&lt;span class="_ _9"&gt;&lt;/span&gt;ted wi&lt;span class="_ _7"&gt;&lt;/span&gt;thi&lt;span class="_ _7"&gt;&lt;/span&gt;n inv&lt;span class="_ _7"&gt;&lt;/span&gt;es&lt;span class="_ _7"&gt;&lt;/span&gt;ti&lt;span class="_ _7"&gt;&lt;/span&gt;ng ca&lt;span class="_ _7"&gt;&lt;/span&gt;sh f&lt;span class="_ _7"&gt;&lt;/span&gt;lo&lt;span class="_ _7"&gt;&lt;/span&gt;ws&lt;span class="_ _7"&gt;&lt;/span&gt;, re&lt;span class="_ _7"&gt;&lt;/span&gt;fl&lt;span class="_ _7"&gt;&lt;/span&gt;ec&lt;span class="_ _7"&gt;&lt;/span&gt;tin&lt;span class="_ _7"&gt;&lt;/span&gt;g the n&lt;span class="_ _7"&gt;&lt;/span&gt;atu&lt;span class="_ _7"&gt;&lt;/span&gt;re o&lt;span class="_ _7"&gt;&lt;/span&gt;f the &lt;/span&gt;&lt;span style="display:inherit;clear:left;"&gt;under&lt;span class="_ _7"&gt;&lt;/span&gt;lying activ&lt;span class="_ _7"&gt;&lt;/span&gt;ities&lt;span class="_ _7"&gt;&lt;/span&gt;.&lt;/span&gt;&lt;span style="display:inherit;clear:left;"&gt;While t&lt;span class="_ _2"&gt;&lt;/span&gt;hes&lt;span class="_ _7"&gt;&lt;/span&gt;e programmes provide&lt;span class="_ _2"&gt;&lt;/span&gt; suppliers with earlier&lt;span class="_ _2"&gt;&lt;/span&gt; acce&lt;span class="_ _7"&gt;&lt;/span&gt;ss to &lt;/span&gt;&lt;span style="display:inherit;clear:left;"&gt;liq&lt;span class="_ _7"&gt;&lt;/span&gt;ui&lt;span class="_ _7"&gt;&lt;/span&gt;dit&lt;span class="_ _7"&gt;&lt;/span&gt;y (an&lt;span class="_ _7"&gt;&lt;/span&gt;d, i&lt;span class="_ _7"&gt;&lt;/span&gt;n the i&lt;span class="_ _7"&gt;&lt;/span&gt;nve&lt;span class="_ _7"&gt;&lt;/span&gt;s&lt;span class="_ _7"&gt;&lt;/span&gt;ting r&lt;span class="_ _7"&gt;&lt;/span&gt;el&lt;span class="_ _7"&gt;&lt;/span&gt;ate&lt;span class="_ _7"&gt;&lt;/span&gt;d s&lt;span class="_ _7"&gt;&lt;/span&gt;etu&lt;span class="_ _7"&gt;&lt;/span&gt;p, e&lt;span class="_ _7"&gt;&lt;/span&gt;arl&lt;span class="_ _7"&gt;&lt;/span&gt;ie&lt;span class="_ _7"&gt;&lt;/span&gt;r invo&lt;span class="_ _7"&gt;&lt;/span&gt;ic&lt;span class="_ _7"&gt;&lt;/span&gt;e is&lt;span class="_ _7"&gt;&lt;/span&gt;s&lt;span class="_ _7"&gt;&lt;/span&gt;ua&lt;span class="_ _7"&gt;&lt;/span&gt;nce), &lt;/span&gt;&lt;span style="display:inherit;clear:left;"&gt;the t&lt;span class="_ _7"&gt;&lt;/span&gt;imi&lt;span class="_ _7"&gt;&lt;/span&gt;ng of Volvo C&lt;span class="_ _7"&gt;&lt;/span&gt;ar G&lt;span class="_ _7"&gt;&lt;/span&gt;ro&lt;span class="_ _7"&gt;&lt;/span&gt;up’s own c&lt;span class="_ _7"&gt;&lt;/span&gt;as&lt;span class="_ _7"&gt;&lt;/span&gt;h ou&lt;span class="_ _7"&gt;&lt;/span&gt;t&lt;span class="_ _7"&gt;&lt;/span&gt;f&lt;span class="_ _7"&gt;&lt;/span&gt;low&lt;span class="_ _7"&gt;&lt;/span&gt;s rem&lt;span class="_ _7"&gt;&lt;/span&gt;ai&lt;span class="_ _7"&gt;&lt;/span&gt;ns b&lt;span class="_ _7"&gt;&lt;/span&gt;ro&lt;span class="_ _7"&gt;&lt;/span&gt;adl&lt;span class="_ _7"&gt;&lt;/span&gt;y &lt;/span&gt;&lt;span style="display:inherit;clear:left;"&gt;unchanged compared&lt;span class="_ _2"&gt;&lt;/span&gt; with previous commerc&lt;span class="_ _2"&gt;&lt;/span&gt;ial practice. &lt;/span&gt;&lt;span style="display:inherit;clear:left;"&gt;Pay&lt;span class="_ _7"&gt;&lt;/span&gt;me&lt;span class="_ _7"&gt;&lt;/span&gt;nt du&lt;span class="_ _7"&gt;&lt;/span&gt;e da&lt;span class="_ _7"&gt;&lt;/span&gt;tes f&lt;span class="_ _7"&gt;&lt;/span&gt;or th&lt;span class="_ _7"&gt;&lt;/span&gt;e op&lt;span class="_ _7"&gt;&lt;/span&gt;er&lt;span class="_ _7"&gt;&lt;/span&gt;ati&lt;span class="_ _7"&gt;&lt;/span&gt;ng re&lt;span class="_ _7"&gt;&lt;/span&gt;l&lt;span class="_ _7"&gt;&lt;/span&gt;ate&lt;span class="_ _7"&gt;&lt;/span&gt;d pr&lt;span class="_ _7"&gt;&lt;/span&gt;ogr&lt;span class="_ _7"&gt;&lt;/span&gt;am&lt;span class="_ _7"&gt;&lt;/span&gt;me p&lt;span class="_ _7"&gt;&lt;/span&gt;re&lt;span class="_ _7"&gt;&lt;/span&gt;s&lt;span class="_ _7"&gt;&lt;/span&gt;ente&lt;span class="_ _7"&gt;&lt;/span&gt;d &lt;/span&gt;&lt;span style="display:inherit;clear:left;"&gt;as ac&lt;span class="_ _7"&gt;&lt;/span&gt;co&lt;span class="_ _7"&gt;&lt;/span&gt;unt&lt;span class="_ _7"&gt;&lt;/span&gt;s p&lt;span class="_ _7"&gt;&lt;/span&gt;aya&lt;span class="_ _7"&gt;&lt;/span&gt;ble w&lt;span class="_ _7"&gt;&lt;/span&gt;ere 6&lt;span class="_ _7"&gt;&lt;/span&gt;0&lt;span class="_ _7"&gt;&lt;/span&gt;–&lt;span class="_ _2"&gt;&lt;/span&gt;75 (60&lt;span class="_ _7"&gt;&lt;/span&gt;–&lt;span class="_ _2"&gt;&lt;/span&gt;75) day&lt;span class="_ _7"&gt;&lt;/span&gt;s af&lt;span class="_ _7"&gt;&lt;/span&gt;t&lt;span class="_ _7"&gt;&lt;/span&gt;er inv&lt;span class="_ _7"&gt;&lt;/span&gt;oi&lt;span class="_ _7"&gt;&lt;/span&gt;ce da&lt;span class="_ _7"&gt;&lt;/span&gt;te. &lt;/span&gt;&lt;span style="display:inherit;clear:left;"&gt;For th&lt;span class="_ _7"&gt;&lt;/span&gt;e inv&lt;span class="_ _7"&gt;&lt;/span&gt;es&lt;span class="_ _7"&gt;&lt;/span&gt;ti&lt;span class="_ _7"&gt;&lt;/span&gt;ng re&lt;span class="_ _7"&gt;&lt;/span&gt;la&lt;span class="_ _7"&gt;&lt;/span&gt;ted p&lt;span class="_ _7"&gt;&lt;/span&gt;ro&lt;span class="_ _7"&gt;&lt;/span&gt;gr&lt;span class="_ _7"&gt;&lt;/span&gt;am&lt;span class="_ _7"&gt;&lt;/span&gt;me pr&lt;span class="_ _7"&gt;&lt;/span&gt;e&lt;span class="_ _7"&gt;&lt;/span&gt;se&lt;span class="_ _7"&gt;&lt;/span&gt;nte&lt;span class="_ _7"&gt;&lt;/span&gt;d as ot&lt;span class="_ _7"&gt;&lt;/span&gt;he&lt;span class="_ _7"&gt;&lt;/span&gt;r cur&lt;span class="_ _7"&gt;&lt;/span&gt;re&lt;span class="_ _7"&gt;&lt;/span&gt;nt li&lt;span class="_ _7"&gt;&lt;/span&gt;a-&lt;/span&gt;&lt;span style="display:inherit;clear:left;"&gt;bil&lt;span class="_ _7"&gt;&lt;/span&gt;iti&lt;span class="_ _7"&gt;&lt;/span&gt;e&lt;span class="_ _7"&gt;&lt;/span&gt;s, p&lt;span class="_ _7"&gt;&lt;/span&gt;ay&lt;span class="_ _7"&gt;&lt;/span&gt;me&lt;span class="_ _7"&gt;&lt;/span&gt;nt du&lt;span class="_ _7"&gt;&lt;/span&gt;e dat&lt;span class="_ _7"&gt;&lt;/span&gt;es f&lt;span class="_ _7"&gt;&lt;/span&gt;or am&lt;span class="_ _7"&gt;&lt;/span&gt;ou&lt;span class="_ _7"&gt;&lt;/span&gt;nt&lt;span class="_ _7"&gt;&lt;/span&gt;s in&lt;span class="_ _7"&gt;&lt;/span&gt;clud&lt;span class="_ _7"&gt;&lt;/span&gt;ed i&lt;span class="_ _7"&gt;&lt;/span&gt;n th&lt;span class="_ _7"&gt;&lt;/span&gt;e pro&lt;span class="_ _7"&gt;&lt;/span&gt;gr&lt;span class="_ _7"&gt;&lt;/span&gt;am&lt;span class="_ _7"&gt;&lt;/span&gt;me &lt;/span&gt;&lt;span style="display:inherit;clear:left;"&gt;wer&lt;span class="_ _7"&gt;&lt;/span&gt;e 180&lt;span class="_ _7"&gt;&lt;/span&gt;–36&lt;span class="_ _7"&gt;&lt;/span&gt;0 day&lt;span class="_ _7"&gt;&lt;/span&gt;s af&lt;span class="_ _7"&gt;&lt;/span&gt;t&lt;span class="_ _7"&gt;&lt;/span&gt;er in&lt;span class="_ _7"&gt;&lt;/span&gt;voi&lt;span class="_ _7"&gt;&lt;/span&gt;ce d&lt;span class="_ _7"&gt;&lt;/span&gt;ate. Fo&lt;span class="_ _7"&gt;&lt;/span&gt;r bo&lt;span class="_ _7"&gt;&lt;/span&gt;th pr&lt;span class="_ _7"&gt;&lt;/span&gt;og&lt;span class="_ _7"&gt;&lt;/span&gt;ra&lt;span class="_ _7"&gt;&lt;/span&gt;mm&lt;span class="_ _7"&gt;&lt;/span&gt;es&lt;span class="_ _7"&gt;&lt;/span&gt;,  &lt;/span&gt;&lt;span style="display:inherit;clear:left;"&gt;com&lt;span class="_ _7"&gt;&lt;/span&gt;pa&lt;span class="_ _7"&gt;&lt;/span&gt;ra&lt;span class="_ _7"&gt;&lt;/span&gt;bl&lt;span class="_ _7"&gt;&lt;/span&gt;e pay&lt;span class="_ _7"&gt;&lt;/span&gt;abl&lt;span class="_ _7"&gt;&lt;/span&gt;es o&lt;span class="_ _7"&gt;&lt;/span&gt;ut&lt;span class="_ _7"&gt;&lt;/span&gt;si&lt;span class="_ _7"&gt;&lt;/span&gt;de t&lt;span class="_ _7"&gt;&lt;/span&gt;he pr&lt;span class="_ _7"&gt;&lt;/span&gt;og&lt;span class="_ _7"&gt;&lt;/span&gt;ra&lt;span class="_ _7"&gt;&lt;/span&gt;mm&lt;span class="_ _7"&gt;&lt;/span&gt;es h&lt;span class="_ _7"&gt;&lt;/span&gt;ad p&lt;span class="_ _7"&gt;&lt;/span&gt;ay&lt;span class="_ _7"&gt;&lt;/span&gt;me&lt;span class="_ _7"&gt;&lt;/span&gt;nt du&lt;span class="_ _7"&gt;&lt;/span&gt;e &lt;/span&gt;&lt;span style="display:inherit;clear:left;"&gt;dat&lt;span class="_ _7"&gt;&lt;/span&gt;es o&lt;span class="_ _7"&gt;&lt;/span&gt;f 60&lt;span class="_ _7"&gt;&lt;/span&gt;–&lt;span class="_ _2"&gt;&lt;/span&gt;75 (60&lt;span class="_ _7"&gt;&lt;/span&gt;–&lt;span class="_ _2"&gt;&lt;/span&gt;75) da&lt;span class="_ _7"&gt;&lt;/span&gt;ys a&lt;span class="_ _7"&gt;&lt;/span&gt;f&lt;span class="_ _7"&gt;&lt;/span&gt;ter t&lt;span class="_ _7"&gt;&lt;/span&gt;he in&lt;span class="_ _7"&gt;&lt;/span&gt;voi&lt;span class="_ _7"&gt;&lt;/span&gt;ce d&lt;span class="_ _7"&gt;&lt;/span&gt;ate.&lt;/span&gt;&lt;span style="display:inherit;clear:left;"&gt;All p&lt;span class="_ _7"&gt;&lt;/span&gt;aya&lt;span class="_ _7"&gt;&lt;/span&gt;ble&lt;span class="_ _7"&gt;&lt;/span&gt;s in&lt;span class="_ _7"&gt;&lt;/span&gt;clu&lt;span class="_ _7"&gt;&lt;/span&gt;de&lt;span class="_ _7"&gt;&lt;/span&gt;d in th&lt;span class="_ _7"&gt;&lt;/span&gt;e pr&lt;span class="_ _7"&gt;&lt;/span&gt;og&lt;span class="_ _7"&gt;&lt;/span&gt;ra&lt;span class="_ _7"&gt;&lt;/span&gt;mme&lt;span class="_ _7"&gt;&lt;/span&gt;s&lt;span class="_ _7"&gt;&lt;/span&gt;, in&lt;span class="_ _7"&gt;&lt;/span&gt;clu&lt;span class="_ _7"&gt;&lt;/span&gt;di&lt;span class="_ _7"&gt;&lt;/span&gt;ng in&lt;span class="_ _7"&gt;&lt;/span&gt;for&lt;span class="_ _7"&gt;&lt;/span&gt;ma&lt;span class="_ _7"&gt;&lt;/span&gt;tio&lt;span class="_ _7"&gt;&lt;/span&gt;n &lt;/span&gt;&lt;span style="display:inherit;clear:left;"&gt;on p&lt;span class="_ _7"&gt;&lt;/span&gt;aym&lt;span class="_ _7"&gt;&lt;/span&gt;en&lt;span class="_ _7"&gt;&lt;/span&gt;t st&lt;span class="_ _7"&gt;&lt;/span&gt;atu&lt;span class="_ _7"&gt;&lt;/span&gt;s b&lt;span class="_ _7"&gt;&lt;/span&gt;et&lt;span class="_ _7"&gt;&lt;/span&gt;we&lt;span class="_ _7"&gt;&lt;/span&gt;en th&lt;span class="_ _7"&gt;&lt;/span&gt;e fi&lt;span class="_ _7"&gt;&lt;/span&gt;na&lt;span class="_ _7"&gt;&lt;/span&gt;nci&lt;span class="_ _7"&gt;&lt;/span&gt;al i&lt;span class="_ _7"&gt;&lt;/span&gt;ns&lt;span class="_ _7"&gt;&lt;/span&gt;ti&lt;span class="_ _7"&gt;&lt;/span&gt;tut&lt;span class="_ _7"&gt;&lt;/span&gt;ion a&lt;span class="_ _7"&gt;&lt;/span&gt;nd s&lt;span class="_ _7"&gt;&lt;/span&gt;up&lt;span class="_ _7"&gt;&lt;/span&gt;pli&lt;span class="_ _7"&gt;&lt;/span&gt;er&lt;span class="_ _7"&gt;&lt;/span&gt;s&lt;span class="_ _7"&gt;&lt;/span&gt;, &lt;/span&gt;&lt;span style="display:inherit;clear:left;"&gt;are i&lt;span class="_ _7"&gt;&lt;/span&gt;nc&lt;span class="_ _7"&gt;&lt;/span&gt;lud&lt;span class="_ _7"&gt;&lt;/span&gt;ed i&lt;span class="_ _7"&gt;&lt;/span&gt;n the t&lt;span class="_ _7"&gt;&lt;/span&gt;ab&lt;span class="_ _7"&gt;&lt;/span&gt;le fo&lt;span class="_ _7"&gt;&lt;/span&gt;r fi&lt;span class="_ _7"&gt;&lt;/span&gt;na&lt;span class="_ _7"&gt;&lt;/span&gt;nci&lt;span class="_ _7"&gt;&lt;/span&gt;al i&lt;span class="_ _7"&gt;&lt;/span&gt;ns&lt;span class="_ _7"&gt;&lt;/span&gt;tr&lt;span class="_ _7"&gt;&lt;/span&gt;um&lt;span class="_ _7"&gt;&lt;/span&gt;ent&lt;span class="_ _7"&gt;&lt;/span&gt;s by c&lt;span class="_ _7"&gt;&lt;/span&gt;ate&lt;span class="_ _7"&gt;&lt;/span&gt;gor&lt;span class="_ _9"&gt;&lt;/span&gt;y and &lt;/span&gt;&lt;span style="display:inherit;clear:left;"&gt;measurement l&lt;span class="_ _2"&gt;&lt;/span&gt;evel&lt;/span&gt;&lt;span style="display:inherit;clear:left;"&gt;Factoring&lt;/span&gt;&lt;span style="display:inherit;clear:left;"&gt;Volvo Ca&lt;span class="_ _7"&gt;&lt;/span&gt;rs c&lt;span class="_ _7"&gt;&lt;/span&gt;us&lt;span class="_ _7"&gt;&lt;/span&gt;tom&lt;span class="_ _7"&gt;&lt;/span&gt;er i&lt;span class="_ _7"&gt;&lt;/span&gt;nvoi&lt;span class="_ _7"&gt;&lt;/span&gt;ce&lt;span class="_ _7"&gt;&lt;/span&gt;s m&lt;span class="_ _7"&gt;&lt;/span&gt;ay be s&lt;span class="_ _7"&gt;&lt;/span&gt;ub&lt;span class="_ _7"&gt;&lt;/span&gt;je&lt;span class="_ _7"&gt;&lt;/span&gt;ct to f&lt;span class="_ _7"&gt;&lt;/span&gt;ac&lt;span class="_ _7"&gt;&lt;/span&gt;tor&lt;span class="_ _7"&gt;&lt;/span&gt;ing w&lt;span class="_ _7"&gt;&lt;/span&gt;ith a &lt;/span&gt;&lt;span style="display:inherit;clear:left;"&gt;fi&lt;span class="_ _7"&gt;&lt;/span&gt;nan&lt;span class="_ _7"&gt;&lt;/span&gt;ci&lt;span class="_ _7"&gt;&lt;/span&gt;al in&lt;span class="_ _7"&gt;&lt;/span&gt;s&lt;span class="_ _7"&gt;&lt;/span&gt;tit&lt;span class="_ _7"&gt;&lt;/span&gt;uti&lt;span class="_ _7"&gt;&lt;/span&gt;on&lt;span class="_ _7"&gt;&lt;/span&gt;. Th&lt;span class="_ _7"&gt;&lt;/span&gt;is e&lt;span class="_ _7"&gt;&lt;/span&gt;na&lt;span class="_ _7"&gt;&lt;/span&gt;ble&lt;span class="_ _7"&gt;&lt;/span&gt;s Volvo C&lt;span class="_ _7"&gt;&lt;/span&gt;ar&lt;span class="_ _7"&gt;&lt;/span&gt;s to re&lt;span class="_ _7"&gt;&lt;/span&gt;ce&lt;span class="_ _7"&gt;&lt;/span&gt;ive p&lt;span class="_ _7"&gt;&lt;/span&gt;ay&lt;span class="_ _7"&gt;&lt;/span&gt;me&lt;span class="_ _7"&gt;&lt;/span&gt;nt fo&lt;span class="_ _7"&gt;&lt;/span&gt;r &lt;/span&gt;&lt;span style="display:inherit;clear:left;"&gt;it&lt;span class="_ _7"&gt;&lt;/span&gt;s re&lt;span class="_ _7"&gt;&lt;/span&gt;ce&lt;span class="_ _7"&gt;&lt;/span&gt;iva&lt;span class="_ _7"&gt;&lt;/span&gt;bl&lt;span class="_ _7"&gt;&lt;/span&gt;e wit&lt;span class="_ _7"&gt;&lt;/span&gt;hin a f&lt;span class="_ _7"&gt;&lt;/span&gt;ew da&lt;span class="_ _7"&gt;&lt;/span&gt;ys a&lt;span class="_ _7"&gt;&lt;/span&gt;f&lt;span class="_ _7"&gt;&lt;/span&gt;ter i&lt;span class="_ _7"&gt;&lt;/span&gt;nvoi&lt;span class="_ _7"&gt;&lt;/span&gt;ci&lt;span class="_ _7"&gt;&lt;/span&gt;ng an&lt;span class="_ _7"&gt;&lt;/span&gt;d thu&lt;span class="_ _7"&gt;&lt;/span&gt;s be a&lt;span class="_ _7"&gt;&lt;/span&gt;ble t&lt;span class="_ _7"&gt;&lt;/span&gt;o &lt;/span&gt;&lt;span style="display:inherit;clear:left;"&gt;re&lt;span class="_ _7"&gt;&lt;/span&gt;lea&lt;span class="_ _7"&gt;&lt;/span&gt;se l&lt;span class="_ _7"&gt;&lt;/span&gt;iq&lt;span class="_ _7"&gt;&lt;/span&gt;uid&lt;span class="_ _7"&gt;&lt;/span&gt;it&lt;span class="_ _7"&gt;&lt;/span&gt;y at a&lt;span class="_ _7"&gt;&lt;/span&gt;n ea&lt;span class="_ _7"&gt;&lt;/span&gt;rli&lt;span class="_ _7"&gt;&lt;/span&gt;er s&lt;span class="_ _7"&gt;&lt;/span&gt;t&lt;span class="_ _7"&gt;&lt;/span&gt;age t&lt;span class="_ _7"&gt;&lt;/span&gt;han w&lt;span class="_ _7"&gt;&lt;/span&gt;ou&lt;span class="_ _7"&gt;&lt;/span&gt;ld oth&lt;span class="_ _7"&gt;&lt;/span&gt;er&lt;span class="_ _7"&gt;&lt;/span&gt;w&lt;span class="_ _7"&gt;&lt;/span&gt;is&lt;span class="_ _7"&gt;&lt;/span&gt;e ha&lt;span class="_ _7"&gt;&lt;/span&gt;ve be&lt;span class="_ _7"&gt;&lt;/span&gt;en &lt;/span&gt;&lt;span style="display:inherit;clear:left;"&gt;the c&lt;span class="_ _7"&gt;&lt;/span&gt;as&lt;span class="_ _7"&gt;&lt;/span&gt;e&lt;span class="_ _7"&gt;&lt;/span&gt;. &lt;/span&gt;&lt;span style="display:inherit;clear:left;"&gt;Supplier financing&lt;span class="_ _2"&gt;&lt;/span&gt; programmes&lt;span class="_ _2"&gt;&lt;/span&gt; &lt;/span&gt;&lt;span style="display:inherit;clear:left;"&gt;Volvo Ca&lt;span class="_ _7"&gt;&lt;/span&gt;rs p&lt;span class="_ _7"&gt;&lt;/span&gt;ar&lt;span class="_ _7"&gt;&lt;/span&gt;t&lt;span class="_ _7"&gt;&lt;/span&gt;ici&lt;span class="_ _7"&gt;&lt;/span&gt;pa&lt;span class="_ _7"&gt;&lt;/span&gt;tes i&lt;span class="_ _7"&gt;&lt;/span&gt;n su&lt;span class="_ _7"&gt;&lt;/span&gt;pp&lt;span class="_ _7"&gt;&lt;/span&gt;lie&lt;span class="_ _7"&gt;&lt;/span&gt;r fi&lt;span class="_ _7"&gt;&lt;/span&gt;na&lt;span class="_ _7"&gt;&lt;/span&gt;nci&lt;span class="_ _7"&gt;&lt;/span&gt;ng pr&lt;span class="_ _7"&gt;&lt;/span&gt;og&lt;span class="_ _7"&gt;&lt;/span&gt;ra&lt;span class="_ _7"&gt;&lt;/span&gt;mm&lt;span class="_ _7"&gt;&lt;/span&gt;es&lt;span class="_ _7"&gt;&lt;/span&gt;. T&lt;span class="_ _7"&gt;&lt;/span&gt;he pr&lt;span class="_ _7"&gt;&lt;/span&gt;in-&lt;/span&gt;&lt;span style="display:inherit;clear:left;"&gt;cip&lt;span class="_ _7"&gt;&lt;/span&gt;al p&lt;span class="_ _7"&gt;&lt;/span&gt;ur&lt;span class="_ _7"&gt;&lt;/span&gt;po&lt;span class="_ _7"&gt;&lt;/span&gt;se o&lt;span class="_ _7"&gt;&lt;/span&gt;f th&lt;span class="_ _7"&gt;&lt;/span&gt;e ar&lt;span class="_ _7"&gt;&lt;/span&gt;ra&lt;span class="_ _7"&gt;&lt;/span&gt;nge&lt;span class="_ _7"&gt;&lt;/span&gt;me&lt;span class="_ _7"&gt;&lt;/span&gt;nt&lt;span class="_ _7"&gt;&lt;/span&gt;s is to f&lt;span class="_ _7"&gt;&lt;/span&gt;aci&lt;span class="_ _7"&gt;&lt;/span&gt;lit&lt;span class="_ _7"&gt;&lt;/span&gt;at&lt;span class="_ _7"&gt;&lt;/span&gt;e ef&lt;span class="_ _7"&gt;&lt;/span&gt;f&lt;span class="_ _7"&gt;&lt;/span&gt;i&lt;span class="_ _7"&gt;&lt;/span&gt;cie&lt;span class="_ _7"&gt;&lt;/span&gt;nt p&lt;span class="_ _7"&gt;&lt;/span&gt;aym&lt;span class="_ _7"&gt;&lt;/span&gt;ent &lt;/span&gt;&lt;span style="display:inherit;clear:left;"&gt;process&lt;span class="_ _7"&gt;&lt;/span&gt;ing a&lt;span class="_ _2"&gt;&lt;/span&gt;nd enable the wi&lt;span class="_ _2"&gt;&lt;/span&gt;lling suppliers to&lt;span class="_ _2"&gt;&lt;/span&gt; receive payments &lt;/span&gt;&lt;span style="display:inherit;clear:left;"&gt;fr&lt;span class="_ _7"&gt;&lt;/span&gt;om th&lt;span class="_ _7"&gt;&lt;/span&gt;e fi&lt;span class="_ _7"&gt;&lt;/span&gt;na&lt;span class="_ _7"&gt;&lt;/span&gt;nci&lt;span class="_ _7"&gt;&lt;/span&gt;al i&lt;span class="_ _7"&gt;&lt;/span&gt;ns&lt;span class="_ _7"&gt;&lt;/span&gt;ti&lt;span class="_ _7"&gt;&lt;/span&gt;tut&lt;span class="_ _7"&gt;&lt;/span&gt;ion&lt;span class="_ _7"&gt;&lt;/span&gt;s b&lt;span class="_ _7"&gt;&lt;/span&gt;efo&lt;span class="_ _7"&gt;&lt;/span&gt;re t&lt;span class="_ _7"&gt;&lt;/span&gt;he in&lt;span class="_ _7"&gt;&lt;/span&gt;voi&lt;span class="_ _7"&gt;&lt;/span&gt;ce du&lt;span class="_ _7"&gt;&lt;/span&gt;e da&lt;span class="_ _7"&gt;&lt;/span&gt;te. T&lt;span class="_ _7"&gt;&lt;/span&gt;he &lt;/span&gt;&lt;span style="display:inherit;clear:left;"&gt;arr&lt;span class="_ _7"&gt;&lt;/span&gt;an&lt;span class="_ _7"&gt;&lt;/span&gt;ge&lt;span class="_ _7"&gt;&lt;/span&gt;men&lt;span class="_ _7"&gt;&lt;/span&gt;t do&lt;span class="_ _7"&gt;&lt;/span&gt;es n&lt;span class="_ _7"&gt;&lt;/span&gt;ot ex&lt;span class="_ _7"&gt;&lt;/span&gt;te&lt;span class="_ _7"&gt;&lt;/span&gt;nd t&lt;span class="_ _7"&gt;&lt;/span&gt;he p&lt;span class="_ _7"&gt;&lt;/span&gt;aym&lt;span class="_ _7"&gt;&lt;/span&gt;en&lt;span class="_ _7"&gt;&lt;/span&gt;t ter&lt;span class="_ _7"&gt;&lt;/span&gt;ms o&lt;span class="_ _7"&gt;&lt;/span&gt;r alte&lt;span class="_ _7"&gt;&lt;/span&gt;r the t&lt;span class="_ _7"&gt;&lt;/span&gt;imi&lt;span class="_ _7"&gt;&lt;/span&gt;ng &lt;/span&gt;&lt;span style="display:inherit;clear:left;"&gt;of th&lt;span class="_ _7"&gt;&lt;/span&gt;e Gr&lt;span class="_ _7"&gt;&lt;/span&gt;oup’s c&lt;span class="_ _7"&gt;&lt;/span&gt;as&lt;span class="_ _7"&gt;&lt;/span&gt;h ou&lt;span class="_ _7"&gt;&lt;/span&gt;t&lt;span class="_ _7"&gt;&lt;/span&gt;flo&lt;span class="_ _7"&gt;&lt;/span&gt;ws b&lt;span class="_ _7"&gt;&lt;/span&gt;eyo&lt;span class="_ _7"&gt;&lt;/span&gt;nd th&lt;span class="_ _7"&gt;&lt;/span&gt;e no&lt;span class="_ _7"&gt;&lt;/span&gt;rm&lt;span class="_ _7"&gt;&lt;/span&gt;al te&lt;span class="_ _7"&gt;&lt;/span&gt;rm&lt;span class="_ _7"&gt;&lt;/span&gt;s ag&lt;span class="_ _7"&gt;&lt;/span&gt;re&lt;span class="_ _7"&gt;&lt;/span&gt;ed w&lt;span class="_ _7"&gt;&lt;/span&gt;ith &lt;/span&gt;&lt;span style="display:inherit;clear:left;"&gt;non-parti&lt;span class="_ _7"&gt;&lt;/span&gt;cipating supp&lt;span class="_ _7"&gt;&lt;/span&gt;liers&lt;span class="_ _7"&gt;&lt;/span&gt;. However&lt;span class="_ _2"&gt;&lt;/span&gt;, par&lt;span class="_ _7"&gt;&lt;/span&gt;ticip&lt;span class="_ _7"&gt;&lt;/span&gt;ating suppli&lt;span class="_ _7"&gt;&lt;/span&gt;ers may &lt;/span&gt;&lt;span style="display:inherit;clear:left;"&gt;under the&lt;span class="_ _2"&gt;&lt;/span&gt; programme, issue invoices earlier&lt;span class="_ _2"&gt;&lt;/span&gt; than under standard &lt;/span&gt;&lt;span style="display:inherit;clear:left;"&gt;commercial practice,&lt;span class="_ _2"&gt;&lt;/span&gt; enabling earlier&lt;span class="_ _2"&gt;&lt;/span&gt; set&lt;span class="_ _7"&gt;&lt;/span&gt;tlement b&lt;span class="_ _2"&gt;&lt;/span&gt;y the financial&lt;span class="_ _2"&gt;&lt;/span&gt; &lt;/span&gt;&lt;span style="display:inherit;clear:left;"&gt;insti&lt;span class="_ _7"&gt;&lt;/span&gt;tution.&lt;/span&gt;&lt;span style="display:inherit;clear:left;"&gt;Status at yea&lt;span class="_ _7"&gt;&lt;/span&gt;r end&lt;/span&gt;</t>
  </si>
  <si>
    <t>f1__s8__6__209-1</t>
  </si>
  <si>
    <t>ifrs-full:DisclosureOfLiquidityRiskExplanatory</t>
  </si>
  <si>
    <t xml:space="preserve">&lt;span style="display:inherit;clear:left;"&gt;Refinancing and liquidity risk management&lt;/span&gt;&lt;span style="display:inherit;clear:left;"&gt;Capital Structure&lt;/span&gt;&lt;span style="display:inherit;clear:left;"&gt;Volvo Ca&lt;span class="_ _7"&gt;&lt;/span&gt;rs s&lt;span class="_ _7"&gt;&lt;/span&gt;ha&lt;span class="_ _7"&gt;&lt;/span&gt;ll m&lt;span class="_ _7"&gt;&lt;/span&gt;ain&lt;span class="_ _7"&gt;&lt;/span&gt;ta&lt;span class="_ _7"&gt;&lt;/span&gt;in a c&lt;span class="_ _7"&gt;&lt;/span&gt;api&lt;span class="_ _7"&gt;&lt;/span&gt;ta&lt;span class="_ _7"&gt;&lt;/span&gt;l s&lt;span class="_ _7"&gt;&lt;/span&gt;tru&lt;span class="_ _7"&gt;&lt;/span&gt;ct&lt;span class="_ _7"&gt;&lt;/span&gt;ure t&lt;span class="_ _7"&gt;&lt;/span&gt;ha&lt;span class="_ _7"&gt;&lt;/span&gt;t ens&lt;span class="_ _7"&gt;&lt;/span&gt;ur&lt;span class="_ _7"&gt;&lt;/span&gt;es a p&lt;span class="_ _7"&gt;&lt;/span&gt;ru&lt;span class="_ _7"&gt;&lt;/span&gt;de&lt;span class="_ _7"&gt;&lt;/span&gt;nt&lt;span class="_ _7"&gt;&lt;/span&gt; &lt;/span&gt;&lt;span style="display:inherit;clear:left;"&gt;ba&lt;span class="_ _7"&gt;&lt;/span&gt;la&lt;span class="_ _7"&gt;&lt;/span&gt;nc&lt;span class="_ _7"&gt;&lt;/span&gt;e bet&lt;span class="_ _7"&gt;&lt;/span&gt;w&lt;span class="_ _7"&gt;&lt;/span&gt;ee&lt;span class="_ _7"&gt;&lt;/span&gt;n fi&lt;span class="_ _7"&gt;&lt;/span&gt;nan&lt;span class="_ _7"&gt;&lt;/span&gt;ci&lt;span class="_ _7"&gt;&lt;/span&gt;al r&lt;span class="_ _7"&gt;&lt;/span&gt;is&lt;span class="_ _7"&gt;&lt;/span&gt;k and c&lt;span class="_ _7"&gt;&lt;/span&gt;o&lt;span class="_ _7"&gt;&lt;/span&gt;st o&lt;span class="_ _7"&gt;&lt;/span&gt;f ca&lt;span class="_ _7"&gt;&lt;/span&gt;pi&lt;span class="_ _7"&gt;&lt;/span&gt;ta&lt;span class="_ _7"&gt;&lt;/span&gt;l whi&lt;span class="_ _7"&gt;&lt;/span&gt;le su&lt;span class="_ _7"&gt;&lt;/span&gt;pp&lt;span class="_ _7"&gt;&lt;/span&gt;or&lt;span class="_ _7"&gt;&lt;/span&gt;t&lt;span class="_ _7"&gt;&lt;/span&gt;ing t&lt;span class="_ _7"&gt;&lt;/span&gt;he&lt;span class="_ _7"&gt;&lt;/span&gt; &lt;/span&gt;&lt;span style="display:inherit;clear:left;"&gt;Group’&lt;span class="_ _2"&gt;&lt;/span&gt;s strategic&lt;span class="_ _2"&gt;&lt;/span&gt; trans&lt;span class="_ _7"&gt;&lt;/span&gt;formation under&lt;span class="_ _2"&gt;&lt;/span&gt; var&lt;span class="_ _7"&gt;&lt;/span&gt;ying mark&lt;span class="_ _2"&gt;&lt;/span&gt;et conditions. &lt;/span&gt;&lt;span style="display:inherit;clear:left;"&gt;Th&lt;span class="_ _7"&gt;&lt;/span&gt;e ca&lt;span class="_ _7"&gt;&lt;/span&gt;pit&lt;span class="_ _7"&gt;&lt;/span&gt;al s&lt;span class="_ _7"&gt;&lt;/span&gt;tr&lt;span class="_ _7"&gt;&lt;/span&gt;uc&lt;span class="_ _7"&gt;&lt;/span&gt;tu&lt;span class="_ _7"&gt;&lt;/span&gt;re s&lt;span class="_ _7"&gt;&lt;/span&gt;hou&lt;span class="_ _7"&gt;&lt;/span&gt;ld e&lt;span class="_ _7"&gt;&lt;/span&gt;ns&lt;span class="_ _7"&gt;&lt;/span&gt;ure Volvo C&lt;span class="_ _7"&gt;&lt;/span&gt;ar&lt;span class="_ _7"&gt;&lt;/span&gt;s m&lt;span class="_ _7"&gt;&lt;/span&gt;ain&lt;span class="_ _7"&gt;&lt;/span&gt;ta&lt;span class="_ _7"&gt;&lt;/span&gt;in&lt;span class="_ _7"&gt;&lt;/span&gt;s st&lt;span class="_ _7"&gt;&lt;/span&gt;ron&lt;span class="_ _7"&gt;&lt;/span&gt;g &lt;/span&gt;&lt;span style="display:inherit;clear:left;"&gt;acc&lt;span class="_ _7"&gt;&lt;/span&gt;e&lt;span class="_ _7"&gt;&lt;/span&gt;s&lt;span class="_ _7"&gt;&lt;/span&gt;s to ca&lt;span class="_ _7"&gt;&lt;/span&gt;pi&lt;span class="_ _7"&gt;&lt;/span&gt;ta&lt;span class="_ _7"&gt;&lt;/span&gt;l mar&lt;span class="_ _7"&gt;&lt;/span&gt;ket&lt;span class="_ _7"&gt;&lt;/span&gt;s an&lt;span class="_ _7"&gt;&lt;/span&gt;d pr&lt;span class="_ _7"&gt;&lt;/span&gt;og&lt;span class="_ _7"&gt;&lt;/span&gt;re&lt;span class="_ _7"&gt;&lt;/span&gt;s&lt;span class="_ _7"&gt;&lt;/span&gt;se&lt;span class="_ _7"&gt;&lt;/span&gt;s tow&lt;span class="_ _7"&gt;&lt;/span&gt;ar&lt;span class="_ _7"&gt;&lt;/span&gt;d ach&lt;span class="_ _7"&gt;&lt;/span&gt;iev&lt;span class="_ _7"&gt;&lt;/span&gt;ing a&lt;span class="_ _7"&gt;&lt;/span&gt;n &lt;/span&gt;&lt;span style="display:inherit;clear:left;"&gt;inve&lt;span class="_ _7"&gt;&lt;/span&gt;s&lt;span class="_ _7"&gt;&lt;/span&gt;tme&lt;span class="_ _7"&gt;&lt;/span&gt;nt-&lt;span class="_ _2"&gt;&lt;/span&gt;g&lt;span class="_ _7"&gt;&lt;/span&gt;ra&lt;span class="_ _7"&gt;&lt;/span&gt;de c&lt;span class="_ _7"&gt;&lt;/span&gt;re&lt;span class="_ _7"&gt;&lt;/span&gt;dit r&lt;span class="_ _7"&gt;&lt;/span&gt;at&lt;span class="_ _7"&gt;&lt;/span&gt;ing&lt;span class="_ _7"&gt;&lt;/span&gt;. Volvo Ca&lt;span class="_ _7"&gt;&lt;/span&gt;rs c&lt;span class="_ _7"&gt;&lt;/span&gt;urr&lt;span class="_ _7"&gt;&lt;/span&gt;en&lt;span class="_ _7"&gt;&lt;/span&gt;t ex&lt;span class="_ _7"&gt;&lt;/span&gt;ter&lt;span class="_ _7"&gt;&lt;/span&gt;na&lt;span class="_ _7"&gt;&lt;/span&gt;l ra&lt;span class="_ _7"&gt;&lt;/span&gt;ting &lt;/span&gt;&lt;span style="display:inherit;clear:left;"&gt;by Mo&lt;span class="_ _7"&gt;&lt;/span&gt;od&lt;span class="_ _7"&gt;&lt;/span&gt;ys i&lt;span class="_ _7"&gt;&lt;/span&gt;s B&lt;span class="_ _7"&gt;&lt;/span&gt;a&lt;span class="_ _2"&gt;&lt;/span&gt;1 a&lt;span class="_ _7"&gt;&lt;/span&gt;nd B&lt;span class="_ _7"&gt;&lt;/span&gt;B+ by Stan&lt;span class="_ _7"&gt;&lt;/span&gt;da&lt;span class="_ _7"&gt;&lt;/span&gt;rd &amp;amp; P&lt;span class="_ _7"&gt;&lt;/span&gt;oo&lt;span class="_ _7"&gt;&lt;/span&gt;r’s&lt;span class="_ _7"&gt;&lt;/span&gt;.&lt;/span&gt;&lt;span style="display:inherit;clear:left;"&gt;Refinancing&lt;span class="_ _2"&gt;&lt;/span&gt; risk management&lt;/span&gt;&lt;span style="display:inherit;clear:left;"&gt;V&lt;span class="_ _2"&gt;&lt;/span&gt;o&lt;span class="_ _7"&gt;&lt;/span&gt;lvo Car Gro&lt;span class="_ _7"&gt;&lt;/span&gt;up F&lt;span class="_ _7"&gt;&lt;/span&gt;in&lt;span class="_ _7"&gt;&lt;/span&gt;anc&lt;span class="_ _7"&gt;&lt;/span&gt;ial Po&lt;span class="_ _7"&gt;&lt;/span&gt;licy Fram&lt;span class="_ _7"&gt;&lt;/span&gt;ework &lt;/span&gt;&lt;span style="display:inherit;clear:left;"&gt;Ref&lt;span class="_ _7"&gt;&lt;/span&gt;in&lt;span class="_ _7"&gt;&lt;/span&gt;an&lt;span class="_ _7"&gt;&lt;/span&gt;cin&lt;span class="_ _7"&gt;&lt;/span&gt;g ri&lt;span class="_ _7"&gt;&lt;/span&gt;sk i&lt;span class="_ _7"&gt;&lt;/span&gt;s the r&lt;span class="_ _7"&gt;&lt;/span&gt;is&lt;span class="_ _7"&gt;&lt;/span&gt;k th&lt;span class="_ _7"&gt;&lt;/span&gt;at Volvo C&lt;span class="_ _7"&gt;&lt;/span&gt;ar do&lt;span class="_ _7"&gt;&lt;/span&gt;e&lt;span class="_ _7"&gt;&lt;/span&gt;s not h&lt;span class="_ _7"&gt;&lt;/span&gt;ave a&lt;span class="_ _7"&gt;&lt;/span&gt;cce&lt;span class="_ _7"&gt;&lt;/span&gt;s&lt;span class="_ _7"&gt;&lt;/span&gt;s to &lt;/span&gt;&lt;span style="display:inherit;clear:left;"&gt;ade&lt;span class="_ _7"&gt;&lt;/span&gt;qu&lt;span class="_ _7"&gt;&lt;/span&gt;ate f&lt;span class="_ _7"&gt;&lt;/span&gt;in&lt;span class="_ _7"&gt;&lt;/span&gt;an&lt;span class="_ _7"&gt;&lt;/span&gt;cin&lt;span class="_ _7"&gt;&lt;/span&gt;g on ac&lt;span class="_ _7"&gt;&lt;/span&gt;ce&lt;span class="_ _7"&gt;&lt;/span&gt;pt&lt;span class="_ _7"&gt;&lt;/span&gt;ab&lt;span class="_ _7"&gt;&lt;/span&gt;le ter&lt;span class="_ _7"&gt;&lt;/span&gt;m&lt;span class="_ _7"&gt;&lt;/span&gt;s at any g&lt;span class="_ _7"&gt;&lt;/span&gt;iv&lt;span class="_ _7"&gt;&lt;/span&gt;en p&lt;span class="_ _7"&gt;&lt;/span&gt;oin&lt;span class="_ _7"&gt;&lt;/span&gt;t. &lt;/span&gt;&lt;span style="display:inherit;clear:left;"&gt;All d&lt;span class="_ _7"&gt;&lt;/span&gt;raw&lt;span class="_ _7"&gt;&lt;/span&gt;dow&lt;span class="_ _7"&gt;&lt;/span&gt;ns o&lt;span class="_ _7"&gt;&lt;/span&gt;n new l&lt;span class="_ _7"&gt;&lt;/span&gt;oa&lt;span class="_ _7"&gt;&lt;/span&gt;ns ar&lt;span class="_ _7"&gt;&lt;/span&gt;e eva&lt;span class="_ _7"&gt;&lt;/span&gt;lu&lt;span class="_ _7"&gt;&lt;/span&gt;ate&lt;span class="_ _7"&gt;&lt;/span&gt;d aga&lt;span class="_ _7"&gt;&lt;/span&gt;in&lt;span class="_ _7"&gt;&lt;/span&gt;st f&lt;span class="_ _7"&gt;&lt;/span&gt;ut&lt;span class="_ _7"&gt;&lt;/span&gt;ur&lt;span class="_ _7"&gt;&lt;/span&gt;e liq&lt;span class="_ _7"&gt;&lt;/span&gt;uid&lt;span class="_ _7"&gt;&lt;/span&gt;it&lt;span class="_ _7"&gt;&lt;/span&gt;y &lt;/span&gt;&lt;span style="display:inherit;clear:left;"&gt;ne&lt;span class="_ _7"&gt;&lt;/span&gt;ed&lt;span class="_ _7"&gt;&lt;/span&gt;s an&lt;span class="_ _7"&gt;&lt;/span&gt;d inve&lt;span class="_ _7"&gt;&lt;/span&gt;s&lt;span class="_ _7"&gt;&lt;/span&gt;tme&lt;span class="_ _7"&gt;&lt;/span&gt;nt p&lt;span class="_ _7"&gt;&lt;/span&gt;la&lt;span class="_ _7"&gt;&lt;/span&gt;ns&lt;span class="_ _7"&gt;&lt;/span&gt;. Volvo C&lt;span class="_ _7"&gt;&lt;/span&gt;ar&lt;span class="_ _7"&gt;&lt;/span&gt;s sh&lt;span class="_ _7"&gt;&lt;/span&gt;ou&lt;span class="_ _7"&gt;&lt;/span&gt;ld fo&lt;span class="_ _7"&gt;&lt;/span&gt;r the c&lt;span class="_ _7"&gt;&lt;/span&gt;om&lt;span class="_ _7"&gt;&lt;/span&gt;ing 12 &lt;/span&gt;&lt;span style="display:inherit;clear:left;"&gt;mo&lt;span class="_ _7"&gt;&lt;/span&gt;nth&lt;span class="_ _7"&gt;&lt;/span&gt;s, a&lt;span class="_ _7"&gt;&lt;/span&gt;t any g&lt;span class="_ _7"&gt;&lt;/span&gt;ive&lt;span class="_ _7"&gt;&lt;/span&gt;n ti&lt;span class="_ _7"&gt;&lt;/span&gt;me, h&lt;span class="_ _7"&gt;&lt;/span&gt;ave av&lt;span class="_ _7"&gt;&lt;/span&gt;ail&lt;span class="_ _7"&gt;&lt;/span&gt;ab&lt;span class="_ _7"&gt;&lt;/span&gt;le c&lt;span class="_ _7"&gt;&lt;/span&gt;omm&lt;span class="_ _7"&gt;&lt;/span&gt;it&lt;span class="_ _7"&gt;&lt;/span&gt;te&lt;span class="_ _7"&gt;&lt;/span&gt;d f&lt;span class="_ _7"&gt;&lt;/span&gt;ina&lt;span class="_ _7"&gt;&lt;/span&gt;nci&lt;span class="_ _7"&gt;&lt;/span&gt;ng fo&lt;span class="_ _7"&gt;&lt;/span&gt;r &lt;/span&gt;&lt;span style="display:inherit;clear:left;"&gt;inve&lt;span class="_ _7"&gt;&lt;/span&gt;s&lt;span class="_ _7"&gt;&lt;/span&gt;tme&lt;span class="_ _7"&gt;&lt;/span&gt;nt&lt;span class="_ _7"&gt;&lt;/span&gt;s an&lt;span class="_ _7"&gt;&lt;/span&gt;d for r&lt;span class="_ _7"&gt;&lt;/span&gt;ep&lt;span class="_ _7"&gt;&lt;/span&gt;ay&lt;span class="_ _7"&gt;&lt;/span&gt;me&lt;span class="_ _7"&gt;&lt;/span&gt;nt of m&lt;span class="_ _7"&gt;&lt;/span&gt;atu&lt;span class="_ _7"&gt;&lt;/span&gt;ri&lt;span class="_ _7"&gt;&lt;/span&gt;ng de&lt;span class="_ _7"&gt;&lt;/span&gt;bt&lt;span class="_ _7"&gt;&lt;/span&gt;. T&lt;span class="_ _2"&gt;&lt;/span&gt;o lim&lt;span class="_ _7"&gt;&lt;/span&gt;it th&lt;span class="_ _7"&gt;&lt;/span&gt;e ri&lt;span class="_ _7"&gt;&lt;/span&gt;sk o&lt;span class="_ _7"&gt;&lt;/span&gt;f &lt;/span&gt;&lt;span style="display:inherit;clear:left;"&gt; &lt;span class="_ _1"&gt;&lt;/span&gt;r&lt;span class="_ _7"&gt;&lt;/span&gt;ef&lt;span class="_ _7"&gt;&lt;/span&gt;in&lt;span class="_ _7"&gt;&lt;/span&gt;anc&lt;span class="_ _7"&gt;&lt;/span&gt;ing&lt;span class="_ _7"&gt;&lt;/span&gt;, de&lt;span class="_ _7"&gt;&lt;/span&gt;bt ma&lt;span class="_ _7"&gt;&lt;/span&gt;tur&lt;span class="_ _7"&gt;&lt;/span&gt;in&lt;span class="_ _7"&gt;&lt;/span&gt;g over t&lt;span class="_ _7"&gt;&lt;/span&gt;he n&lt;span class="_ _7"&gt;&lt;/span&gt;ex&lt;span class="_ _7"&gt;&lt;/span&gt;t 12 mont&lt;span class="_ _7"&gt;&lt;/span&gt;hs s&lt;span class="_ _7"&gt;&lt;/span&gt;ho&lt;span class="_ _7"&gt;&lt;/span&gt;uld n&lt;span class="_ _7"&gt;&lt;/span&gt;ot &lt;/span&gt;&lt;span style="display:inherit;clear:left;"&gt;exce&lt;span class="_ _7"&gt;&lt;/span&gt;ed 25 p&lt;span class="_ _7"&gt;&lt;/span&gt;er ce&lt;span class="_ _7"&gt;&lt;/span&gt;nt o&lt;span class="_ _7"&gt;&lt;/span&gt;f tot&lt;span class="_ _7"&gt;&lt;/span&gt;al d&lt;span class="_ _7"&gt;&lt;/span&gt;ebt&lt;span class="_ _7"&gt;&lt;/span&gt;. &lt;/span&gt;&lt;span style="display:inherit;clear:left;"&gt;Status at yea&lt;span class="_ _7"&gt;&lt;/span&gt;r end&lt;/span&gt;&lt;span style="display:inherit;clear:left;"&gt;At the en&lt;span class="_ _7"&gt;&lt;/span&gt;d of t&lt;span class="_ _7"&gt;&lt;/span&gt;he ye&lt;span class="_ _7"&gt;&lt;/span&gt;ar, the ou&lt;span class="_ _7"&gt;&lt;/span&gt;ts&lt;span class="_ _7"&gt;&lt;/span&gt;t&lt;span class="_ _7"&gt;&lt;/span&gt;an&lt;span class="_ _7"&gt;&lt;/span&gt;din&lt;span class="_ _7"&gt;&lt;/span&gt;g deb&lt;span class="_ _7"&gt;&lt;/span&gt;t of b&lt;span class="_ _7"&gt;&lt;/span&gt;on&lt;span class="_ _7"&gt;&lt;/span&gt;ds a&lt;span class="_ _7"&gt;&lt;/span&gt;nd li&lt;span class="_ _7"&gt;&lt;/span&gt;ab&lt;span class="_ _7"&gt;&lt;/span&gt;ili&lt;span class="_ _7"&gt;&lt;/span&gt;ti&lt;span class="_ _7"&gt;&lt;/span&gt;es &lt;/span&gt;&lt;span style="display:inherit;clear:left;"&gt;to cre&lt;span class="_ _7"&gt;&lt;/span&gt;di&lt;span class="_ _7"&gt;&lt;/span&gt;t in&lt;span class="_ _7"&gt;&lt;/span&gt;st&lt;span class="_ _7"&gt;&lt;/span&gt;itu&lt;span class="_ _7"&gt;&lt;/span&gt;ti&lt;span class="_ _7"&gt;&lt;/span&gt;on&lt;span class="_ _7"&gt;&lt;/span&gt;s, exc&lt;span class="_ _7"&gt;&lt;/span&gt;lud&lt;span class="_ _7"&gt;&lt;/span&gt;ing l&lt;span class="_ _7"&gt;&lt;/span&gt;ea&lt;span class="_ _7"&gt;&lt;/span&gt;se c&lt;span class="_ _7"&gt;&lt;/span&gt;ont&lt;span class="_ _7"&gt;&lt;/span&gt;ra&lt;span class="_ _7"&gt;&lt;/span&gt;ct&lt;span class="_ _7"&gt;&lt;/span&gt;s an&lt;span class="_ _7"&gt;&lt;/span&gt;d tr&lt;span class="_ _7"&gt;&lt;/span&gt;an&lt;span class="_ _7"&gt;&lt;/span&gt;s&lt;span class="_ _7"&gt;&lt;/span&gt;act&lt;span class="_ _7"&gt;&lt;/span&gt;io&lt;span class="_ _7"&gt;&lt;/span&gt;n &lt;/span&gt;&lt;span style="display:inherit;clear:left;"&gt;co&lt;span class="_ _7"&gt;&lt;/span&gt;st&lt;span class="_ _7"&gt;&lt;/span&gt;s&lt;span class="_ _7"&gt;&lt;/span&gt;, in Volvo C&lt;span class="_ _7"&gt;&lt;/span&gt;ar&lt;span class="_ _7"&gt;&lt;/span&gt;s wa&lt;span class="_ _7"&gt;&lt;/span&gt;s SE&lt;span class="fc5"&gt;K 30,790 &lt;/span&gt;(29,&lt;span class="_ _7"&gt;&lt;/span&gt;347) m&lt;span class="_ _7"&gt;&lt;/span&gt;. Dur&lt;span class="_ _7"&gt;&lt;/span&gt;in&lt;span class="_ _7"&gt;&lt;/span&gt;g the ye&lt;span class="_ _7"&gt;&lt;/span&gt;ar &lt;/span&gt;&lt;span style="display:inherit;clear:left;"&gt;bo&lt;span class="_ _7"&gt;&lt;/span&gt;nd an&lt;span class="_ _7"&gt;&lt;/span&gt;d li&lt;span class="_ _7"&gt;&lt;/span&gt;ab&lt;span class="_ _7"&gt;&lt;/span&gt;ili&lt;span class="_ _7"&gt;&lt;/span&gt;tie&lt;span class="_ _7"&gt;&lt;/span&gt;s to cr&lt;span class="_ _7"&gt;&lt;/span&gt;ed&lt;span class="_ _7"&gt;&lt;/span&gt;it i&lt;span class="_ _7"&gt;&lt;/span&gt;ns&lt;span class="_ _7"&gt;&lt;/span&gt;ti&lt;span class="_ _7"&gt;&lt;/span&gt;tut&lt;span class="_ _7"&gt;&lt;/span&gt;ion&lt;span class="_ _7"&gt;&lt;/span&gt;s of S&lt;span class="_ _7"&gt;&lt;/span&gt;EK &lt;span class="fc5 ls1c2 ws21b"&gt;7,&lt;span class="_ _9"&gt;&lt;/span&gt;3&lt;span class="_ _7"&gt;&lt;/span&gt;6&lt;span class="_ _9"&gt;&lt;/span&gt;3&lt;span class="_ _7"&gt;&lt;/span&gt;&lt;/span&gt; (&lt;span class="_ _7"&gt;&lt;/span&gt;7&lt;span class="_ _2"&gt;&lt;/span&gt;,797) m &lt;/span&gt;&lt;span style="display:inherit;clear:left;"&gt;mat&lt;span class="_ _7"&gt;&lt;/span&gt;ur&lt;span class="_ _7"&gt;&lt;/span&gt;ed o&lt;span class="_ _7"&gt;&lt;/span&gt;r wer&lt;span class="_ _7"&gt;&lt;/span&gt;e amo&lt;span class="_ _7"&gt;&lt;/span&gt;r&lt;span class="_ _7"&gt;&lt;/span&gt;ti&lt;span class="_ _7"&gt;&lt;/span&gt;se&lt;span class="_ _7"&gt;&lt;/span&gt;d&lt;span class="_ _7"&gt;&lt;/span&gt;. Th&lt;span class="_ _7"&gt;&lt;/span&gt;e rem&lt;span class="_ _7"&gt;&lt;/span&gt;ai&lt;span class="_ _7"&gt;&lt;/span&gt;nin&lt;span class="_ _7"&gt;&lt;/span&gt;g cre&lt;span class="_ _7"&gt;&lt;/span&gt;di&lt;span class="_ _7"&gt;&lt;/span&gt;t dur&lt;span class="_ _7"&gt;&lt;/span&gt;at&lt;span class="_ _7"&gt;&lt;/span&gt;ion o&lt;span class="_ _7"&gt;&lt;/span&gt;f ou&lt;span class="_ _7"&gt;&lt;/span&gt;t&lt;span class="_ _2"&gt;&lt;/span&gt;-&lt;/span&gt;&lt;span style="display:inherit;clear:left;"&gt;sta&lt;span class="fc5 ls3 ws3"&gt;ndi&lt;span class="_ _7"&gt;&lt;/span&gt;ng de&lt;span class="_ _7"&gt;&lt;/span&gt;bt w&lt;span class="_ _7"&gt;&lt;/span&gt;as 3.&lt;span class="_ _7"&gt;&lt;/span&gt;2 (2&lt;span class="_ _7"&gt;&lt;/span&gt;.9) yea&lt;span class="_ _7"&gt;&lt;/span&gt;rs&lt;span class="_ _7"&gt;&lt;/span&gt;. At ye&lt;span class="_ _7"&gt;&lt;/span&gt;ar en&lt;span class="_ _7"&gt;&lt;/span&gt;d, d&lt;span class="_ _7"&gt;&lt;/span&gt;eb&lt;span class="_ _7"&gt;&lt;/span&gt;t ma&lt;span class="_ _7"&gt;&lt;/span&gt;tur&lt;span class="_ _7"&gt;&lt;/span&gt;ing o&lt;span class="_ _7"&gt;&lt;/span&gt;ver &lt;/span&gt;&lt;/span&gt;&lt;span style="display:inherit;clear:left;"&gt;the n&lt;span class="_ _7"&gt;&lt;/span&gt;ex&lt;span class="_ _7"&gt;&lt;/span&gt;t 12 mon&lt;span class="_ _7"&gt;&lt;/span&gt;ths a&lt;span class="_ _7"&gt;&lt;/span&gt;mo&lt;span class="_ _7"&gt;&lt;/span&gt;unt&lt;span class="_ _7"&gt;&lt;/span&gt;ed to 8 p&lt;span class="_ _7"&gt;&lt;/span&gt;er c&lt;span class="_ _7"&gt;&lt;/span&gt;ent o&lt;span class="_ _7"&gt;&lt;/span&gt;f tot&lt;span class="_ _7"&gt;&lt;/span&gt;al d&lt;span class="_ _7"&gt;&lt;/span&gt;eb&lt;span class="_ _7"&gt;&lt;/span&gt;t.&lt;/span&gt;&lt;span style="display:inherit;clear:left;"&gt;In Ja&lt;span class="_ _7"&gt;&lt;/span&gt;nu&lt;span class="_ _7"&gt;&lt;/span&gt;ar&lt;span class="_ _7"&gt;&lt;/span&gt;y, a EUR 500 m b&lt;span class="_ _7"&gt;&lt;/span&gt;on&lt;span class="_ _7"&gt;&lt;/span&gt;d, i&lt;span class="_ _7"&gt;&lt;/span&gt;s&lt;span class="_ _7"&gt;&lt;/span&gt;su&lt;span class="_ _7"&gt;&lt;/span&gt;ed i&lt;span class="_ _7"&gt;&lt;/span&gt;n 2017&lt;span class="_ _6"&gt;&lt;/span&gt;, w&lt;span class="_ _7"&gt;&lt;/span&gt;as r&lt;span class="_ _7"&gt;&lt;/span&gt;ep&lt;span class="_ _7"&gt;&lt;/span&gt;aid&lt;span class="_ _7"&gt;&lt;/span&gt;.  &lt;/span&gt;&lt;span style="display:inherit;clear:left;"&gt;In Ma&lt;span class="_ _7"&gt;&lt;/span&gt;rch&lt;span class="_ _7"&gt;&lt;/span&gt;, a dr&lt;span class="_ _7"&gt;&lt;/span&gt;awd&lt;span class="_ _7"&gt;&lt;/span&gt;ow&lt;span class="_ _7"&gt;&lt;/span&gt;n of US&lt;span class="_ _7"&gt;&lt;/span&gt;D 43&lt;span class="_ _7"&gt;&lt;/span&gt;8 m was m&lt;span class="_ _7"&gt;&lt;/span&gt;ad&lt;span class="_ _7"&gt;&lt;/span&gt;e un&lt;span class="_ _7"&gt;&lt;/span&gt;de&lt;span class="_ _7"&gt;&lt;/span&gt;r an ex&lt;span class="_ _7"&gt;&lt;/span&gt;is&lt;span class="_ _7"&gt;&lt;/span&gt;tin&lt;span class="_ _7"&gt;&lt;/span&gt;g &lt;/span&gt;&lt;span style="display:inherit;clear:left;"&gt;gr&lt;span class="_ _7"&gt;&lt;/span&gt;ee&lt;span class="_ _7"&gt;&lt;/span&gt;n bil&lt;span class="_ _7"&gt;&lt;/span&gt;at&lt;span class="_ _7"&gt;&lt;/span&gt;er&lt;span class="_ _7"&gt;&lt;/span&gt;al lo&lt;span class="_ _7"&gt;&lt;/span&gt;an f&lt;span class="_ _7"&gt;&lt;/span&gt;aci&lt;span class="_ _7"&gt;&lt;/span&gt;lit&lt;span class="_ _7"&gt;&lt;/span&gt;y. Th&lt;span class="_ _7"&gt;&lt;/span&gt;e fa&lt;span class="_ _7"&gt;&lt;/span&gt;cil&lt;span class="_ _7"&gt;&lt;/span&gt;it&lt;span class="_ _7"&gt;&lt;/span&gt;y wa&lt;span class="_ _7"&gt;&lt;/span&gt;s or&lt;span class="_ _7"&gt;&lt;/span&gt;igi&lt;span class="_ _7"&gt;&lt;/span&gt;na&lt;span class="_ _7"&gt;&lt;/span&gt;lly s&lt;span class="_ _7"&gt;&lt;/span&gt;ign&lt;span class="_ _7"&gt;&lt;/span&gt;ed i&lt;span class="_ _7"&gt;&lt;/span&gt;n &lt;/span&gt;&lt;span style="display:inherit;clear:left;"&gt;2023/2024 and wi&lt;span class="_ _7"&gt;&lt;/span&gt;th fi&lt;span class="_ _7"&gt;&lt;/span&gt;na&lt;span class="_ _7"&gt;&lt;/span&gt;l re&lt;span class="_ _7"&gt;&lt;/span&gt;pay&lt;span class="_ _7"&gt;&lt;/span&gt;me&lt;span class="_ _7"&gt;&lt;/span&gt;nt du&lt;span class="_ _7"&gt;&lt;/span&gt;ri&lt;span class="_ _7"&gt;&lt;/span&gt;ng 2035.  &lt;/span&gt;&lt;span style="display:inherit;clear:left;"&gt;In Ju&lt;span class="_ _7"&gt;&lt;/span&gt;ne&lt;span class="_ _7"&gt;&lt;/span&gt;, EUR 500 m w&lt;span class="_ _7"&gt;&lt;/span&gt;as r&lt;span class="_ _7"&gt;&lt;/span&gt;ai&lt;span class="_ _7"&gt;&lt;/span&gt;se&lt;span class="_ _7"&gt;&lt;/span&gt;d th&lt;span class="_ _7"&gt;&lt;/span&gt;ro&lt;span class="_ _7"&gt;&lt;/span&gt;ugh a g&lt;span class="_ _7"&gt;&lt;/span&gt;re&lt;span class="_ _7"&gt;&lt;/span&gt;en b&lt;span class="_ _7"&gt;&lt;/span&gt;on&lt;span class="_ _7"&gt;&lt;/span&gt;d is&lt;span class="_ _7"&gt;&lt;/span&gt;s&lt;span class="_ _7"&gt;&lt;/span&gt;ua&lt;span class="_ _7"&gt;&lt;/span&gt;nc&lt;span class="_ _7"&gt;&lt;/span&gt;e &lt;/span&gt;&lt;span style="display:inherit;clear:left;"&gt;wit&lt;span class="_ _7"&gt;&lt;/span&gt;h a ten&lt;span class="_ _7"&gt;&lt;/span&gt;or o&lt;span class="_ _7"&gt;&lt;/span&gt;f fo&lt;span class="_ _7"&gt;&lt;/span&gt;ur ye&lt;span class="_ _7"&gt;&lt;/span&gt;ar&lt;span class="_ _7"&gt;&lt;/span&gt;s&lt;span class="_ _7"&gt;&lt;/span&gt;.  &lt;/span&gt;&lt;span style="display:inherit;clear:left;"&gt;In Se&lt;span class="_ _7"&gt;&lt;/span&gt;pte&lt;span class="_ _7"&gt;&lt;/span&gt;mb&lt;span class="_ _7"&gt;&lt;/span&gt;er, a new gr&lt;span class="_ _7"&gt;&lt;/span&gt;ee&lt;span class="_ _7"&gt;&lt;/span&gt;n bi&lt;span class="_ _7"&gt;&lt;/span&gt;la&lt;span class="_ _7"&gt;&lt;/span&gt;ter&lt;span class="_ _7"&gt;&lt;/span&gt;al e&lt;span class="_ _7"&gt;&lt;/span&gt;igh&lt;span class="_ _7"&gt;&lt;/span&gt;t&lt;span class="_ _2"&gt;&lt;/span&gt;-yea&lt;span class="_ _7"&gt;&lt;/span&gt;r lo&lt;span class="_ _7"&gt;&lt;/span&gt;an ag&lt;span class="_ _7"&gt;&lt;/span&gt;re&lt;span class="_ _7"&gt;&lt;/span&gt;em&lt;span class="_ _7"&gt;&lt;/span&gt;ent o&lt;span class="_ _7"&gt;&lt;/span&gt;f &lt;/span&gt;&lt;span style="display:inherit;clear:left;"&gt;EUR 150 m wa&lt;span class="_ _7"&gt;&lt;/span&gt;s sig&lt;span class="_ _7"&gt;&lt;/span&gt;ne&lt;span class="_ _7"&gt;&lt;/span&gt;d&lt;span class="_ _7"&gt;&lt;/span&gt;. Th&lt;span class="_ _7"&gt;&lt;/span&gt;e loa&lt;span class="_ _7"&gt;&lt;/span&gt;n fa&lt;span class="_ _7"&gt;&lt;/span&gt;cil&lt;span class="_ _7"&gt;&lt;/span&gt;it&lt;span class="_ _7"&gt;&lt;/span&gt;y re&lt;span class="_ _7"&gt;&lt;/span&gt;ma&lt;span class="_ _7"&gt;&lt;/span&gt;in&lt;span class="_ _7"&gt;&lt;/span&gt;s und&lt;span class="_ _7"&gt;&lt;/span&gt;r&lt;span class="_ _7"&gt;&lt;/span&gt;awn a&lt;span class="_ _7"&gt;&lt;/span&gt;s of th&lt;span class="_ _7"&gt;&lt;/span&gt;e &lt;/span&gt;&lt;span style="display:inherit;clear:left;"&gt;en&lt;span class="_ _7"&gt;&lt;/span&gt;d o&lt;span class="_ _7"&gt;&lt;/span&gt;f 2025&lt;span class="_ _7"&gt;&lt;/span&gt;.&lt;/span&gt;&lt;span style="display:inherit;clear:left;"&gt;In O&lt;span class="_ _7"&gt;&lt;/span&gt;cto&lt;span class="_ _7"&gt;&lt;/span&gt;be&lt;span class="_ _7"&gt;&lt;/span&gt;r&lt;span class="_ _2"&gt;&lt;/span&gt;, an e&lt;span class="_ _7"&gt;&lt;/span&gt;xi&lt;span class="_ _7"&gt;&lt;/span&gt;st&lt;span class="_ _7"&gt;&lt;/span&gt;ing e&lt;span class="_ _7"&gt;&lt;/span&gt;igh&lt;span class="_ _7"&gt;&lt;/span&gt;t&lt;span class="_ _2"&gt;&lt;/span&gt;-yea&lt;span class="_ _7"&gt;&lt;/span&gt;r cre&lt;span class="_ _7"&gt;&lt;/span&gt;di&lt;span class="_ _7"&gt;&lt;/span&gt;t fa&lt;span class="_ _7"&gt;&lt;/span&gt;cil&lt;span class="_ _7"&gt;&lt;/span&gt;it&lt;span class="_ _7"&gt;&lt;/span&gt;y am&lt;span class="_ _7"&gt;&lt;/span&gt;ou&lt;span class="_ _7"&gt;&lt;/span&gt;nti&lt;span class="_ _7"&gt;&lt;/span&gt;ng to CN&lt;span class="_ _7"&gt;&lt;/span&gt;Y &lt;/span&gt;&lt;span style="display:inherit;clear:left;"&gt;3,09&lt;span class="_ _7"&gt;&lt;/span&gt;0 m wa&lt;span class="_ _7"&gt;&lt;/span&gt;s ter&lt;span class="_ _7"&gt;&lt;/span&gt;min&lt;span class="_ _7"&gt;&lt;/span&gt;ate&lt;span class="_ _7"&gt;&lt;/span&gt;d&lt;span class="_ _7"&gt;&lt;/span&gt;.  &lt;/span&gt;&lt;span style="display:inherit;clear:left;"&gt;In Nov&lt;span class="_ _7"&gt;&lt;/span&gt;em&lt;span class="_ _7"&gt;&lt;/span&gt;be&lt;span class="_ _7"&gt;&lt;/span&gt;r&lt;span class="_ _2"&gt;&lt;/span&gt;, th&lt;span class="_ _7"&gt;&lt;/span&gt;e fi&lt;span class="_ _7"&gt;&lt;/span&gt;r&lt;span class="_ _7"&gt;&lt;/span&gt;st ex&lt;span class="_ _7"&gt;&lt;/span&gt;te&lt;span class="_ _7"&gt;&lt;/span&gt;ns&lt;span class="_ _7"&gt;&lt;/span&gt;io&lt;span class="_ _7"&gt;&lt;/span&gt;n op&lt;span class="_ _7"&gt;&lt;/span&gt;tio&lt;span class="_ _7"&gt;&lt;/span&gt;n on th&lt;span class="_ _7"&gt;&lt;/span&gt;e ex&lt;span class="_ _7"&gt;&lt;/span&gt;is&lt;span class="_ _7"&gt;&lt;/span&gt;tin&lt;span class="_ _7"&gt;&lt;/span&gt;g su&lt;span class="_ _7"&gt;&lt;/span&gt;st&lt;span class="_ _7"&gt;&lt;/span&gt;ai&lt;span class="_ _7"&gt;&lt;/span&gt;na-&lt;/span&gt;&lt;span style="display:inherit;clear:left;"&gt;bil&lt;span class="_ _7"&gt;&lt;/span&gt;it&lt;span class="_ _7"&gt;&lt;/span&gt;y-li&lt;span class="_ _7"&gt;&lt;/span&gt;nked R&lt;span class="_ _7"&gt;&lt;/span&gt;evol&lt;span class="_ _7"&gt;&lt;/span&gt;vin&lt;span class="_ _7"&gt;&lt;/span&gt;g Cre&lt;span class="_ _7"&gt;&lt;/span&gt;di&lt;span class="_ _7"&gt;&lt;/span&gt;t Faci&lt;span class="_ _7"&gt;&lt;/span&gt;li&lt;span class="_ _7"&gt;&lt;/span&gt;tie&lt;span class="_ _7"&gt;&lt;/span&gt;s wa&lt;span class="_ _7"&gt;&lt;/span&gt;s exer&lt;span class="_ _7"&gt;&lt;/span&gt;cis&lt;span class="_ _7"&gt;&lt;/span&gt;e&lt;span class="_ _7"&gt;&lt;/span&gt;d, ex&lt;span class="_ _7"&gt;&lt;/span&gt;t&lt;span class="_ _7"&gt;&lt;/span&gt;end&lt;span class="_ _7"&gt;&lt;/span&gt;ing &lt;/span&gt;&lt;span style="display:inherit;clear:left;"&gt;mat&lt;span class="_ _7"&gt;&lt;/span&gt;ur&lt;span class="_ _7"&gt;&lt;/span&gt;iti&lt;span class="_ _7"&gt;&lt;/span&gt;es b&lt;span class="_ _7"&gt;&lt;/span&gt;y on&lt;span class="_ _7"&gt;&lt;/span&gt;e yea&lt;span class="_ _7"&gt;&lt;/span&gt;r&lt;span class="_ _2"&gt;&lt;/span&gt;. T&lt;span class="_ _7"&gt;&lt;/span&gt;he up&lt;span class="_ _7"&gt;&lt;/span&gt;da&lt;span class="_ _7"&gt;&lt;/span&gt;ted m&lt;span class="_ _7"&gt;&lt;/span&gt;at&lt;span class="_ _7"&gt;&lt;/span&gt;uri&lt;span class="_ _7"&gt;&lt;/span&gt;ti&lt;span class="_ _7"&gt;&lt;/span&gt;es f&lt;span class="_ _7"&gt;&lt;/span&gt;or th&lt;span class="_ _7"&gt;&lt;/span&gt;e Revo&lt;span class="_ _7"&gt;&lt;/span&gt;lv&lt;span class="_ _7"&gt;&lt;/span&gt;ing &lt;/span&gt;&lt;span style="display:inherit;clear:left;"&gt;Cre&lt;span class="_ _7"&gt;&lt;/span&gt;di&lt;span class="_ _7"&gt;&lt;/span&gt;t Faci&lt;span class="_ _7"&gt;&lt;/span&gt;lit&lt;span class="_ _7"&gt;&lt;/span&gt;ie&lt;span class="_ _7"&gt;&lt;/span&gt;s of EU&lt;span class="_ _7"&gt;&lt;/span&gt;R 500 m a&lt;span class="_ _7"&gt;&lt;/span&gt;nd EUR 1&lt;span class="_ _7"&gt;&lt;/span&gt;,50&lt;span class="_ _7"&gt;&lt;/span&gt;0 m are i&lt;span class="_ _7"&gt;&lt;/span&gt;n 2028 and &lt;/span&gt;&lt;span style="display:inherit;clear:left;"&gt;2030, re&lt;span class="_ _7"&gt;&lt;/span&gt;sp&lt;span class="_ _7"&gt;&lt;/span&gt;ec&lt;span class="_ _7"&gt;&lt;/span&gt;ti&lt;span class="_ _7"&gt;&lt;/span&gt;vely.&lt;/span&gt;&lt;span style="display:inherit;clear:left;"&gt;Th&lt;span class="_ _7"&gt;&lt;/span&gt;e tab&lt;span class="_ _7"&gt;&lt;/span&gt;le b&lt;span class="_ _7"&gt;&lt;/span&gt;el&lt;span class="_ _7"&gt;&lt;/span&gt;ow pr&lt;span class="_ _7"&gt;&lt;/span&gt;es&lt;span class="_ _7"&gt;&lt;/span&gt;en&lt;span class="_ _7"&gt;&lt;/span&gt;ts t&lt;span class="_ _7"&gt;&lt;/span&gt;he o&lt;span class="_ _7"&gt;&lt;/span&gt;ut&lt;span class="_ _7"&gt;&lt;/span&gt;st&lt;span class="_ _7"&gt;&lt;/span&gt;an&lt;span class="_ _7"&gt;&lt;/span&gt;di&lt;span class="_ _7"&gt;&lt;/span&gt;ng de&lt;span class="_ _7"&gt;&lt;/span&gt;bt&lt;span class="_ _7"&gt;&lt;/span&gt;.&lt;/span&gt;&lt;span style="display:inherit;clear:left;position:relative;height:188.55078125px;"&gt;&lt;span class="pp-font-color-override-1" style="position: absolute; display: inline-block; left: 301.094px; top: 0.0039062px; width: 37.998px; white-space: pre; word-spacing: -0.1728px; letter-spacing: 0.1728px; margin-left: 0px; font-size: 9.6px; font-family: ff93; -webkit-text-stroke: 0.144px rgba(0, 0, 0, 0);"&gt;&lt;span style="display: inline-block;"&gt;Nominal&lt;/span&gt;&lt;span class="pp-font-color-override-1" style="word-spacing: 0px; letter-spacing: 0px; display: inline-block; margin-left: 0px; font-size: 9.6px; font-family: ff93; -webkit-text-stroke: 0.144px rgba(0, 0, 0, 0);"&gt;&lt;span style="display: inline-block;"&gt;-&lt;/span&gt;&lt;/span&gt;&lt;/span&gt;&lt;span class="pp-font-color-override-1" style="position: absolute; display: inline-block; left: 186.906px; top: 10.5039px; width: 79.6348px; white-space: pre; word-spacing: -0.1728px; letter-spacing: 0.1728px; margin-left: 0px; font-size: 9.6px; font-family: ff93; -webkit-text-stroke: 0.144px rgba(0, 0, 0, 0);"&gt;&lt;span style="display: inline-block;"&gt;Nominal amount in &lt;/span&gt;&lt;/span&gt;&lt;span class="pp-font-color-override-1" style="position: absolute; display: inline-block; left: 297.891px; top: 10.5039px; width: 41.8828px; white-space: pre; word-spacing: 0px; letter-spacing: 0px; margin-left: 0px; font-size: 9.6px; font-family: ff93; -webkit-text-stroke: 0.144px rgba(0, 0, 0, 0);"&gt;&lt;span style="display: inline-block;"&gt;am&lt;/span&gt;&lt;span style="word-spacing: 0px; letter-spacing: 0px; display: inline-block; margin-left: 0px; width: 0.410156px; font-size: 9.6px; font-family: ff93; -webkit-text-stroke: 0.144px rgba(0, 0, 0, 0);"&gt;&lt;/span&gt;&lt;span style="display: inline-block;"&gt;oun&lt;/span&gt;&lt;span style="word-spacing: 0px; letter-spacing: 0px; display: inline-block; margin-left: 0px; width: 0.410156px; font-size: 9.6px; font-family: ff93; -webkit-text-stroke: 0.144px rgba(0, 0, 0, 0);"&gt;&lt;/span&gt;&lt;span style="display: inline-block;"&gt;t in &lt;/span&gt;&lt;/span&gt;&lt;span class="pp-font-color-override-1" style="position: absolute; display: inline-block; left: 0px; top: 21.0039px; width: 141.902px; white-space: pre; word-spacing: -0.192px; letter-spacing: 0.192px; margin-left: 0px; font-size: 9.6px; font-family: ff94; -webkit-text-stroke: 0.144px rgba(0, 0, 0, 0);"&gt;&lt;span style="display: inline-block;"&gt;Funding&lt;/span&gt;&lt;span style="word-spacing: -0.192px; letter-spacing: 0.192px; display: inline-block; margin-left: 0px; width: 71.6134px; font-size: 9.6px; font-family: ff94; -webkit-text-stroke: 0.144px rgba(0, 0, 0, 0);"&gt;&lt;span style="display: inline-block;"&gt; &lt;/span&gt;&lt;/span&gt;&lt;span class="pp-font-color-override-1" style="word-spacing: -0.1536px; letter-spacing: 0.1536px; display: inline-block; margin-left: 0px; font-size: 9.6px; font-family: ff93; -webkit-text-stroke: 0.144px rgba(0, 0, 0, 0);"&gt;&lt;span style="display: inline-block;"&gt;Currency&lt;/span&gt;&lt;/span&gt;&lt;/span&gt;&lt;span class="pp-font-color-override-1" style="position: absolute; display: inline-block; left: 187.984px; top: 21.0039px; width: 76.418px; white-space: pre; word-spacing: 0px; letter-spacing: 0px; margin-left: 0px; font-size: 9.6px; font-family: ff93; -webkit-text-stroke: 0.144px rgba(0, 0, 0, 0);"&gt;&lt;span style="display: inline-block;"&gt;loc&lt;/span&gt;&lt;span style="word-spacing: 0px; letter-spacing: 0px; display: inline-block; margin-left: 0px; width: 0.410156px; font-size: 9.6px; font-family: ff93; -webkit-text-stroke: 0.144px rgba(0, 0, 0, 0);"&gt;&lt;/span&gt;&lt;span style="display: inline-block;"&gt;a&lt;/span&gt;&lt;span style="word-spacing: 0px; letter-spacing: 0px; display: inline-block; margin-left: 0px; width: 0.410156px; font-size: 9.6px; font-family: ff93; -webkit-text-stroke: 0.144px rgba(0, 0, 0, 0);"&gt;&lt;/span&gt;&lt;span style="display: inline-block;"&gt;l  cur&lt;/span&gt;&lt;span style="word-spacing: 0px; letter-spacing: 0px; display: inline-block; margin-left: 0px; width: 0.410156px; font-size: 9.6px; font-family: ff93; -webkit-text-stroke: 0.144px rgba(0, 0, 0, 0);"&gt;&lt;/span&gt;&lt;span style="display: inline-block;"&gt;re&lt;/span&gt;&lt;span style="word-spacing: 0px; letter-spacing: 0px; display: inline-block; margin-left: 0px; width: 0.410156px; font-size: 9.6px; font-family: ff93; -webkit-text-stroke: 0.144px rgba(0, 0, 0, 0);"&gt;&lt;/span&gt;&lt;span style="display: inline-block;"&gt;nc&lt;/span&gt;&lt;span style="word-spacing: 0px; letter-spacing: 0px; display: inline-block; margin-left: 0px; width: 0.410156px; font-size: 9.6px; font-family: ff93; -webkit-text-stroke: 0.144px rgba(0, 0, 0, 0);"&gt;&lt;/span&gt;&lt;span style="display: inline-block;"&gt;y (M)&lt;/span&gt;&lt;/span&gt;&lt;span class="pp-font-color-override-1" style="position: absolute; display: inline-block; left: 308.406px; top: 21.0039px; width: 35.4609px; white-space: pre; word-spacing: 0px; letter-spacing: 0px; margin-left: 0px; font-size: 9.6px; font-family: ff93; -webkit-text-stroke: 0.144px rgba(0, 0, 0, 0);"&gt;&lt;span style="display: inline-block;"&gt;SEK (M)&lt;/span&gt;&lt;/span&gt;&lt;span class="pp-font-color-override-1" style="position: absolute; display: inline-block; left: 0px; top: 44.3535px; width: 106.348px; white-space: pre; word-spacing: -0.147px; letter-spacing: 0.1785px; margin-left: 0px; font-size: 10.5px; font-family: ff95; -webkit-text-stroke: 0.1575px rgba(0, 0, 0, 0);"&gt;&lt;span style="display: inline-block;"&gt;Bank loan&lt;/span&gt;&lt;span style="word-spacing: -0.147px; letter-spacing: 0.1785px; display: inline-block; margin-left: 0px; width: 62.0216px; font-size: 10.5px; font-family: ff95; -webkit-text-stroke: 0.1575px rgba(0, 0, 0, 0);"&gt;&lt;span style="display: inline-block;"&gt; &lt;/span&gt;&lt;/span&gt;&lt;/span&gt;&lt;span class="pp-font-color-override-1" style="position: absolute; display: inline-block; left: 106.348px; top: 44.3535px; width: 228.627px; white-space: pre; word-spacing: -0.1575px; letter-spacing: 0.1575px; margin-left: 0px; font-size: 10.5px; font-family: ff95; -webkit-text-stroke: 0.1575px rgba(0, 0, 0, 0);"&gt;&lt;span style="display: inline-block;"&gt;USD&lt;/span&gt;&lt;span style="word-spacing: -0.1575px; letter-spacing: 0.1575px; display: inline-block; margin-left: 0px; width: 127.014px; font-size: 10.5px; font-family: ff95; -webkit-text-stroke: 0.1575px rgba(0, 0, 0, 0);"&gt;&lt;span style="display: inline-block;"&gt; &lt;/span&gt;&lt;/span&gt;&lt;span class="pp-font-color-override-1" style="word-spacing: -0.042px; letter-spacing: 0.042px; display: inline-block; margin-left: 0px; font-size: 10.5px; font-family: ff95; -webkit-text-stroke: 0.1575px rgba(0, 0, 0, 0);"&gt;&lt;span style="display: inline-block;"&gt;23&lt;/span&gt;&lt;span style="word-spacing: -0.042px; letter-spacing: 0.042px; display: inline-block; margin-left: 0px; width: 53.6659px; font-size: 10.5px; font-family: ff95; -webkit-text-stroke: 0.1575px rgba(0, 0, 0, 0);"&gt;&lt;span style="display: inline-block;"&gt; &lt;/span&gt;&lt;/span&gt;&lt;span class="pp-font-color-override-1" style="word-spacing: 0.0945px; letter-spacing: -0.0945px; display: inline-block; margin-left: 0px; font-size: 10.5px; font-family: ff95; -webkit-text-stroke: 0.1575px rgba(0, 0, 0, 0);"&gt;&lt;span style="display: inline-block;"&gt;2&lt;/span&gt;&lt;span style="word-spacing: 0.0945px; letter-spacing: -0.0945px; display: inline-block; margin-left: 0px; width: 0.410156px; font-size: 10.5px; font-family: ff95; -webkit-text-stroke: 0.1575px rgba(0, 0, 0, 0);"&gt;&lt;/span&gt;&lt;span style="display: inline-block;"&gt;15&lt;/span&gt;&lt;/span&gt;&lt;/span&gt;&lt;/span&gt;&lt;span class="pp-font-color-override-1" style="position: absolute; display: inline-block; left: 0px; top: 61.0098px; width: 106.348px; white-space: pre; word-spacing: -0.147px; letter-spacing: 0.1785px; margin-left: 0px; font-size: 10.5px; font-family: ff95; -webkit-text-stroke: 0.1575px rgba(0, 0, 0, 0);"&gt;&lt;span style="display: inline-block;"&gt;Bank loan&lt;/span&gt;&lt;span style="word-spacing: -0.147px; letter-spacing: 0.1785px; display: inline-block; margin-left: 0px; width: 62.0216px; font-size: 10.5px; font-family: ff95; -webkit-text-stroke: 0.1575px rgba(0, 0, 0, 0);"&gt;&lt;span style="display: inline-block;"&gt; &lt;/span&gt;&lt;/span&gt;&lt;/span&gt;&lt;span class="pp-font-color-override-1" style="position: absolute; display: inline-block; left: 106.348px; top: 61.0098px; width: 226.564px; white-space: pre; word-spacing: -0.042px; letter-spacing: 0.042px; margin-left: 0px; font-size: 10.5px; font-family: ff95; -webkit-text-stroke: 0.1575px rgba(0, 0, 0, 0);"&gt;&lt;span style="display: inline-block;"&gt;SEK&lt;/span&gt;&lt;span style="word-spacing: -0.042px; letter-spacing: 0.042px; display: inline-block; margin-left: 0px; width: 123.006px; font-size: 10.5px; font-family: ff95; -webkit-text-stroke: 0.1575px rgba(0, 0, 0, 0);"&gt;&lt;span style="display: inline-block;"&gt; &lt;/span&gt;&lt;/span&gt;&lt;span class="pp-font-color-override-1" style="word-spacing: -0.0315px; letter-spacing: 0.0315px; display: inline-block; margin-left: 0px; font-size: 10.5px; font-family: ff95; -webkit-text-stroke: 0.1575px rgba(0, 0, 0, 0);"&gt;&lt;span style="display: inline-block;"&gt;357&lt;/span&gt;&lt;span style="word-spacing: -0.0315px; letter-spacing: 0.0315px; display: inline-block; margin-left: 0px; width: 51.8966px; font-size: 10.5px; font-family: ff95; -webkit-text-stroke: 0.1575px rgba(0, 0, 0, 0);"&gt;&lt;span style="display: inline-block;"&gt; &lt;/span&gt;&lt;/span&gt;&lt;span style="display: inline-block;"&gt;357&lt;/span&gt;&lt;/span&gt;&lt;/span&gt;&lt;span class="pp-font-color-override-1" style="position: absolute; display: inline-block; left: 71.6875px; top: 77.418px; width: 5.07422px; white-space: pre; word-spacing: 0.012243px; letter-spacing: -0.012243px; margin-left: 0px; font-size: 6.1215px; font-family: ff95; -webkit-text-stroke: 0.0918225px rgba(0, 0, 0, 0);"&gt;&lt;span style="display: inline-block;"&gt;1)&lt;/span&gt;&lt;/span&gt;&lt;span class="pp-font-color-override-1" style="position: absolute; display: inline-block; left: 0px; top: 77.5723px; width: 65.9941px; white-space: pre; word-spacing: 0px; letter-spacing: 0.0315px; margin-left: 0px; font-size: 10.5px; font-family: ff95; -webkit-text-stroke: 0.1575px rgba(0, 0, 0, 0);"&gt;&lt;span style="display: inline-block;"&gt;Ba&lt;/span&gt;&lt;span style="word-spacing: 0px; letter-spacing: 0.0315px; display: inline-block; margin-left: 0px; width: 0.410156px; font-size: 10.5px; font-family: ff95; -webkit-text-stroke: 0.1575px rgba(0, 0, 0, 0);"&gt;&lt;/span&gt;&lt;span style="display: inline-block;"&gt;nk lo&lt;/span&gt;&lt;span style="word-spacing: 0px; letter-spacing: 0.0315px; display: inline-block; margin-left: 0px; width: 0.410156px; font-size: 10.5px; font-family: ff95; -webkit-text-stroke: 0.1575px rgba(0, 0, 0, 0);"&gt;&lt;/span&gt;&lt;span style="display: inline-block;"&gt;an GFF&lt;/span&gt;&lt;/span&gt;&lt;span class="pp-font-color-override-1" style="position: absolute; display: inline-block; left: 111.078px; top: 77.5723px; width: 224.566px; white-space: pre; word-spacing: -0.042px; letter-spacing: 0.042px; margin-left: 0px; font-size: 10.5px; font-family: ff95; -webkit-text-stroke: 0.1575px rgba(0, 0, 0, 0);"&gt;&lt;span style="display: inline-block;"&gt;SEK&lt;/span&gt;&lt;span style="word-spacing: -0.042px; letter-spacing: 0.042px; display: inline-block; margin-left: 0px; width: 113.431px; font-size: 10.5px; font-family: ff95; -webkit-text-stroke: 0.1575px rgba(0, 0, 0, 0);"&gt;&lt;span style="display: inline-block;"&gt; &lt;/span&gt;&lt;/span&gt;&lt;span class="pp-font-color-override-1" style="word-spacing: -0.189px; letter-spacing: 0.189px; display: inline-block; margin-left: 0px; font-size: 10.5px; font-family: ff95; -webkit-text-stroke: 0.1575px rgba(0, 0, 0, 0);"&gt;&lt;span style="display: inline-block;"&gt;1,000&lt;/span&gt;&lt;span style="word-spacing: -0.189px; letter-spacing: 0.189px; display: inline-block; margin-left: 0px; width: 42.0232px; font-size: 10.5px; font-family: ff95; -webkit-text-stroke: 0.1575px rgba(0, 0, 0, 0);"&gt;&lt;span style="display: inline-block;"&gt; &lt;/span&gt;&lt;/span&gt;&lt;span style="display: inline-block;"&gt;1,000&lt;/span&gt;&lt;/span&gt;&lt;/span&gt;&lt;span class="pp-font-color-override-1" style="position: absolute; display: inline-block; left: 71.6875px; top: 93.9805px; width: 5.07422px; white-space: pre; word-spacing: 0.012243px; letter-spacing: -0.012243px; margin-left: 0px; font-size: 6.1215px; font-family: ff95; -webkit-text-stroke: 0.0918225px rgba(0, 0, 0, 0);"&gt;&lt;span style="display: inline-block;"&gt;1)&lt;/span&gt;&lt;/span&gt;&lt;span class="pp-font-color-override-1" style="position: absolute; display: inline-block; left: 0px; top: 94.1348px; width: 65.9941px; white-space: pre; word-spacing: 0px; letter-spacing: 0.0315px; margin-left: 0px; font-size: 10.5px; font-family: ff95; -webkit-text-stroke: 0.1575px rgba(0, 0, 0, 0);"&gt;&lt;span style="display: inline-block;"&gt;Ba&lt;/span&gt;&lt;span style="word-spacing: 0px; letter-spacing: 0.0315px; display: inline-block; margin-left: 0px; width: 0.410156px; font-size: 10.5px; font-family: ff95; -webkit-text-stroke: 0.1575px rgba(0, 0, 0, 0);"&gt;&lt;/span&gt;&lt;span style="display: inline-block;"&gt;nk lo&lt;/span&gt;&lt;span style="word-spacing: 0px; letter-spacing: 0.0315px; display: inline-block; margin-left: 0px; width: 0.410156px; font-size: </t>
  </si>
  <si>
    <t>f1__s8__6__21</t>
  </si>
  <si>
    <t>ifrs-full:DisclosureOfBasisOfConsolidationExplanatory</t>
  </si>
  <si>
    <t>&lt;span style="display:inherit;clear:left;"&gt;Basis of consolidat&lt;span class="_ _2"&gt;&lt;/span&gt;ion&lt;/span&gt;&lt;span style="display:inherit;clear:left;"&gt;Th&lt;span class="_ _7"&gt;&lt;/span&gt;e con&lt;span class="_ _7"&gt;&lt;/span&gt;s&lt;span class="_ _7"&gt;&lt;/span&gt;oli&lt;span class="_ _7"&gt;&lt;/span&gt;da&lt;span class="_ _7"&gt;&lt;/span&gt;ted a&lt;span class="_ _7"&gt;&lt;/span&gt;cc&lt;span class="_ _7"&gt;&lt;/span&gt;oun&lt;span class="_ _7"&gt;&lt;/span&gt;ts i&lt;span class="_ _7"&gt;&lt;/span&gt;nc&lt;span class="_ _7"&gt;&lt;/span&gt;lud&lt;span class="_ _7"&gt;&lt;/span&gt;e Volvo Ca&lt;span class="_ _7"&gt;&lt;/span&gt;r AB (p&lt;span class="_ _7"&gt;&lt;/span&gt;ub&lt;span class="_ _7"&gt;&lt;/span&gt;l.) a&lt;span class="_ _7"&gt;&lt;/span&gt;nd i&lt;span class="_ _7"&gt;&lt;/span&gt;ts  &lt;/span&gt;&lt;span style="display:inherit;clear:left;"&gt;sub&lt;span class="_ _7"&gt;&lt;/span&gt;s&lt;span class="_ _7"&gt;&lt;/span&gt;idi&lt;span class="_ _7"&gt;&lt;/span&gt;ar&lt;span class="_ _7"&gt;&lt;/span&gt;ie&lt;span class="_ _7"&gt;&lt;/span&gt;s&lt;span class="_ _7"&gt;&lt;/span&gt;. Sub&lt;span class="_ _7"&gt;&lt;/span&gt;s&lt;span class="_ _7"&gt;&lt;/span&gt;idi&lt;span class="_ _7"&gt;&lt;/span&gt;ar&lt;span class="_ _7"&gt;&lt;/span&gt;ie&lt;span class="_ _7"&gt;&lt;/span&gt;s ar&lt;span class="_ _7"&gt;&lt;/span&gt;e all e&lt;span class="_ _7"&gt;&lt;/span&gt;nti&lt;span class="_ _7"&gt;&lt;/span&gt;tie&lt;span class="_ _7"&gt;&lt;/span&gt;s ov&lt;span class="_ _7"&gt;&lt;/span&gt;er wh&lt;span class="_ _7"&gt;&lt;/span&gt;ich Volvo C&lt;span class="_ _7"&gt;&lt;/span&gt;ar G&lt;span class="_ _7"&gt;&lt;/span&gt;ro&lt;span class="_ _7"&gt;&lt;/span&gt;up &lt;/span&gt;&lt;span style="display:inherit;clear:left;"&gt;ha&lt;span class="_ _7"&gt;&lt;/span&gt;s con&lt;span class="_ _7"&gt;&lt;/span&gt;tr&lt;span class="_ _7"&gt;&lt;/span&gt;ol&lt;span class="_ _7"&gt;&lt;/span&gt;. Volvo Ca&lt;span class="_ _7"&gt;&lt;/span&gt;r Gr&lt;span class="_ _7"&gt;&lt;/span&gt;oup c&lt;span class="_ _7"&gt;&lt;/span&gt;on&lt;span class="_ _7"&gt;&lt;/span&gt;tro&lt;span class="_ _7"&gt;&lt;/span&gt;l&lt;span class="_ _7"&gt;&lt;/span&gt;s an en&lt;span class="_ _7"&gt;&lt;/span&gt;tit&lt;span class="_ _7"&gt;&lt;/span&gt;y w&lt;span class="_ _7"&gt;&lt;/span&gt;he&lt;span class="_ _7"&gt;&lt;/span&gt;n exp&lt;span class="_ _7"&gt;&lt;/span&gt;os&lt;span class="_ _7"&gt;&lt;/span&gt;e&lt;span class="_ _7"&gt;&lt;/span&gt;d to, o&lt;span class="_ _7"&gt;&lt;/span&gt;r &lt;/span&gt;&lt;span style="display:inherit;clear:left;"&gt;ha&lt;span class="_ _7"&gt;&lt;/span&gt;s rig&lt;span class="_ _7"&gt;&lt;/span&gt;ht&lt;span class="_ _7"&gt;&lt;/span&gt;s to, v&lt;span class="_ _7"&gt;&lt;/span&gt;ari&lt;span class="_ _7"&gt;&lt;/span&gt;ab&lt;span class="_ _7"&gt;&lt;/span&gt;le re&lt;span class="_ _7"&gt;&lt;/span&gt;tur&lt;span class="_ _7"&gt;&lt;/span&gt;ns f&lt;span class="_ _7"&gt;&lt;/span&gt;r&lt;span class="_ _7"&gt;&lt;/span&gt;om it&lt;span class="_ _7"&gt;&lt;/span&gt;s in&lt;span class="_ _7"&gt;&lt;/span&gt;volv&lt;span class="_ _7"&gt;&lt;/span&gt;eme&lt;span class="_ _7"&gt;&lt;/span&gt;nt w&lt;span class="_ _7"&gt;&lt;/span&gt;ith t&lt;span class="_ _7"&gt;&lt;/span&gt;he en&lt;span class="_ _7"&gt;&lt;/span&gt;tit&lt;span class="_ _7"&gt;&lt;/span&gt;y &lt;/span&gt;&lt;span style="display:inherit;clear:left;"&gt;and h&lt;span class="_ _7"&gt;&lt;/span&gt;as t&lt;span class="_ _7"&gt;&lt;/span&gt;he a&lt;span class="_ _7"&gt;&lt;/span&gt;bil&lt;span class="_ _7"&gt;&lt;/span&gt;it&lt;span class="_ _7"&gt;&lt;/span&gt;y to a&lt;span class="_ _7"&gt;&lt;/span&gt;f&lt;span class="_ _7"&gt;&lt;/span&gt;fe&lt;span class="_ _7"&gt;&lt;/span&gt;ct t&lt;span class="_ _7"&gt;&lt;/span&gt;ho&lt;span class="_ _7"&gt;&lt;/span&gt;se r&lt;span class="_ _7"&gt;&lt;/span&gt;et&lt;span class="_ _7"&gt;&lt;/span&gt;urn&lt;span class="_ _7"&gt;&lt;/span&gt;s th&lt;span class="_ _7"&gt;&lt;/span&gt;ro&lt;span class="_ _7"&gt;&lt;/span&gt;ugh i&lt;span class="_ _7"&gt;&lt;/span&gt;ts p&lt;span class="_ _7"&gt;&lt;/span&gt;owe&lt;span class="_ _7"&gt;&lt;/span&gt;r ove&lt;span class="_ _7"&gt;&lt;/span&gt;r the &lt;/span&gt;&lt;span style="display:inherit;clear:left;"&gt;e&lt;span class="_ _7"&gt;&lt;/span&gt;n&lt;span class="_ _7"&gt;&lt;/span&gt;t&lt;span class="_ _7"&gt;&lt;/span&gt;i&lt;span class="_ _7"&gt;&lt;/span&gt;t&lt;span class="_ _7"&gt;&lt;/span&gt;y.&lt;span class="_ _7"&gt;&lt;/span&gt; &lt;/span&gt;&lt;span style="display:inherit;clear:left;"&gt;All w&lt;span class="_ _7"&gt;&lt;/span&gt;ho&lt;span class="_ _7"&gt;&lt;/span&gt;lly-ow&lt;span class="_ _7"&gt;&lt;/span&gt;ne&lt;span class="_ _7"&gt;&lt;/span&gt;d su&lt;span class="_ _7"&gt;&lt;/span&gt;bs&lt;span class="_ _7"&gt;&lt;/span&gt;idi&lt;span class="_ _7"&gt;&lt;/span&gt;ar&lt;span class="_ _7"&gt;&lt;/span&gt;ie&lt;span class="_ _7"&gt;&lt;/span&gt;s an&lt;span class="_ _7"&gt;&lt;/span&gt;d ce&lt;span class="_ _7"&gt;&lt;/span&gt;r&lt;span class="_ _7"&gt;&lt;/span&gt;ta&lt;span class="_ _7"&gt;&lt;/span&gt;in c&lt;span class="_ _7"&gt;&lt;/span&gt;omp&lt;span class="_ _7"&gt;&lt;/span&gt;an&lt;span class="_ _7"&gt;&lt;/span&gt;ie&lt;span class="_ _7"&gt;&lt;/span&gt;s own&lt;span class="_ _7"&gt;&lt;/span&gt;e&lt;span class="_ _7"&gt;&lt;/span&gt;d to &lt;/span&gt;&lt;span style="display:inherit;clear:left;"&gt;50 pe&lt;span class="_ _7"&gt;&lt;/span&gt;r ce&lt;span class="_ _7"&gt;&lt;/span&gt;nt or m&lt;span class="_ _7"&gt;&lt;/span&gt;or&lt;span class="_ _7"&gt;&lt;/span&gt;e, ar&lt;span class="_ _7"&gt;&lt;/span&gt;e co&lt;span class="_ _7"&gt;&lt;/span&gt;ns&lt;span class="_ _7"&gt;&lt;/span&gt;o&lt;span class="_ _7"&gt;&lt;/span&gt;lid&lt;span class="_ _7"&gt;&lt;/span&gt;ate&lt;span class="_ _7"&gt;&lt;/span&gt;d, s&lt;span class="_ _7"&gt;&lt;/span&gt;e&lt;span class="_ _7"&gt;&lt;/span&gt;e Note 8 – P&lt;span class="_ _7"&gt;&lt;/span&gt;ar&lt;span class="_ _7"&gt;&lt;/span&gt;ti&lt;span class="_ _7"&gt;&lt;/span&gt;ci&lt;span class="_ _7"&gt;&lt;/span&gt;pat&lt;span class="_ _7"&gt;&lt;/span&gt;io&lt;span class="_ _7"&gt;&lt;/span&gt;n in &lt;/span&gt;&lt;span style="display:inherit;clear:left;"&gt;subsidiaries (Parent&lt;span class="_ _2"&gt;&lt;/span&gt; Company)&lt;span class="_ _2"&gt;&lt;/span&gt;. Subsidiaries are full&lt;span class="_ _2"&gt;&lt;/span&gt;y consolidated &lt;/span&gt;&lt;span style="display:inherit;clear:left;"&gt;fr&lt;span class="_ _7"&gt;&lt;/span&gt;om th&lt;span class="_ _7"&gt;&lt;/span&gt;e da&lt;span class="_ _7"&gt;&lt;/span&gt;te on w&lt;span class="_ _7"&gt;&lt;/span&gt;hic&lt;span class="_ _7"&gt;&lt;/span&gt;h co&lt;span class="_ _7"&gt;&lt;/span&gt;ntr&lt;span class="_ _7"&gt;&lt;/span&gt;ol i&lt;span class="_ _7"&gt;&lt;/span&gt;s tr&lt;span class="_ _7"&gt;&lt;/span&gt;an&lt;span class="_ _7"&gt;&lt;/span&gt;sf&lt;span class="_ _7"&gt;&lt;/span&gt;er&lt;span class="_ _7"&gt;&lt;/span&gt;re&lt;span class="_ _7"&gt;&lt;/span&gt;d to Volvo Ca&lt;span class="_ _7"&gt;&lt;/span&gt;r Gr&lt;span class="_ _7"&gt;&lt;/span&gt;oup&lt;span class="_ _7"&gt;&lt;/span&gt;. &lt;/span&gt;&lt;span style="display:inherit;clear:left;"&gt;Th&lt;span class="_ _7"&gt;&lt;/span&gt;ey are d&lt;span class="_ _7"&gt;&lt;/span&gt;ec&lt;span class="_ _7"&gt;&lt;/span&gt;on&lt;span class="_ _7"&gt;&lt;/span&gt;s&lt;span class="_ _7"&gt;&lt;/span&gt;oli&lt;span class="_ _7"&gt;&lt;/span&gt;da&lt;span class="_ _7"&gt;&lt;/span&gt;ted f&lt;span class="_ _7"&gt;&lt;/span&gt;ro&lt;span class="_ _7"&gt;&lt;/span&gt;m th&lt;span class="_ _7"&gt;&lt;/span&gt;e date t&lt;span class="_ _7"&gt;&lt;/span&gt;ha&lt;span class="_ _7"&gt;&lt;/span&gt;t con&lt;span class="_ _7"&gt;&lt;/span&gt;tro&lt;span class="_ _7"&gt;&lt;/span&gt;l ce&lt;span class="_ _7"&gt;&lt;/span&gt;as&lt;span class="_ _7"&gt;&lt;/span&gt;e&lt;span class="_ _7"&gt;&lt;/span&gt;s&lt;span class="_ _7"&gt;&lt;/span&gt;. Whe&lt;span class="_ _7"&gt;&lt;/span&gt;n &lt;/span&gt;&lt;span style="display:inherit;clear:left;"&gt;a sub&lt;span class="_ _7"&gt;&lt;/span&gt;s&lt;span class="_ _7"&gt;&lt;/span&gt;idi&lt;span class="_ _7"&gt;&lt;/span&gt;ar&lt;span class="_ _7"&gt;&lt;/span&gt;y i&lt;span class="_ _7"&gt;&lt;/span&gt;s no&lt;span class="_ _7"&gt;&lt;/span&gt;t wh&lt;span class="_ _7"&gt;&lt;/span&gt;ol&lt;span class="_ _7"&gt;&lt;/span&gt;ly-own&lt;span class="_ _7"&gt;&lt;/span&gt;ed by Volvo C&lt;span class="_ _7"&gt;&lt;/span&gt;ar G&lt;span class="_ _7"&gt;&lt;/span&gt;ro&lt;span class="_ _7"&gt;&lt;/span&gt;up, t&lt;span class="_ _7"&gt;&lt;/span&gt;he p&lt;span class="_ _7"&gt;&lt;/span&gt;or&lt;span class="_ _7"&gt;&lt;/span&gt;ti&lt;span class="_ _7"&gt;&lt;/span&gt;on o&lt;span class="_ _7"&gt;&lt;/span&gt;f &lt;/span&gt;&lt;span style="display:inherit;clear:left;"&gt;the r&lt;span class="_ _7"&gt;&lt;/span&gt;es&lt;span class="_ _7"&gt;&lt;/span&gt;ult&lt;span class="_ _7"&gt;&lt;/span&gt;s an&lt;span class="_ _7"&gt;&lt;/span&gt;d eq&lt;span class="_ _7"&gt;&lt;/span&gt;ui&lt;span class="_ _7"&gt;&lt;/span&gt;t&lt;span class="_ _7"&gt;&lt;/span&gt;y at&lt;span class="_ _7"&gt;&lt;/span&gt;tr&lt;span class="_ _7"&gt;&lt;/span&gt;ibu&lt;span class="_ _7"&gt;&lt;/span&gt;ta&lt;span class="_ _7"&gt;&lt;/span&gt;bl&lt;span class="_ _7"&gt;&lt;/span&gt;e to the n&lt;span class="_ _7"&gt;&lt;/span&gt;on-c&lt;span class="_ _7"&gt;&lt;/span&gt;ont&lt;span class="_ _7"&gt;&lt;/span&gt;ro&lt;span class="_ _7"&gt;&lt;/span&gt;lli&lt;span class="_ _7"&gt;&lt;/span&gt;ng in&lt;span class="_ _7"&gt;&lt;/span&gt;ter&lt;span class="_ _7"&gt;&lt;/span&gt;es&lt;span class="_ _7"&gt;&lt;/span&gt;t &lt;/span&gt;&lt;span style="display:inherit;clear:left;"&gt;are p&lt;span class="_ _7"&gt;&lt;/span&gt;re&lt;span class="_ _7"&gt;&lt;/span&gt;s&lt;span class="_ _7"&gt;&lt;/span&gt;ente&lt;span class="_ _7"&gt;&lt;/span&gt;d s&lt;span class="_ _7"&gt;&lt;/span&gt;ep&lt;span class="_ _7"&gt;&lt;/span&gt;ar&lt;span class="_ _7"&gt;&lt;/span&gt;ate&lt;span class="_ _7"&gt;&lt;/span&gt;ly in th&lt;span class="_ _7"&gt;&lt;/span&gt;e f&lt;span class="_ _7"&gt;&lt;/span&gt;ina&lt;span class="_ _7"&gt;&lt;/span&gt;nci&lt;span class="_ _7"&gt;&lt;/span&gt;al s&lt;span class="_ _7"&gt;&lt;/span&gt;t&lt;span class="_ _7"&gt;&lt;/span&gt;ate&lt;span class="_ _7"&gt;&lt;/span&gt;men&lt;span class="_ _7"&gt;&lt;/span&gt;ts&lt;span class="_ _7"&gt;&lt;/span&gt;.&lt;/span&gt;</t>
  </si>
  <si>
    <t>f1__s8__6__210</t>
  </si>
  <si>
    <t>ifrs-full:DisclosureOfObjectivesPoliciesAndProcessesForManagingCapitalExplanatory</t>
  </si>
  <si>
    <t>&lt;span style="display:inherit;clear:left;"&gt;Refinancing and liquidity risk management&lt;/span&gt;&lt;span style="display:inherit;clear:left;"&gt;Capital Structure&lt;/span&gt;&lt;span style="display:inherit;clear:left;"&gt;Volvo Ca&lt;span class="_ _7"&gt;&lt;/span&gt;rs s&lt;span class="_ _7"&gt;&lt;/span&gt;ha&lt;span class="_ _7"&gt;&lt;/span&gt;ll m&lt;span class="_ _7"&gt;&lt;/span&gt;ain&lt;span class="_ _7"&gt;&lt;/span&gt;ta&lt;span class="_ _7"&gt;&lt;/span&gt;in a c&lt;span class="_ _7"&gt;&lt;/span&gt;api&lt;span class="_ _7"&gt;&lt;/span&gt;ta&lt;span class="_ _7"&gt;&lt;/span&gt;l s&lt;span class="_ _7"&gt;&lt;/span&gt;tru&lt;span class="_ _7"&gt;&lt;/span&gt;ct&lt;span class="_ _7"&gt;&lt;/span&gt;ure t&lt;span class="_ _7"&gt;&lt;/span&gt;ha&lt;span class="_ _7"&gt;&lt;/span&gt;t ens&lt;span class="_ _7"&gt;&lt;/span&gt;ur&lt;span class="_ _7"&gt;&lt;/span&gt;es a p&lt;span class="_ _7"&gt;&lt;/span&gt;ru&lt;span class="_ _7"&gt;&lt;/span&gt;de&lt;span class="_ _7"&gt;&lt;/span&gt;nt&lt;span class="_ _7"&gt;&lt;/span&gt; &lt;/span&gt;&lt;span style="display:inherit;clear:left;"&gt;ba&lt;span class="_ _7"&gt;&lt;/span&gt;la&lt;span class="_ _7"&gt;&lt;/span&gt;nc&lt;span class="_ _7"&gt;&lt;/span&gt;e bet&lt;span class="_ _7"&gt;&lt;/span&gt;w&lt;span class="_ _7"&gt;&lt;/span&gt;ee&lt;span class="_ _7"&gt;&lt;/span&gt;n fi&lt;span class="_ _7"&gt;&lt;/span&gt;nan&lt;span class="_ _7"&gt;&lt;/span&gt;ci&lt;span class="_ _7"&gt;&lt;/span&gt;al r&lt;span class="_ _7"&gt;&lt;/span&gt;is&lt;span class="_ _7"&gt;&lt;/span&gt;k and c&lt;span class="_ _7"&gt;&lt;/span&gt;o&lt;span class="_ _7"&gt;&lt;/span&gt;st o&lt;span class="_ _7"&gt;&lt;/span&gt;f ca&lt;span class="_ _7"&gt;&lt;/span&gt;pi&lt;span class="_ _7"&gt;&lt;/span&gt;ta&lt;span class="_ _7"&gt;&lt;/span&gt;l whi&lt;span class="_ _7"&gt;&lt;/span&gt;le su&lt;span class="_ _7"&gt;&lt;/span&gt;pp&lt;span class="_ _7"&gt;&lt;/span&gt;or&lt;span class="_ _7"&gt;&lt;/span&gt;t&lt;span class="_ _7"&gt;&lt;/span&gt;ing t&lt;span class="_ _7"&gt;&lt;/span&gt;he&lt;span class="_ _7"&gt;&lt;/span&gt; &lt;/span&gt;&lt;span style="display:inherit;clear:left;"&gt;Group’&lt;span class="_ _2"&gt;&lt;/span&gt;s strategic&lt;span class="_ _2"&gt;&lt;/span&gt; trans&lt;span class="_ _7"&gt;&lt;/span&gt;formation under&lt;span class="_ _2"&gt;&lt;/span&gt; var&lt;span class="_ _7"&gt;&lt;/span&gt;ying mark&lt;span class="_ _2"&gt;&lt;/span&gt;et conditions. &lt;/span&gt;&lt;span style="display:inherit;clear:left;"&gt;Th&lt;span class="_ _7"&gt;&lt;/span&gt;e ca&lt;span class="_ _7"&gt;&lt;/span&gt;pit&lt;span class="_ _7"&gt;&lt;/span&gt;al s&lt;span class="_ _7"&gt;&lt;/span&gt;tr&lt;span class="_ _7"&gt;&lt;/span&gt;uc&lt;span class="_ _7"&gt;&lt;/span&gt;tu&lt;span class="_ _7"&gt;&lt;/span&gt;re s&lt;span class="_ _7"&gt;&lt;/span&gt;hou&lt;span class="_ _7"&gt;&lt;/span&gt;ld e&lt;span class="_ _7"&gt;&lt;/span&gt;ns&lt;span class="_ _7"&gt;&lt;/span&gt;ure Volvo C&lt;span class="_ _7"&gt;&lt;/span&gt;ar&lt;span class="_ _7"&gt;&lt;/span&gt;s m&lt;span class="_ _7"&gt;&lt;/span&gt;ain&lt;span class="_ _7"&gt;&lt;/span&gt;ta&lt;span class="_ _7"&gt;&lt;/span&gt;in&lt;span class="_ _7"&gt;&lt;/span&gt;s st&lt;span class="_ _7"&gt;&lt;/span&gt;ron&lt;span class="_ _7"&gt;&lt;/span&gt;g &lt;/span&gt;&lt;span style="display:inherit;clear:left;"&gt;acc&lt;span class="_ _7"&gt;&lt;/span&gt;e&lt;span class="_ _7"&gt;&lt;/span&gt;s&lt;span class="_ _7"&gt;&lt;/span&gt;s to ca&lt;span class="_ _7"&gt;&lt;/span&gt;pi&lt;span class="_ _7"&gt;&lt;/span&gt;ta&lt;span class="_ _7"&gt;&lt;/span&gt;l mar&lt;span class="_ _7"&gt;&lt;/span&gt;ket&lt;span class="_ _7"&gt;&lt;/span&gt;s an&lt;span class="_ _7"&gt;&lt;/span&gt;d pr&lt;span class="_ _7"&gt;&lt;/span&gt;og&lt;span class="_ _7"&gt;&lt;/span&gt;re&lt;span class="_ _7"&gt;&lt;/span&gt;s&lt;span class="_ _7"&gt;&lt;/span&gt;se&lt;span class="_ _7"&gt;&lt;/span&gt;s tow&lt;span class="_ _7"&gt;&lt;/span&gt;ar&lt;span class="_ _7"&gt;&lt;/span&gt;d ach&lt;span class="_ _7"&gt;&lt;/span&gt;iev&lt;span class="_ _7"&gt;&lt;/span&gt;ing a&lt;span class="_ _7"&gt;&lt;/span&gt;n &lt;/span&gt;&lt;span style="display:inherit;clear:left;"&gt;inve&lt;span class="_ _7"&gt;&lt;/span&gt;s&lt;span class="_ _7"&gt;&lt;/span&gt;tme&lt;span class="_ _7"&gt;&lt;/span&gt;nt-&lt;span class="_ _2"&gt;&lt;/span&gt;g&lt;span class="_ _7"&gt;&lt;/span&gt;ra&lt;span class="_ _7"&gt;&lt;/span&gt;de c&lt;span class="_ _7"&gt;&lt;/span&gt;re&lt;span class="_ _7"&gt;&lt;/span&gt;dit r&lt;span class="_ _7"&gt;&lt;/span&gt;at&lt;span class="_ _7"&gt;&lt;/span&gt;ing&lt;span class="_ _7"&gt;&lt;/span&gt;. Volvo Ca&lt;span class="_ _7"&gt;&lt;/span&gt;rs c&lt;span class="_ _7"&gt;&lt;/span&gt;urr&lt;span class="_ _7"&gt;&lt;/span&gt;en&lt;span class="_ _7"&gt;&lt;/span&gt;t ex&lt;span class="_ _7"&gt;&lt;/span&gt;ter&lt;span class="_ _7"&gt;&lt;/span&gt;na&lt;span class="_ _7"&gt;&lt;/span&gt;l ra&lt;span class="_ _7"&gt;&lt;/span&gt;ting &lt;/span&gt;&lt;span style="display:inherit;clear:left;"&gt;by Mo&lt;span class="_ _7"&gt;&lt;/span&gt;od&lt;span class="_ _7"&gt;&lt;/span&gt;ys i&lt;span class="_ _7"&gt;&lt;/span&gt;s B&lt;span class="_ _7"&gt;&lt;/span&gt;a&lt;span class="_ _2"&gt;&lt;/span&gt;1 a&lt;span class="_ _7"&gt;&lt;/span&gt;nd B&lt;span class="_ _7"&gt;&lt;/span&gt;B+ by Stan&lt;span class="_ _7"&gt;&lt;/span&gt;da&lt;span class="_ _7"&gt;&lt;/span&gt;rd &amp;amp; P&lt;span class="_ _7"&gt;&lt;/span&gt;oo&lt;span class="_ _7"&gt;&lt;/span&gt;r’s&lt;span class="_ _7"&gt;&lt;/span&gt;.&lt;/span&gt;</t>
  </si>
  <si>
    <t>f1__s8__6__212-1</t>
  </si>
  <si>
    <t>ifrs-full:DisclosureOfLoansAndAdvancesToBanksExplanatory</t>
  </si>
  <si>
    <t>&lt;span style="display:inherit;clear:left;"&gt;Refinancing&lt;span class="_ _2"&gt;&lt;/span&gt; risk management&lt;/span&gt;&lt;span style="display:inherit;clear:left;"&gt;V&lt;span class="_ _2"&gt;&lt;/span&gt;o&lt;span class="_ _7"&gt;&lt;/span&gt;lvo Car Gro&lt;span class="_ _7"&gt;&lt;/span&gt;up F&lt;span class="_ _7"&gt;&lt;/span&gt;in&lt;span class="_ _7"&gt;&lt;/span&gt;anc&lt;span class="_ _7"&gt;&lt;/span&gt;ial Po&lt;span class="_ _7"&gt;&lt;/span&gt;licy Fram&lt;span class="_ _7"&gt;&lt;/span&gt;ework &lt;/span&gt;&lt;span style="display:inherit;clear:left;"&gt;Ref&lt;span class="_ _7"&gt;&lt;/span&gt;in&lt;span class="_ _7"&gt;&lt;/span&gt;an&lt;span class="_ _7"&gt;&lt;/span&gt;cin&lt;span class="_ _7"&gt;&lt;/span&gt;g ri&lt;span class="_ _7"&gt;&lt;/span&gt;sk i&lt;span class="_ _7"&gt;&lt;/span&gt;s the r&lt;span class="_ _7"&gt;&lt;/span&gt;is&lt;span class="_ _7"&gt;&lt;/span&gt;k th&lt;span class="_ _7"&gt;&lt;/span&gt;at Volvo C&lt;span class="_ _7"&gt;&lt;/span&gt;ar do&lt;span class="_ _7"&gt;&lt;/span&gt;e&lt;span class="_ _7"&gt;&lt;/span&gt;s not h&lt;span class="_ _7"&gt;&lt;/span&gt;ave a&lt;span class="_ _7"&gt;&lt;/span&gt;cce&lt;span class="_ _7"&gt;&lt;/span&gt;s&lt;span class="_ _7"&gt;&lt;/span&gt;s to &lt;/span&gt;&lt;span style="display:inherit;clear:left;"&gt;ade&lt;span class="_ _7"&gt;&lt;/span&gt;qu&lt;span class="_ _7"&gt;&lt;/span&gt;ate f&lt;span class="_ _7"&gt;&lt;/span&gt;in&lt;span class="_ _7"&gt;&lt;/span&gt;an&lt;span class="_ _7"&gt;&lt;/span&gt;cin&lt;span class="_ _7"&gt;&lt;/span&gt;g on ac&lt;span class="_ _7"&gt;&lt;/span&gt;ce&lt;span class="_ _7"&gt;&lt;/span&gt;pt&lt;span class="_ _7"&gt;&lt;/span&gt;ab&lt;span class="_ _7"&gt;&lt;/span&gt;le ter&lt;span class="_ _7"&gt;&lt;/span&gt;m&lt;span class="_ _7"&gt;&lt;/span&gt;s at any g&lt;span class="_ _7"&gt;&lt;/span&gt;iv&lt;span class="_ _7"&gt;&lt;/span&gt;en p&lt;span class="_ _7"&gt;&lt;/span&gt;oin&lt;span class="_ _7"&gt;&lt;/span&gt;t. &lt;/span&gt;&lt;span style="display:inherit;clear:left;"&gt;All d&lt;span class="_ _7"&gt;&lt;/span&gt;raw&lt;span class="_ _7"&gt;&lt;/span&gt;dow&lt;span class="_ _7"&gt;&lt;/span&gt;ns o&lt;span class="_ _7"&gt;&lt;/span&gt;n new l&lt;span class="_ _7"&gt;&lt;/span&gt;oa&lt;span class="_ _7"&gt;&lt;/span&gt;ns ar&lt;span class="_ _7"&gt;&lt;/span&gt;e eva&lt;span class="_ _7"&gt;&lt;/span&gt;lu&lt;span class="_ _7"&gt;&lt;/span&gt;ate&lt;span class="_ _7"&gt;&lt;/span&gt;d aga&lt;span class="_ _7"&gt;&lt;/span&gt;in&lt;span class="_ _7"&gt;&lt;/span&gt;st f&lt;span class="_ _7"&gt;&lt;/span&gt;ut&lt;span class="_ _7"&gt;&lt;/span&gt;ur&lt;span class="_ _7"&gt;&lt;/span&gt;e liq&lt;span class="_ _7"&gt;&lt;/span&gt;uid&lt;span class="_ _7"&gt;&lt;/span&gt;it&lt;span class="_ _7"&gt;&lt;/span&gt;y &lt;/span&gt;&lt;span style="display:inherit;clear:left;"&gt;ne&lt;span class="_ _7"&gt;&lt;/span&gt;ed&lt;span class="_ _7"&gt;&lt;/span&gt;s an&lt;span class="_ _7"&gt;&lt;/span&gt;d inve&lt;span class="_ _7"&gt;&lt;/span&gt;s&lt;span class="_ _7"&gt;&lt;/span&gt;tme&lt;span class="_ _7"&gt;&lt;/span&gt;nt p&lt;span class="_ _7"&gt;&lt;/span&gt;la&lt;span class="_ _7"&gt;&lt;/span&gt;ns&lt;span class="_ _7"&gt;&lt;/span&gt;. Volvo C&lt;span class="_ _7"&gt;&lt;/span&gt;ar&lt;span class="_ _7"&gt;&lt;/span&gt;s sh&lt;span class="_ _7"&gt;&lt;/span&gt;ou&lt;span class="_ _7"&gt;&lt;/span&gt;ld fo&lt;span class="_ _7"&gt;&lt;/span&gt;r the c&lt;span class="_ _7"&gt;&lt;/span&gt;om&lt;span class="_ _7"&gt;&lt;/span&gt;ing 12 &lt;/span&gt;&lt;span style="display:inherit;clear:left;"&gt;mo&lt;span class="_ _7"&gt;&lt;/span&gt;nth&lt;span class="_ _7"&gt;&lt;/span&gt;s, a&lt;span class="_ _7"&gt;&lt;/span&gt;t any g&lt;span class="_ _7"&gt;&lt;/span&gt;ive&lt;span class="_ _7"&gt;&lt;/span&gt;n ti&lt;span class="_ _7"&gt;&lt;/span&gt;me, h&lt;span class="_ _7"&gt;&lt;/span&gt;ave av&lt;span class="_ _7"&gt;&lt;/span&gt;ail&lt;span class="_ _7"&gt;&lt;/span&gt;ab&lt;span class="_ _7"&gt;&lt;/span&gt;le c&lt;span class="_ _7"&gt;&lt;/span&gt;omm&lt;span class="_ _7"&gt;&lt;/span&gt;it&lt;span class="_ _7"&gt;&lt;/span&gt;te&lt;span class="_ _7"&gt;&lt;/span&gt;d f&lt;span class="_ _7"&gt;&lt;/span&gt;ina&lt;span class="_ _7"&gt;&lt;/span&gt;nci&lt;span class="_ _7"&gt;&lt;/span&gt;ng fo&lt;span class="_ _7"&gt;&lt;/span&gt;r &lt;/span&gt;&lt;span style="display:inherit;clear:left;"&gt;inve&lt;span class="_ _7"&gt;&lt;/span&gt;s&lt;span class="_ _7"&gt;&lt;/span&gt;tme&lt;span class="_ _7"&gt;&lt;/span&gt;nt&lt;span class="_ _7"&gt;&lt;/span&gt;s an&lt;span class="_ _7"&gt;&lt;/span&gt;d for r&lt;span class="_ _7"&gt;&lt;/span&gt;ep&lt;span class="_ _7"&gt;&lt;/span&gt;ay&lt;span class="_ _7"&gt;&lt;/span&gt;me&lt;span class="_ _7"&gt;&lt;/span&gt;nt of m&lt;span class="_ _7"&gt;&lt;/span&gt;atu&lt;span class="_ _7"&gt;&lt;/span&gt;ri&lt;span class="_ _7"&gt;&lt;/span&gt;ng de&lt;span class="_ _7"&gt;&lt;/span&gt;bt&lt;span class="_ _7"&gt;&lt;/span&gt;. T&lt;span class="_ _2"&gt;&lt;/span&gt;o lim&lt;span class="_ _7"&gt;&lt;/span&gt;it th&lt;span class="_ _7"&gt;&lt;/span&gt;e ri&lt;span class="_ _7"&gt;&lt;/span&gt;sk o&lt;span class="_ _7"&gt;&lt;/span&gt;f &lt;/span&gt;&lt;span style="display:inherit;clear:left;"&gt; &lt;span class="_ _1"&gt;&lt;/span&gt;r&lt;span class="_ _7"&gt;&lt;/span&gt;ef&lt;span class="_ _7"&gt;&lt;/span&gt;in&lt;span class="_ _7"&gt;&lt;/span&gt;anc&lt;span class="_ _7"&gt;&lt;/span&gt;ing&lt;span class="_ _7"&gt;&lt;/span&gt;, de&lt;span class="_ _7"&gt;&lt;/span&gt;bt ma&lt;span class="_ _7"&gt;&lt;/span&gt;tur&lt;span class="_ _7"&gt;&lt;/span&gt;in&lt;span class="_ _7"&gt;&lt;/span&gt;g over t&lt;span class="_ _7"&gt;&lt;/span&gt;he n&lt;span class="_ _7"&gt;&lt;/span&gt;ex&lt;span class="_ _7"&gt;&lt;/span&gt;t 12 mont&lt;span class="_ _7"&gt;&lt;/span&gt;hs s&lt;span class="_ _7"&gt;&lt;/span&gt;ho&lt;span class="_ _7"&gt;&lt;/span&gt;uld n&lt;span class="_ _7"&gt;&lt;/span&gt;ot &lt;/span&gt;&lt;span style="display:inherit;clear:left;"&gt;exce&lt;span class="_ _7"&gt;&lt;/span&gt;ed 25 p&lt;span class="_ _7"&gt;&lt;/span&gt;er ce&lt;span class="_ _7"&gt;&lt;/span&gt;nt o&lt;span class="_ _7"&gt;&lt;/span&gt;f tot&lt;span class="_ _7"&gt;&lt;/span&gt;al d&lt;span class="_ _7"&gt;&lt;/span&gt;ebt&lt;span class="_ _7"&gt;&lt;/span&gt;. &lt;/span&gt;&lt;span style="display:inherit;clear:left;"&gt;Status at yea&lt;span class="_ _7"&gt;&lt;/span&gt;r end&lt;/span&gt;&lt;span style="display:inherit;clear:left;"&gt;At the en&lt;span class="_ _7"&gt;&lt;/span&gt;d of t&lt;span class="_ _7"&gt;&lt;/span&gt;he ye&lt;span class="_ _7"&gt;&lt;/span&gt;ar, the ou&lt;span class="_ _7"&gt;&lt;/span&gt;ts&lt;span class="_ _7"&gt;&lt;/span&gt;t&lt;span class="_ _7"&gt;&lt;/span&gt;an&lt;span class="_ _7"&gt;&lt;/span&gt;din&lt;span class="_ _7"&gt;&lt;/span&gt;g deb&lt;span class="_ _7"&gt;&lt;/span&gt;t of b&lt;span class="_ _7"&gt;&lt;/span&gt;on&lt;span class="_ _7"&gt;&lt;/span&gt;ds a&lt;span class="_ _7"&gt;&lt;/span&gt;nd li&lt;span class="_ _7"&gt;&lt;/span&gt;ab&lt;span class="_ _7"&gt;&lt;/span&gt;ili&lt;span class="_ _7"&gt;&lt;/span&gt;ti&lt;span class="_ _7"&gt;&lt;/span&gt;es &lt;/span&gt;&lt;span style="display:inherit;clear:left;"&gt;to cre&lt;span class="_ _7"&gt;&lt;/span&gt;di&lt;span class="_ _7"&gt;&lt;/span&gt;t in&lt;span class="_ _7"&gt;&lt;/span&gt;st&lt;span class="_ _7"&gt;&lt;/span&gt;itu&lt;span class="_ _7"&gt;&lt;/span&gt;ti&lt;span class="_ _7"&gt;&lt;/span&gt;on&lt;span class="_ _7"&gt;&lt;/span&gt;s, exc&lt;span class="_ _7"&gt;&lt;/span&gt;lud&lt;span class="_ _7"&gt;&lt;/span&gt;ing l&lt;span class="_ _7"&gt;&lt;/span&gt;ea&lt;span class="_ _7"&gt;&lt;/span&gt;se c&lt;span class="_ _7"&gt;&lt;/span&gt;ont&lt;span class="_ _7"&gt;&lt;/span&gt;ra&lt;span class="_ _7"&gt;&lt;/span&gt;ct&lt;span class="_ _7"&gt;&lt;/span&gt;s an&lt;span class="_ _7"&gt;&lt;/span&gt;d tr&lt;span class="_ _7"&gt;&lt;/span&gt;an&lt;span class="_ _7"&gt;&lt;/span&gt;s&lt;span class="_ _7"&gt;&lt;/span&gt;act&lt;span class="_ _7"&gt;&lt;/span&gt;io&lt;span class="_ _7"&gt;&lt;/span&gt;n &lt;/span&gt;&lt;span style="display:inherit;clear:left;"&gt;co&lt;span class="_ _7"&gt;&lt;/span&gt;st&lt;span class="_ _7"&gt;&lt;/span&gt;s&lt;span class="_ _7"&gt;&lt;/span&gt;, in Volvo C&lt;span class="_ _7"&gt;&lt;/span&gt;ar&lt;span class="_ _7"&gt;&lt;/span&gt;s wa&lt;span class="_ _7"&gt;&lt;/span&gt;s SE&lt;span class="fc5"&gt;K 30,790 &lt;/span&gt;(29,&lt;span class="_ _7"&gt;&lt;/span&gt;347) m&lt;span class="_ _7"&gt;&lt;/span&gt;. Dur&lt;span class="_ _7"&gt;&lt;/span&gt;in&lt;span class="_ _7"&gt;&lt;/span&gt;g the ye&lt;span class="_ _7"&gt;&lt;/span&gt;ar &lt;/span&gt;&lt;span style="display:inherit;clear:left;"&gt;bo&lt;span class="_ _7"&gt;&lt;/span&gt;nd an&lt;span class="_ _7"&gt;&lt;/span&gt;d li&lt;span class="_ _7"&gt;&lt;/span&gt;ab&lt;span class="_ _7"&gt;&lt;/span&gt;ili&lt;span class="_ _7"&gt;&lt;/span&gt;tie&lt;span class="_ _7"&gt;&lt;/span&gt;s to cr&lt;span class="_ _7"&gt;&lt;/span&gt;ed&lt;span class="_ _7"&gt;&lt;/span&gt;it i&lt;span class="_ _7"&gt;&lt;/span&gt;ns&lt;span class="_ _7"&gt;&lt;/span&gt;ti&lt;span class="_ _7"&gt;&lt;/span&gt;tut&lt;span class="_ _7"&gt;&lt;/span&gt;ion&lt;span class="_ _7"&gt;&lt;/span&gt;s of S&lt;span class="_ _7"&gt;&lt;/span&gt;EK &lt;span class="fc5 ls1c2 ws21b"&gt;7,&lt;span class="_ _9"&gt;&lt;/span&gt;3&lt;span class="_ _7"&gt;&lt;/span&gt;6&lt;span class="_ _9"&gt;&lt;/span&gt;3&lt;span class="_ _7"&gt;&lt;/span&gt;&lt;/span&gt; (&lt;span class="_ _7"&gt;&lt;/span&gt;7&lt;span class="_ _2"&gt;&lt;/span&gt;,797) m &lt;/span&gt;&lt;span style="display:inherit;clear:left;"&gt;mat&lt;span class="_ _7"&gt;&lt;/span&gt;ur&lt;span class="_ _7"&gt;&lt;/span&gt;ed o&lt;span class="_ _7"&gt;&lt;/span&gt;r wer&lt;span class="_ _7"&gt;&lt;/span&gt;e amo&lt;span class="_ _7"&gt;&lt;/span&gt;r&lt;span class="_ _7"&gt;&lt;/span&gt;ti&lt;span class="_ _7"&gt;&lt;/span&gt;se&lt;span class="_ _7"&gt;&lt;/span&gt;d&lt;span class="_ _7"&gt;&lt;/span&gt;. Th&lt;span class="_ _7"&gt;&lt;/span&gt;e rem&lt;span class="_ _7"&gt;&lt;/span&gt;ai&lt;span class="_ _7"&gt;&lt;/span&gt;nin&lt;span class="_ _7"&gt;&lt;/span&gt;g cre&lt;span class="_ _7"&gt;&lt;/span&gt;di&lt;span class="_ _7"&gt;&lt;/span&gt;t dur&lt;span class="_ _7"&gt;&lt;/span&gt;at&lt;span class="_ _7"&gt;&lt;/span&gt;ion o&lt;span class="_ _7"&gt;&lt;/span&gt;f ou&lt;span class="_ _7"&gt;&lt;/span&gt;t&lt;span class="_ _2"&gt;&lt;/span&gt;-&lt;/span&gt;&lt;span style="display:inherit;clear:left;"&gt;sta&lt;span class="fc5 ls3 ws3"&gt;ndi&lt;span class="_ _7"&gt;&lt;/span&gt;ng de&lt;span class="_ _7"&gt;&lt;/span&gt;bt w&lt;span class="_ _7"&gt;&lt;/span&gt;as 3.&lt;span class="_ _7"&gt;&lt;/span&gt;2 (2&lt;span class="_ _7"&gt;&lt;/span&gt;.9) yea&lt;span class="_ _7"&gt;&lt;/span&gt;rs&lt;span class="_ _7"&gt;&lt;/span&gt;. At ye&lt;span class="_ _7"&gt;&lt;/span&gt;ar en&lt;span class="_ _7"&gt;&lt;/span&gt;d, d&lt;span class="_ _7"&gt;&lt;/span&gt;eb&lt;span class="_ _7"&gt;&lt;/span&gt;t ma&lt;span class="_ _7"&gt;&lt;/span&gt;tur&lt;span class="_ _7"&gt;&lt;/span&gt;ing o&lt;span class="_ _7"&gt;&lt;/span&gt;ver &lt;/span&gt;&lt;/span&gt;&lt;span style="display:inherit;clear:left;"&gt;the n&lt;span class="_ _7"&gt;&lt;/span&gt;ex&lt;span class="_ _7"&gt;&lt;/span&gt;t 12 mon&lt;span class="_ _7"&gt;&lt;/span&gt;ths a&lt;span class="_ _7"&gt;&lt;/span&gt;mo&lt;span class="_ _7"&gt;&lt;/span&gt;unt&lt;span class="_ _7"&gt;&lt;/span&gt;ed to 8 p&lt;span class="_ _7"&gt;&lt;/span&gt;er c&lt;span class="_ _7"&gt;&lt;/span&gt;ent o&lt;span class="_ _7"&gt;&lt;/span&gt;f tot&lt;span class="_ _7"&gt;&lt;/span&gt;al d&lt;span class="_ _7"&gt;&lt;/span&gt;eb&lt;span class="_ _7"&gt;&lt;/span&gt;t.&lt;/span&gt;&lt;span style="display:inherit;clear:left;"&gt;In Ja&lt;span class="_ _7"&gt;&lt;/span&gt;nu&lt;span class="_ _7"&gt;&lt;/span&gt;ar&lt;span class="_ _7"&gt;&lt;/span&gt;y, a EUR 500 m b&lt;span class="_ _7"&gt;&lt;/span&gt;on&lt;span class="_ _7"&gt;&lt;/span&gt;d, i&lt;span class="_ _7"&gt;&lt;/span&gt;s&lt;span class="_ _7"&gt;&lt;/span&gt;su&lt;span class="_ _7"&gt;&lt;/span&gt;ed i&lt;span class="_ _7"&gt;&lt;/span&gt;n 2017&lt;span class="_ _6"&gt;&lt;/span&gt;, w&lt;span class="_ _7"&gt;&lt;/span&gt;as r&lt;span class="_ _7"&gt;&lt;/span&gt;ep&lt;span class="_ _7"&gt;&lt;/span&gt;aid&lt;span class="_ _7"&gt;&lt;/span&gt;.  &lt;/span&gt;&lt;span style="display:inherit;clear:left;"&gt;In Ma&lt;span class="_ _7"&gt;&lt;/span&gt;rch&lt;span class="_ _7"&gt;&lt;/span&gt;, a dr&lt;span class="_ _7"&gt;&lt;/span&gt;awd&lt;span class="_ _7"&gt;&lt;/span&gt;ow&lt;span class="_ _7"&gt;&lt;/span&gt;n of US&lt;span class="_ _7"&gt;&lt;/span&gt;D 43&lt;span class="_ _7"&gt;&lt;/span&gt;8 m was m&lt;span class="_ _7"&gt;&lt;/span&gt;ad&lt;span class="_ _7"&gt;&lt;/span&gt;e un&lt;span class="_ _7"&gt;&lt;/span&gt;de&lt;span class="_ _7"&gt;&lt;/span&gt;r an ex&lt;span class="_ _7"&gt;&lt;/span&gt;is&lt;span class="_ _7"&gt;&lt;/span&gt;tin&lt;span class="_ _7"&gt;&lt;/span&gt;g &lt;/span&gt;&lt;span style="display:inherit;clear:left;"&gt;gr&lt;span class="_ _7"&gt;&lt;/span&gt;ee&lt;span class="_ _7"&gt;&lt;/span&gt;n bil&lt;span class="_ _7"&gt;&lt;/span&gt;at&lt;span class="_ _7"&gt;&lt;/span&gt;er&lt;span class="_ _7"&gt;&lt;/span&gt;al lo&lt;span class="_ _7"&gt;&lt;/span&gt;an f&lt;span class="_ _7"&gt;&lt;/span&gt;aci&lt;span class="_ _7"&gt;&lt;/span&gt;lit&lt;span class="_ _7"&gt;&lt;/span&gt;y. Th&lt;span class="_ _7"&gt;&lt;/span&gt;e fa&lt;span class="_ _7"&gt;&lt;/span&gt;cil&lt;span class="_ _7"&gt;&lt;/span&gt;it&lt;span class="_ _7"&gt;&lt;/span&gt;y wa&lt;span class="_ _7"&gt;&lt;/span&gt;s or&lt;span class="_ _7"&gt;&lt;/span&gt;igi&lt;span class="_ _7"&gt;&lt;/span&gt;na&lt;span class="_ _7"&gt;&lt;/span&gt;lly s&lt;span class="_ _7"&gt;&lt;/span&gt;ign&lt;span class="_ _7"&gt;&lt;/span&gt;ed i&lt;span class="_ _7"&gt;&lt;/span&gt;n &lt;/span&gt;&lt;span style="display:inherit;clear:left;"&gt;2023/2024 and wi&lt;span class="_ _7"&gt;&lt;/span&gt;th fi&lt;span class="_ _7"&gt;&lt;/span&gt;na&lt;span class="_ _7"&gt;&lt;/span&gt;l re&lt;span class="_ _7"&gt;&lt;/span&gt;pay&lt;span class="_ _7"&gt;&lt;/span&gt;me&lt;span class="_ _7"&gt;&lt;/span&gt;nt du&lt;span class="_ _7"&gt;&lt;/span&gt;ri&lt;span class="_ _7"&gt;&lt;/span&gt;ng 2035.  &lt;/span&gt;&lt;span style="display:inherit;clear:left;"&gt;In Ju&lt;span class="_ _7"&gt;&lt;/span&gt;ne&lt;span class="_ _7"&gt;&lt;/span&gt;, EUR 500 m w&lt;span class="_ _7"&gt;&lt;/span&gt;as r&lt;span class="_ _7"&gt;&lt;/span&gt;ai&lt;span class="_ _7"&gt;&lt;/span&gt;se&lt;span class="_ _7"&gt;&lt;/span&gt;d th&lt;span class="_ _7"&gt;&lt;/span&gt;ro&lt;span class="_ _7"&gt;&lt;/span&gt;ugh a g&lt;span class="_ _7"&gt;&lt;/span&gt;re&lt;span class="_ _7"&gt;&lt;/span&gt;en b&lt;span class="_ _7"&gt;&lt;/span&gt;on&lt;span class="_ _7"&gt;&lt;/span&gt;d is&lt;span class="_ _7"&gt;&lt;/span&gt;s&lt;span class="_ _7"&gt;&lt;/span&gt;ua&lt;span class="_ _7"&gt;&lt;/span&gt;nc&lt;span class="_ _7"&gt;&lt;/span&gt;e &lt;/span&gt;&lt;span style="display:inherit;clear:left;"&gt;wit&lt;span class="_ _7"&gt;&lt;/span&gt;h a ten&lt;span class="_ _7"&gt;&lt;/span&gt;or o&lt;span class="_ _7"&gt;&lt;/span&gt;f fo&lt;span class="_ _7"&gt;&lt;/span&gt;ur ye&lt;span class="_ _7"&gt;&lt;/span&gt;ar&lt;span class="_ _7"&gt;&lt;/span&gt;s&lt;span class="_ _7"&gt;&lt;/span&gt;.  &lt;/span&gt;&lt;span style="display:inherit;clear:left;"&gt;In Se&lt;span class="_ _7"&gt;&lt;/span&gt;pte&lt;span class="_ _7"&gt;&lt;/span&gt;mb&lt;span class="_ _7"&gt;&lt;/span&gt;er, a new gr&lt;span class="_ _7"&gt;&lt;/span&gt;ee&lt;span class="_ _7"&gt;&lt;/span&gt;n bi&lt;span class="_ _7"&gt;&lt;/span&gt;la&lt;span class="_ _7"&gt;&lt;/span&gt;ter&lt;span class="_ _7"&gt;&lt;/span&gt;al e&lt;span class="_ _7"&gt;&lt;/span&gt;igh&lt;span class="_ _7"&gt;&lt;/span&gt;t&lt;span class="_ _2"&gt;&lt;/span&gt;-yea&lt;span class="_ _7"&gt;&lt;/span&gt;r lo&lt;span class="_ _7"&gt;&lt;/span&gt;an ag&lt;span class="_ _7"&gt;&lt;/span&gt;re&lt;span class="_ _7"&gt;&lt;/span&gt;em&lt;span class="_ _7"&gt;&lt;/span&gt;ent o&lt;span class="_ _7"&gt;&lt;/span&gt;f &lt;/span&gt;&lt;span style="display:inherit;clear:left;"&gt;EUR 150 m wa&lt;span class="_ _7"&gt;&lt;/span&gt;s sig&lt;span class="_ _7"&gt;&lt;/span&gt;ne&lt;span class="_ _7"&gt;&lt;/span&gt;d&lt;span class="_ _7"&gt;&lt;/span&gt;. Th&lt;span class="_ _7"&gt;&lt;/span&gt;e loa&lt;span class="_ _7"&gt;&lt;/span&gt;n fa&lt;span class="_ _7"&gt;&lt;/span&gt;cil&lt;span class="_ _7"&gt;&lt;/span&gt;it&lt;span class="_ _7"&gt;&lt;/span&gt;y re&lt;span class="_ _7"&gt;&lt;/span&gt;ma&lt;span class="_ _7"&gt;&lt;/span&gt;in&lt;span class="_ _7"&gt;&lt;/span&gt;s und&lt;span class="_ _7"&gt;&lt;/span&gt;r&lt;span class="_ _7"&gt;&lt;/span&gt;awn a&lt;span class="_ _7"&gt;&lt;/span&gt;s of th&lt;span class="_ _7"&gt;&lt;/span&gt;e &lt;/span&gt;&lt;span style="display:inherit;clear:left;"&gt;en&lt;span class="_ _7"&gt;&lt;/span&gt;d o&lt;span class="_ _7"&gt;&lt;/span&gt;f 2025&lt;span class="_ _7"&gt;&lt;/span&gt;.&lt;/span&gt;&lt;span style="display:inherit;clear:left;"&gt;In O&lt;span class="_ _7"&gt;&lt;/span&gt;cto&lt;span class="_ _7"&gt;&lt;/span&gt;be&lt;span class="_ _7"&gt;&lt;/span&gt;r&lt;span class="_ _2"&gt;&lt;/span&gt;, an e&lt;span class="_ _7"&gt;&lt;/span&gt;xi&lt;span class="_ _7"&gt;&lt;/span&gt;st&lt;span class="_ _7"&gt;&lt;/span&gt;ing e&lt;span class="_ _7"&gt;&lt;/span&gt;igh&lt;span class="_ _7"&gt;&lt;/span&gt;t&lt;span class="_ _2"&gt;&lt;/span&gt;-yea&lt;span class="_ _7"&gt;&lt;/span&gt;r cre&lt;span class="_ _7"&gt;&lt;/span&gt;di&lt;span class="_ _7"&gt;&lt;/span&gt;t fa&lt;span class="_ _7"&gt;&lt;/span&gt;cil&lt;span class="_ _7"&gt;&lt;/span&gt;it&lt;span class="_ _7"&gt;&lt;/span&gt;y am&lt;span class="_ _7"&gt;&lt;/span&gt;ou&lt;span class="_ _7"&gt;&lt;/span&gt;nti&lt;span class="_ _7"&gt;&lt;/span&gt;ng to CN&lt;span class="_ _7"&gt;&lt;/span&gt;Y &lt;/span&gt;&lt;span style="display:inherit;clear:left;"&gt;3,09&lt;span class="_ _7"&gt;&lt;/span&gt;0 m wa&lt;span class="_ _7"&gt;&lt;/span&gt;s ter&lt;span class="_ _7"&gt;&lt;/span&gt;min&lt;span class="_ _7"&gt;&lt;/span&gt;ate&lt;span class="_ _7"&gt;&lt;/span&gt;d&lt;span class="_ _7"&gt;&lt;/span&gt;.  &lt;/span&gt;&lt;span style="display:inherit;clear:left;"&gt;In Nov&lt;span class="_ _7"&gt;&lt;/span&gt;em&lt;span class="_ _7"&gt;&lt;/span&gt;be&lt;span class="_ _7"&gt;&lt;/span&gt;r&lt;span class="_ _2"&gt;&lt;/span&gt;, th&lt;span class="_ _7"&gt;&lt;/span&gt;e fi&lt;span class="_ _7"&gt;&lt;/span&gt;r&lt;span class="_ _7"&gt;&lt;/span&gt;st ex&lt;span class="_ _7"&gt;&lt;/span&gt;te&lt;span class="_ _7"&gt;&lt;/span&gt;ns&lt;span class="_ _7"&gt;&lt;/span&gt;io&lt;span class="_ _7"&gt;&lt;/span&gt;n op&lt;span class="_ _7"&gt;&lt;/span&gt;tio&lt;span class="_ _7"&gt;&lt;/span&gt;n on th&lt;span class="_ _7"&gt;&lt;/span&gt;e ex&lt;span class="_ _7"&gt;&lt;/span&gt;is&lt;span class="_ _7"&gt;&lt;/span&gt;tin&lt;span class="_ _7"&gt;&lt;/span&gt;g su&lt;span class="_ _7"&gt;&lt;/span&gt;st&lt;span class="_ _7"&gt;&lt;/span&gt;ai&lt;span class="_ _7"&gt;&lt;/span&gt;na-&lt;/span&gt;&lt;span style="display:inherit;clear:left;"&gt;bil&lt;span class="_ _7"&gt;&lt;/span&gt;it&lt;span class="_ _7"&gt;&lt;/span&gt;y-li&lt;span class="_ _7"&gt;&lt;/span&gt;nked R&lt;span class="_ _7"&gt;&lt;/span&gt;evol&lt;span class="_ _7"&gt;&lt;/span&gt;vin&lt;span class="_ _7"&gt;&lt;/span&gt;g Cre&lt;span class="_ _7"&gt;&lt;/span&gt;di&lt;span class="_ _7"&gt;&lt;/span&gt;t Faci&lt;span class="_ _7"&gt;&lt;/span&gt;li&lt;span class="_ _7"&gt;&lt;/span&gt;tie&lt;span class="_ _7"&gt;&lt;/span&gt;s wa&lt;span class="_ _7"&gt;&lt;/span&gt;s exer&lt;span class="_ _7"&gt;&lt;/span&gt;cis&lt;span class="_ _7"&gt;&lt;/span&gt;e&lt;span class="_ _7"&gt;&lt;/span&gt;d, ex&lt;span class="_ _7"&gt;&lt;/span&gt;t&lt;span class="_ _7"&gt;&lt;/span&gt;end&lt;span class="_ _7"&gt;&lt;/span&gt;ing &lt;/span&gt;&lt;span style="display:inherit;clear:left;"&gt;mat&lt;span class="_ _7"&gt;&lt;/span&gt;ur&lt;span class="_ _7"&gt;&lt;/span&gt;iti&lt;span class="_ _7"&gt;&lt;/span&gt;es b&lt;span class="_ _7"&gt;&lt;/span&gt;y on&lt;span class="_ _7"&gt;&lt;/span&gt;e yea&lt;span class="_ _7"&gt;&lt;/span&gt;r&lt;span class="_ _2"&gt;&lt;/span&gt;. T&lt;span class="_ _7"&gt;&lt;/span&gt;he up&lt;span class="_ _7"&gt;&lt;/span&gt;da&lt;span class="_ _7"&gt;&lt;/span&gt;ted m&lt;span class="_ _7"&gt;&lt;/span&gt;at&lt;span class="_ _7"&gt;&lt;/span&gt;uri&lt;span class="_ _7"&gt;&lt;/span&gt;ti&lt;span class="_ _7"&gt;&lt;/span&gt;es f&lt;span class="_ _7"&gt;&lt;/span&gt;or th&lt;span class="_ _7"&gt;&lt;/span&gt;e Revo&lt;span class="_ _7"&gt;&lt;/span&gt;lv&lt;span class="_ _7"&gt;&lt;/span&gt;ing &lt;/span&gt;&lt;span style="display:inherit;clear:left;"&gt;Cre&lt;span class="_ _7"&gt;&lt;/span&gt;di&lt;span class="_ _7"&gt;&lt;/span&gt;t Faci&lt;span class="_ _7"&gt;&lt;/span&gt;lit&lt;span class="_ _7"&gt;&lt;/span&gt;ie&lt;span class="_ _7"&gt;&lt;/span&gt;s of EU&lt;span class="_ _7"&gt;&lt;/span&gt;R 500 m a&lt;span class="_ _7"&gt;&lt;/span&gt;nd EUR 1&lt;span class="_ _7"&gt;&lt;/span&gt;,50&lt;span class="_ _7"&gt;&lt;/span&gt;0 m are i&lt;span class="_ _7"&gt;&lt;/span&gt;n 2028 and &lt;/span&gt;&lt;span style="display:inherit;clear:left;"&gt;2030, re&lt;span class="_ _7"&gt;&lt;/span&gt;sp&lt;span class="_ _7"&gt;&lt;/span&gt;ec&lt;span class="_ _7"&gt;&lt;/span&gt;ti&lt;span class="_ _7"&gt;&lt;/span&gt;vely.&lt;/span&gt;&lt;span style="display:inherit;clear:left;"&gt;Th&lt;span class="_ _7"&gt;&lt;/span&gt;e tab&lt;span class="_ _7"&gt;&lt;/span&gt;le b&lt;span class="_ _7"&gt;&lt;/span&gt;el&lt;span class="_ _7"&gt;&lt;/span&gt;ow pr&lt;span class="_ _7"&gt;&lt;/span&gt;es&lt;span class="_ _7"&gt;&lt;/span&gt;en&lt;span class="_ _7"&gt;&lt;/span&gt;ts t&lt;span class="_ _7"&gt;&lt;/span&gt;he o&lt;span class="_ _7"&gt;&lt;/span&gt;ut&lt;span class="_ _7"&gt;&lt;/span&gt;st&lt;span class="_ _7"&gt;&lt;/span&gt;an&lt;span class="_ _7"&gt;&lt;/span&gt;di&lt;span class="_ _7"&gt;&lt;/span&gt;ng de&lt;span class="_ _7"&gt;&lt;/span&gt;bt&lt;span class="_ _7"&gt;&lt;/span&gt;.&lt;/span&gt;&lt;span style="display:inherit;clear:left;position:relative;height:188.55078125px;"&gt;&lt;span class="pp-font-color-override-1" style="position: absolute; display: inline-block; left: 301.094px; top: 0.0039062px; width: 37.998px; white-space: pre; word-spacing: -0.1728px; letter-spacing: 0.1728px; margin-left: 0px; font-size: 9.6px; font-family: ff93; -webkit-text-stroke: 0.144px rgba(0, 0, 0, 0);"&gt;&lt;span style="display: inline-block;"&gt;Nominal&lt;/span&gt;&lt;span class="pp-font-color-override-1" style="word-spacing: 0px; letter-spacing: 0px; display: inline-block; margin-left: 0px; font-size: 9.6px; font-family: ff93; -webkit-text-stroke: 0.144px rgba(0, 0, 0, 0);"&gt;&lt;span style="display: inline-block;"&gt;-&lt;/span&gt;&lt;/span&gt;&lt;/span&gt;&lt;span class="pp-font-color-override-1" style="position: absolute; display: inline-block; left: 186.906px; top: 10.5039px; width: 79.6348px; white-space: pre; word-spacing: -0.1728px; letter-spacing: 0.1728px; margin-left: 0px; font-size: 9.6px; font-family: ff93; -webkit-text-stroke: 0.144px rgba(0, 0, 0, 0);"&gt;&lt;span style="display: inline-block;"&gt;Nominal amount in &lt;/span&gt;&lt;/span&gt;&lt;span class="pp-font-color-override-1" style="position: absolute; display: inline-block; left: 297.891px; top: 10.5039px; width: 41.8828px; white-space: pre; word-spacing: 0px; letter-spacing: 0px; margin-left: 0px; font-size: 9.6px; font-family: ff93; -webkit-text-stroke: 0.144px rgba(0, 0, 0, 0);"&gt;&lt;span style="display: inline-block;"&gt;am&lt;/span&gt;&lt;span style="word-spacing: 0px; letter-spacing: 0px; display: inline-block; margin-left: 0px; width: 0.410156px; font-size: 9.6px; font-family: ff93; -webkit-text-stroke: 0.144px rgba(0, 0, 0, 0);"&gt;&lt;/span&gt;&lt;span style="display: inline-block;"&gt;oun&lt;/span&gt;&lt;span style="word-spacing: 0px; letter-spacing: 0px; display: inline-block; margin-left: 0px; width: 0.410156px; font-size: 9.6px; font-family: ff93; -webkit-text-stroke: 0.144px rgba(0, 0, 0, 0);"&gt;&lt;/span&gt;&lt;span style="display: inline-block;"&gt;t in &lt;/span&gt;&lt;/span&gt;&lt;span class="pp-font-color-override-1" style="position: absolute; display: inline-block; left: 0px; top: 21.0039px; width: 141.902px; white-space: pre; word-spacing: -0.192px; letter-spacing: 0.192px; margin-left: 0px; font-size: 9.6px; font-family: ff94; -webkit-text-stroke: 0.144px rgba(0, 0, 0, 0);"&gt;&lt;span style="display: inline-block;"&gt;Funding&lt;/span&gt;&lt;span style="word-spacing: -0.192px; letter-spacing: 0.192px; display: inline-block; margin-left: 0px; width: 71.6134px; font-size: 9.6px; font-family: ff94; -webkit-text-stroke: 0.144px rgba(0, 0, 0, 0);"&gt;&lt;span style="display: inline-block;"&gt; &lt;/span&gt;&lt;/span&gt;&lt;span class="pp-font-color-override-1" style="word-spacing: -0.1536px; letter-spacing: 0.1536px; display: inline-block; margin-left: 0px; font-size: 9.6px; font-family: ff93; -webkit-text-stroke: 0.144px rgba(0, 0, 0, 0);"&gt;&lt;span style="display: inline-block;"&gt;Currency&lt;/span&gt;&lt;/span&gt;&lt;/span&gt;&lt;span class="pp-font-color-override-1" style="position: absolute; display: inline-block; left: 187.984px; top: 21.0039px; width: 76.418px; white-space: pre; word-spacing: 0px; letter-spacing: 0px; margin-left: 0px; font-size: 9.6px; font-family: ff93; -webkit-text-stroke: 0.144px rgba(0, 0, 0, 0);"&gt;&lt;span style="display: inline-block;"&gt;loc&lt;/span&gt;&lt;span style="word-spacing: 0px; letter-spacing: 0px; display: inline-block; margin-left: 0px; width: 0.410156px; font-size: 9.6px; font-family: ff93; -webkit-text-stroke: 0.144px rgba(0, 0, 0, 0);"&gt;&lt;/span&gt;&lt;span style="display: inline-block;"&gt;a&lt;/span&gt;&lt;span style="word-spacing: 0px; letter-spacing: 0px; display: inline-block; margin-left: 0px; width: 0.410156px; font-size: 9.6px; font-family: ff93; -webkit-text-stroke: 0.144px rgba(0, 0, 0, 0);"&gt;&lt;/span&gt;&lt;span style="display: inline-block;"&gt;l  cur&lt;/span&gt;&lt;span style="word-spacing: 0px; letter-spacing: 0px; display: inline-block; margin-left: 0px; width: 0.410156px; font-size: 9.6px; font-family: ff93; -webkit-text-stroke: 0.144px rgba(0, 0, 0, 0);"&gt;&lt;/span&gt;&lt;span style="display: inline-block;"&gt;re&lt;/span&gt;&lt;span style="word-spacing: 0px; letter-spacing: 0px; display: inline-block; margin-left: 0px; width: 0.410156px; font-size: 9.6px; font-family: ff93; -webkit-text-stroke: 0.144px rgba(0, 0, 0, 0);"&gt;&lt;/span&gt;&lt;span style="display: inline-block;"&gt;nc&lt;/span&gt;&lt;span style="word-spacing: 0px; letter-spacing: 0px; display: inline-block; margin-left: 0px; width: 0.410156px; font-size: 9.6px; font-family: ff93; -webkit-text-stroke: 0.144px rgba(0, 0, 0, 0);"&gt;&lt;/span&gt;&lt;span style="display: inline-block;"&gt;y (M)&lt;/span&gt;&lt;/span&gt;&lt;span class="pp-font-color-override-1" style="position: absolute; display: inline-block; left: 308.406px; top: 21.0039px; width: 35.4609px; white-space: pre; word-spacing: 0px; letter-spacing: 0px; margin-left: 0px; font-size: 9.6px; font-family: ff93; -webkit-text-stroke: 0.144px rgba(0, 0, 0, 0);"&gt;&lt;span style="display: inline-block;"&gt;SEK (M)&lt;/span&gt;&lt;/span&gt;&lt;span class="pp-font-color-override-1" style="position: absolute; display: inline-block; left: 0px; top: 44.3535px; width: 106.348px; white-space: pre; word-spacing: -0.147px; letter-spacing: 0.1785px; margin-left: 0px; font-size: 10.5px; font-family: ff95; -webkit-text-stroke: 0.1575px rgba(0, 0, 0, 0);"&gt;&lt;span style="display: inline-block;"&gt;Bank loan&lt;/span&gt;&lt;span style="word-spacing: -0.147px; letter-spacing: 0.1785px; display: inline-block; margin-left: 0px; width: 62.0216px; font-size: 10.5px; font-family: ff95; -webkit-text-stroke: 0.1575px rgba(0, 0, 0, 0);"&gt;&lt;span style="display: inline-block;"&gt; &lt;/span&gt;&lt;/span&gt;&lt;/span&gt;&lt;span class="pp-font-color-override-1" style="position: absolute; display: inline-block; left: 106.348px; top: 44.3535px; width: 228.627px; white-space: pre; word-spacing: -0.1575px; letter-spacing: 0.1575px; margin-left: 0px; font-size: 10.5px; font-family: ff95; -webkit-text-stroke: 0.1575px rgba(0, 0, 0, 0);"&gt;&lt;span style="display: inline-block;"&gt;USD&lt;/span&gt;&lt;span style="word-spacing: -0.1575px; letter-spacing: 0.1575px; display: inline-block; margin-left: 0px; width: 127.014px; font-size: 10.5px; font-family: ff95; -webkit-text-stroke: 0.1575px rgba(0, 0, 0, 0);"&gt;&lt;span style="display: inline-block;"&gt; &lt;/span&gt;&lt;/span&gt;&lt;span class="pp-font-color-override-1" style="word-spacing: -0.042px; letter-spacing: 0.042px; display: inline-block; margin-left: 0px; font-size: 10.5px; font-family: ff95; -webkit-text-stroke: 0.1575px rgba(0, 0, 0, 0);"&gt;&lt;span style="display: inline-block;"&gt;23&lt;/span&gt;&lt;span style="word-spacing: -0.042px; letter-spacing: 0.042px; display: inline-block; margin-left: 0px; width: 53.6659px; font-size: 10.5px; font-family: ff95; -webkit-text-stroke: 0.1575px rgba(0, 0, 0, 0);"&gt;&lt;span style="display: inline-block;"&gt; &lt;/span&gt;&lt;/span&gt;&lt;span class="pp-font-color-override-1" style="word-spacing: 0.0945px; letter-spacing: -0.0945px; display: inline-block; margin-left: 0px; font-size: 10.5px; font-family: ff95; -webkit-text-stroke: 0.1575px rgba(0, 0, 0, 0);"&gt;&lt;span style="display: inline-block;"&gt;2&lt;/span&gt;&lt;span style="word-spacing: 0.0945px; letter-spacing: -0.0945px; display: inline-block; margin-left: 0px; width: 0.410156px; font-size: 10.5px; font-family: ff95; -webkit-text-stroke: 0.1575px rgba(0, 0, 0, 0);"&gt;&lt;/span&gt;&lt;span style="display: inline-block;"&gt;15&lt;/span&gt;&lt;/span&gt;&lt;/span&gt;&lt;/span&gt;&lt;span class="pp-font-color-override-1" style="position: absolute; display: inline-block; left: 0px; top: 61.0098px; width: 106.348px; white-space: pre; word-spacing: -0.147px; letter-spacing: 0.1785px; margin-left: 0px; font-size: 10.5px; font-family: ff95; -webkit-text-stroke: 0.1575px rgba(0, 0, 0, 0);"&gt;&lt;span style="display: inline-block;"&gt;Bank loan&lt;/span&gt;&lt;span style="word-spacing: -0.147px; letter-spacing: 0.1785px; display: inline-block; margin-left: 0px; width: 62.0216px; font-size: 10.5px; font-family: ff95; -webkit-text-stroke: 0.1575px rgba(0, 0, 0, 0);"&gt;&lt;span style="display: inline-block;"&gt; &lt;/span&gt;&lt;/span&gt;&lt;/span&gt;&lt;span class="pp-font-color-override-1" style="position: absolute; display: inline-block; left: 106.348px; top: 61.0098px; width: 226.564px; white-space: pre; word-spacing: -0.042px; letter-spacing: 0.042px; margin-left: 0px; font-size: 10.5px; font-family: ff95; -webkit-text-stroke: 0.1575px rgba(0, 0, 0, 0);"&gt;&lt;span style="display: inline-block;"&gt;SEK&lt;/span&gt;&lt;span style="word-spacing: -0.042px; letter-spacing: 0.042px; display: inline-block; margin-left: 0px; width: 123.006px; font-size: 10.5px; font-family: ff95; -webkit-text-stroke: 0.1575px rgba(0, 0, 0, 0);"&gt;&lt;span style="display: inline-block;"&gt; &lt;/span&gt;&lt;/span&gt;&lt;span class="pp-font-color-override-1" style="word-spacing: -0.0315px; letter-spacing: 0.0315px; display: inline-block; margin-left: 0px; font-size: 10.5px; font-family: ff95; -webkit-text-stroke: 0.1575px rgba(0, 0, 0, 0);"&gt;&lt;span style="display: inline-block;"&gt;357&lt;/span&gt;&lt;span style="word-spacing: -0.0315px; letter-spacing: 0.0315px; display: inline-block; margin-left: 0px; width: 51.8966px; font-size: 10.5px; font-family: ff95; -webkit-text-stroke: 0.1575px rgba(0, 0, 0, 0);"&gt;&lt;span style="display: inline-block;"&gt; &lt;/span&gt;&lt;/span&gt;&lt;span style="display: inline-block;"&gt;357&lt;/span&gt;&lt;/span&gt;&lt;/span&gt;&lt;span class="pp-font-color-override-1" style="position: absolute; display: inline-block; left: 71.6875px; top: 77.418px; width: 5.07422px; white-space: pre; word-spacing: 0.012243px; letter-spacing: -0.012243px; margin-left: 0px; font-size: 6.1215px; font-family: ff95; -webkit-text-stroke: 0.0918225px rgba(0, 0, 0, 0);"&gt;&lt;span style="display: inline-block;"&gt;1)&lt;/span&gt;&lt;/span&gt;&lt;span class="pp-font-color-override-1" style="position: absolute; display: inline-block; left: 0px; top: 77.5723px; width: 65.9941px; white-space: pre; word-spacing: 0px; letter-spacing: 0.0315px; margin-left: 0px; font-size: 10.5px; font-family: ff95; -webkit-text-stroke: 0.1575px rgba(0, 0, 0, 0);"&gt;&lt;span style="display: inline-block;"&gt;Ba&lt;/span&gt;&lt;span style="word-spacing: 0px; letter-spacing: 0.0315px; display: inline-block; margin-left: 0px; width: 0.410156px; font-size: 10.5px; font-family: ff95; -webkit-text-stroke: 0.1575px rgba(0, 0, 0, 0);"&gt;&lt;/span&gt;&lt;span style="display: inline-block;"&gt;nk lo&lt;/span&gt;&lt;span style="word-spacing: 0px; letter-spacing: 0.0315px; display: inline-block; margin-left: 0px; width: 0.410156px; font-size: 10.5px; font-family: ff95; -webkit-text-stroke: 0.1575px rgba(0, 0, 0, 0);"&gt;&lt;/span&gt;&lt;span style="display: inline-block;"&gt;an GFF&lt;/span&gt;&lt;/span&gt;&lt;span class="pp-font-color-override-1" style="position: absolute; display: inline-block; left: 111.078px; top: 77.5723px; width: 224.566px; white-space: pre; word-spacing: -0.042px; letter-spacing: 0.042px; margin-left: 0px; font-size: 10.5px; font-family: ff95; -webkit-text-stroke: 0.1575px rgba(0, 0, 0, 0);"&gt;&lt;span style="display: inline-block;"&gt;SEK&lt;/span&gt;&lt;span style="word-spacing: -0.042px; letter-spacing: 0.042px; display: inline-block; margin-left: 0px; width: 113.431px; font-size: 10.5px; font-family: ff95; -webkit-text-stroke: 0.1575px rgba(0, 0, 0, 0);"&gt;&lt;span style="display: inline-block;"&gt; &lt;/span&gt;&lt;/span&gt;&lt;span class="pp-font-color-override-1" style="word-spacing: -0.189px; letter-spacing: 0.189px; display: inline-block; margin-left: 0px; font-size: 10.5px; font-family: ff95; -webkit-text-stroke: 0.1575px rgba(0, 0, 0, 0);"&gt;&lt;span style="display: inline-block;"&gt;1,000&lt;/span&gt;&lt;span style="word-spacing: -0.189px; letter-spacing: 0.189px; display: inline-block; margin-left: 0px; width: 42.0232px; font-size: 10.5px; font-family: ff95; -webkit-text-stroke: 0.1575px rgba(0, 0, 0, 0);"&gt;&lt;span style="display: inline-block;"&gt; &lt;/span&gt;&lt;/span&gt;&lt;span style="display: inline-block;"&gt;1,000&lt;/span&gt;&lt;/span&gt;&lt;/span&gt;&lt;span class="pp-font-color-override-1" style="position: absolute; display: inline-block; left: 71.6875px; top: 93.9805px; width: 5.07422px; white-space: pre; word-spacing: 0.012243px; letter-spacing: -0.012243px; margin-left: 0px; font-size: 6.1215px; font-family: ff95; -webkit-text-stroke: 0.0918225px rgba(0, 0, 0, 0);"&gt;&lt;span style="display: inline-block;"&gt;1)&lt;/span&gt;&lt;/span&gt;&lt;span class="pp-font-color-override-1" style="position: absolute; display: inline-block; left: 0px; top: 94.1348px; width: 65.9941px; white-space: pre; word-spacing: 0px; letter-spacing: 0.0315px; margin-left: 0px; font-size: 10.5px; font-family: ff95; -webkit-text-stroke: 0.1575px rgba(0, 0, 0, 0);"&gt;&lt;span style="display: inline-block;"&gt;Ba&lt;/span&gt;&lt;span style="word-spacing: 0px; letter-spacing: 0.0315px; display: inline-block; margin-left: 0px; width: 0.410156px; font-size: 10.5px; font-family: ff95; -webkit-text-stroke: 0.1575px rgba(0, 0, 0, 0);"&gt;&lt;/span&gt;&lt;span style="display: inline-block;"&gt;nk lo&lt;/span&gt;&lt;span style="word-spacing: 0px; letter-spacing: 0.0315px; display: inline-block; margin-left: 0px; width: 0.410156px; font-size: 10.5px; font-family: ff95; -webkit-text-stroke: 0.1575px rgba(0, 0, 0, 0);"&gt;&lt;/span&gt;&lt;span style="display: inline-block;"&gt;an GFF&lt;/span&gt;&lt;/span&gt;&lt;span class="pp-font-color-override-1" style="position: absolute; display: inline-block; left: 111.078px; top: 94.1348px; width: 230.033px; white-space: pre; word-spacing: -0.084px; letter-spacing: 0.084px; margin-left: 0px; font-size: 10.5px; font-family: ff95; -webkit-text-stroke: 0.1575px rgba(0, 0, 0, 0);"&gt;&lt;span style="display: inline-block;"&gt;EUR&lt;/span&gt;&lt;span style="word-spacing: -0.084px; letter-spacing: 0.084px; display: inline-block; margin-left: 0px; width: 123.65px; font-size: 10.5px; font-family: ff95; -webkit-text-stroke: 0.1575px rgba(0, 0, 0, 0);"&gt;&lt;span style="display: inline-block;"&gt; &lt;/span&gt;&lt;/span&gt;&lt;span class="pp-font-color-override-1" style="word-spacing: 0.021px; letter-spacing: -0.021px; display: inline-block; margin-left: 0px; font-size: 10.5px; font-family: ff95; -webkit-text-stroke: 0.1575px rgba(0, 0, 0, 0);"&gt;&lt;span style="display: inline-block;"&gt;182&lt;/span&gt;&lt;span style="word-spacing: 0.021px; letter-spacing: -0.021px; display: inline-block; margin-left: 0px; width: 44.754px; font-size: 10.5px; font-family: ff95; -webkit-text-stroke: 0.1575px rgba(0, 0, 0, 0);"&gt;&lt;span style="display: inline-block;"&gt;&lt;span style="width: 2.625px; display: inline-block;"&gt; &lt;/span&gt;&lt;/span&gt;&lt;/span&gt;&lt;span class="pp-font-color-override-1" style="word-spacing: -0.21px; letter-spacing: 0.21px; display: inline-block; margin-left: 0px; font-size: 10.5px; font-family: ff95; -webkit-text-stroke: 0.1575px rgba(0, 0, 0, 0);"&gt;&lt;span style="display: inline-block;"&gt;1,967&lt;/span&gt;&lt;/span&gt;&lt;/span&gt;&lt;/span&gt;&lt;span class="pp-font-color-override-1" style="position: absolute; display: inline-block; left: 71.6875px; top: 110.543px; width: 5.07422px; white-space: pre; word-spacing: 0.012243px; letter-spacing: -0.012243px; margin-left: 0px; font-size: 6.1215px; font-family: ff95; -webkit-text-stroke: 0.0918225px rgba(0, 0, 0, 0);"&gt;&lt;span style="display: inline-block;"&gt;1)&lt;/span&gt;&lt;/span&gt;&lt;span class="pp-font-color-override-1" style="position: absolute; display: inline-block; left: 0px; top: 110.697px; width: 65.9941px; white-space: pre; word-spacing: 0px; letter-spacing: 0.0315px; margin-left: 0px; font-size: 10.5px; font-family: ff95; -webkit-text-stroke: 0.1575px rgba(0, 0, 0, 0);"&gt;&lt;span style="display: inline-block;"&gt;Ba&lt;/span&gt;&lt;span style="word-spacing: 0px; letter-spacing: 0.0315px; display: inline-block; margin-left: 0px; width: 0.410156px; font-size: 10.5px; font-family: ff95; -webkit-text-stroke: 0.1575px rgba(0, 0, 0, 0);"&gt;&lt;/span&gt;&lt;span style="display: inline-block;"&gt;nk lo&lt;/span&gt;&lt;span style="word-spacing: 0px; letter-spacing: 0.0315px; display: inline-block; margin-left: 0px; width: 0.410156px; font-size: 10.5px; font-family: ff95; -webkit-text-stroke: 0.1575px rgba(0, 0, 0, 0);"&gt;&lt;/span&gt;&lt;span style="display: inline-block;"&gt;an GFF&lt;/span&gt;&lt;/span&gt;&lt;span class="pp-font-color-override-1" style="position: absolute; display: inline-block; left: 111.078px; top: 110.697px; width: 223.008px; white-space: pre; word-spacing: -0.1575px; letter-spacing: 0.1575px; margin-left: 0px; font-size: 10.5px; font-family: ff95; -webkit-text-stroke: 0.1575px rgba(0, 0, 0, 0);"&gt;&lt;span style="display: inline-block;"&gt;USD&lt;/span&gt;&lt;span style="word-spacing: -0.1575px; letter-spacing: 0.1575px; display: inline-block; margin-left: 0px; width: 119.332px; font-size: 10.5px; font-family: ff95; -webkit-text-stroke: 0.1575px rgba(0, 0, 0, 0);"&gt;&lt;span style="display: inline-block;"&gt; &lt;/span&gt;&lt;/span&gt;&lt;span class="pp-font-color-override-1" style="word-spacing: -0.1785px; letter-spacing: 0.1785px; display: inline-block; margin-left: 0px; font-size: 10.5px; font-family: ff95; -webkit-text-stroke: 0.1575px rgba(0, 0, 0, 0);"&gt;&lt;span style="display: inline-block;"&gt;438&lt;/span&gt;&lt;span style="word-spacing: -0.1785px; letter-spacing: 0.1785px; display: inline-block; margin-left: 0px; width: 42.0232px; font-size: 10.5px; font-family: ff95; -webkit-text-stroke: 0.1575px rgba(0, 0, 0, 0);"&gt;&lt;span style="display: inline-block;"&gt; &lt;/span&gt;</t>
  </si>
  <si>
    <t>f1__s8__6__213-1</t>
  </si>
  <si>
    <t>ifrs-full:DisclosureOfBorrowingsExplanatory</t>
  </si>
  <si>
    <t>f1__s8__6__22-1</t>
  </si>
  <si>
    <t>ifrs-full:DisclosureOfSignificantInvestmentsInSubsidiariesExplanatory</t>
  </si>
  <si>
    <t>&lt;span style="display:inherit;clear:left;"&gt;Basis of consolidat&lt;span class="_ _2"&gt;&lt;/span&gt;ion&lt;/span&gt;&lt;span style="display:inherit;clear:left;"&gt;Th&lt;span class="_ _7"&gt;&lt;/span&gt;e con&lt;span class="_ _7"&gt;&lt;/span&gt;s&lt;span class="_ _7"&gt;&lt;/span&gt;oli&lt;span class="_ _7"&gt;&lt;/span&gt;da&lt;span class="_ _7"&gt;&lt;/span&gt;ted a&lt;span class="_ _7"&gt;&lt;/span&gt;cc&lt;span class="_ _7"&gt;&lt;/span&gt;oun&lt;span class="_ _7"&gt;&lt;/span&gt;ts i&lt;span class="_ _7"&gt;&lt;/span&gt;nc&lt;span class="_ _7"&gt;&lt;/span&gt;lud&lt;span class="_ _7"&gt;&lt;/span&gt;e Volvo Ca&lt;span class="_ _7"&gt;&lt;/span&gt;r AB (p&lt;span class="_ _7"&gt;&lt;/span&gt;ub&lt;span class="_ _7"&gt;&lt;/span&gt;l.) a&lt;span class="_ _7"&gt;&lt;/span&gt;nd i&lt;span class="_ _7"&gt;&lt;/span&gt;ts  &lt;/span&gt;&lt;span style="display:inherit;clear:left;"&gt;sub&lt;span class="_ _7"&gt;&lt;/span&gt;s&lt;span class="_ _7"&gt;&lt;/span&gt;idi&lt;span class="_ _7"&gt;&lt;/span&gt;ar&lt;span class="_ _7"&gt;&lt;/span&gt;ie&lt;span class="_ _7"&gt;&lt;/span&gt;s&lt;span class="_ _7"&gt;&lt;/span&gt;. Sub&lt;span class="_ _7"&gt;&lt;/span&gt;s&lt;span class="_ _7"&gt;&lt;/span&gt;idi&lt;span class="_ _7"&gt;&lt;/span&gt;ar&lt;span class="_ _7"&gt;&lt;/span&gt;ie&lt;span class="_ _7"&gt;&lt;/span&gt;s ar&lt;span class="_ _7"&gt;&lt;/span&gt;e all e&lt;span class="_ _7"&gt;&lt;/span&gt;nti&lt;span class="_ _7"&gt;&lt;/span&gt;tie&lt;span class="_ _7"&gt;&lt;/span&gt;s ov&lt;span class="_ _7"&gt;&lt;/span&gt;er wh&lt;span class="_ _7"&gt;&lt;/span&gt;ich Volvo C&lt;span class="_ _7"&gt;&lt;/span&gt;ar G&lt;span class="_ _7"&gt;&lt;/span&gt;ro&lt;span class="_ _7"&gt;&lt;/span&gt;up &lt;/span&gt;&lt;span style="display:inherit;clear:left;"&gt;ha&lt;span class="_ _7"&gt;&lt;/span&gt;s con&lt;span class="_ _7"&gt;&lt;/span&gt;tr&lt;span class="_ _7"&gt;&lt;/span&gt;ol&lt;span class="_ _7"&gt;&lt;/span&gt;. Volvo Ca&lt;span class="_ _7"&gt;&lt;/span&gt;r Gr&lt;span class="_ _7"&gt;&lt;/span&gt;oup c&lt;span class="_ _7"&gt;&lt;/span&gt;on&lt;span class="_ _7"&gt;&lt;/span&gt;tro&lt;span class="_ _7"&gt;&lt;/span&gt;l&lt;span class="_ _7"&gt;&lt;/span&gt;s an en&lt;span class="_ _7"&gt;&lt;/span&gt;tit&lt;span class="_ _7"&gt;&lt;/span&gt;y w&lt;span class="_ _7"&gt;&lt;/span&gt;he&lt;span class="_ _7"&gt;&lt;/span&gt;n exp&lt;span class="_ _7"&gt;&lt;/span&gt;os&lt;span class="_ _7"&gt;&lt;/span&gt;e&lt;span class="_ _7"&gt;&lt;/span&gt;d to, o&lt;span class="_ _7"&gt;&lt;/span&gt;r &lt;/span&gt;&lt;span style="display:inherit;clear:left;"&gt;ha&lt;span class="_ _7"&gt;&lt;/span&gt;s rig&lt;span class="_ _7"&gt;&lt;/span&gt;ht&lt;span class="_ _7"&gt;&lt;/span&gt;s to, v&lt;span class="_ _7"&gt;&lt;/span&gt;ari&lt;span class="_ _7"&gt;&lt;/span&gt;ab&lt;span class="_ _7"&gt;&lt;/span&gt;le re&lt;span class="_ _7"&gt;&lt;/span&gt;tur&lt;span class="_ _7"&gt;&lt;/span&gt;ns f&lt;span class="_ _7"&gt;&lt;/span&gt;r&lt;span class="_ _7"&gt;&lt;/span&gt;om it&lt;span class="_ _7"&gt;&lt;/span&gt;s in&lt;span class="_ _7"&gt;&lt;/span&gt;volv&lt;span class="_ _7"&gt;&lt;/span&gt;eme&lt;span class="_ _7"&gt;&lt;/span&gt;nt w&lt;span class="_ _7"&gt;&lt;/span&gt;ith t&lt;span class="_ _7"&gt;&lt;/span&gt;he en&lt;span class="_ _7"&gt;&lt;/span&gt;tit&lt;span class="_ _7"&gt;&lt;/span&gt;y &lt;/span&gt;&lt;span style="display:inherit;clear:left;"&gt;and h&lt;span class="_ _7"&gt;&lt;/span&gt;as t&lt;span class="_ _7"&gt;&lt;/span&gt;he a&lt;span class="_ _7"&gt;&lt;/span&gt;bil&lt;span class="_ _7"&gt;&lt;/span&gt;it&lt;span class="_ _7"&gt;&lt;/span&gt;y to a&lt;span class="_ _7"&gt;&lt;/span&gt;f&lt;span class="_ _7"&gt;&lt;/span&gt;fe&lt;span class="_ _7"&gt;&lt;/span&gt;ct t&lt;span class="_ _7"&gt;&lt;/span&gt;ho&lt;span class="_ _7"&gt;&lt;/span&gt;se r&lt;span class="_ _7"&gt;&lt;/span&gt;et&lt;span class="_ _7"&gt;&lt;/span&gt;urn&lt;span class="_ _7"&gt;&lt;/span&gt;s th&lt;span class="_ _7"&gt;&lt;/span&gt;ro&lt;span class="_ _7"&gt;&lt;/span&gt;ugh i&lt;span class="_ _7"&gt;&lt;/span&gt;ts p&lt;span class="_ _7"&gt;&lt;/span&gt;owe&lt;span class="_ _7"&gt;&lt;/span&gt;r ove&lt;span class="_ _7"&gt;&lt;/span&gt;r the &lt;/span&gt;&lt;span style="display:inherit;clear:left;"&gt;e&lt;span class="_ _7"&gt;&lt;/span&gt;n&lt;span class="_ _7"&gt;&lt;/span&gt;t&lt;span class="_ _7"&gt;&lt;/span&gt;i&lt;span class="_ _7"&gt;&lt;/span&gt;t&lt;span class="_ _7"&gt;&lt;/span&gt;y.&lt;span class="_ _7"&gt;&lt;/span&gt; &lt;/span&gt;&lt;span style="display:inherit;clear:left;"&gt;All w&lt;span class="_ _7"&gt;&lt;/span&gt;ho&lt;span class="_ _7"&gt;&lt;/span&gt;lly-ow&lt;span class="_ _7"&gt;&lt;/span&gt;ne&lt;span class="_ _7"&gt;&lt;/span&gt;d su&lt;span class="_ _7"&gt;&lt;/span&gt;bs&lt;span class="_ _7"&gt;&lt;/span&gt;idi&lt;span class="_ _7"&gt;&lt;/span&gt;ar&lt;span class="_ _7"&gt;&lt;/span&gt;ie&lt;span class="_ _7"&gt;&lt;/span&gt;s an&lt;span class="_ _7"&gt;&lt;/span&gt;d ce&lt;span class="_ _7"&gt;&lt;/span&gt;r&lt;span class="_ _7"&gt;&lt;/span&gt;ta&lt;span class="_ _7"&gt;&lt;/span&gt;in c&lt;span class="_ _7"&gt;&lt;/span&gt;omp&lt;span class="_ _7"&gt;&lt;/span&gt;an&lt;span class="_ _7"&gt;&lt;/span&gt;ie&lt;span class="_ _7"&gt;&lt;/span&gt;s own&lt;span class="_ _7"&gt;&lt;/span&gt;e&lt;span class="_ _7"&gt;&lt;/span&gt;d to &lt;/span&gt;&lt;span style="display:inherit;clear:left;"&gt;50 pe&lt;span class="_ _7"&gt;&lt;/span&gt;r ce&lt;span class="_ _7"&gt;&lt;/span&gt;nt or m&lt;span class="_ _7"&gt;&lt;/span&gt;or&lt;span class="_ _7"&gt;&lt;/span&gt;e, ar&lt;span class="_ _7"&gt;&lt;/span&gt;e co&lt;span class="_ _7"&gt;&lt;/span&gt;ns&lt;span class="_ _7"&gt;&lt;/span&gt;o&lt;span class="_ _7"&gt;&lt;/span&gt;lid&lt;span class="_ _7"&gt;&lt;/span&gt;ate&lt;span class="_ _7"&gt;&lt;/span&gt;d, s&lt;span class="_ _7"&gt;&lt;/span&gt;e&lt;span class="_ _7"&gt;&lt;/span&gt;e Note 8 – P&lt;span class="_ _7"&gt;&lt;/span&gt;ar&lt;span class="_ _7"&gt;&lt;/span&gt;ti&lt;span class="_ _7"&gt;&lt;/span&gt;ci&lt;span class="_ _7"&gt;&lt;/span&gt;pat&lt;span class="_ _7"&gt;&lt;/span&gt;io&lt;span class="_ _7"&gt;&lt;/span&gt;n in &lt;/span&gt;&lt;span style="display:inherit;clear:left;"&gt;subsidiaries (Parent&lt;span class="_ _2"&gt;&lt;/span&gt; Company)&lt;span class="_ _2"&gt;&lt;/span&gt;. Subsidiaries are full&lt;span class="_ _2"&gt;&lt;/span&gt;y consolidated &lt;/span&gt;&lt;span style="display:inherit;clear:left;"&gt;fr&lt;span class="_ _7"&gt;&lt;/span&gt;om th&lt;span class="_ _7"&gt;&lt;/span&gt;e da&lt;span class="_ _7"&gt;&lt;/span&gt;te on w&lt;span class="_ _7"&gt;&lt;/span&gt;hic&lt;span class="_ _7"&gt;&lt;/span&gt;h co&lt;span class="_ _7"&gt;&lt;/span&gt;ntr&lt;span class="_ _7"&gt;&lt;/span&gt;ol i&lt;span class="_ _7"&gt;&lt;/span&gt;s tr&lt;span class="_ _7"&gt;&lt;/span&gt;an&lt;span class="_ _7"&gt;&lt;/span&gt;sf&lt;span class="_ _7"&gt;&lt;/span&gt;er&lt;span class="_ _7"&gt;&lt;/span&gt;re&lt;span class="_ _7"&gt;&lt;/span&gt;d to Volvo Ca&lt;span class="_ _7"&gt;&lt;/span&gt;r Gr&lt;span class="_ _7"&gt;&lt;/span&gt;oup&lt;span class="_ _7"&gt;&lt;/span&gt;. &lt;/span&gt;&lt;span style="display:inherit;clear:left;"&gt;Th&lt;span class="_ _7"&gt;&lt;/span&gt;ey are d&lt;span class="_ _7"&gt;&lt;/span&gt;ec&lt;span class="_ _7"&gt;&lt;/span&gt;on&lt;span class="_ _7"&gt;&lt;/span&gt;s&lt;span class="_ _7"&gt;&lt;/span&gt;oli&lt;span class="_ _7"&gt;&lt;/span&gt;da&lt;span class="_ _7"&gt;&lt;/span&gt;ted f&lt;span class="_ _7"&gt;&lt;/span&gt;ro&lt;span class="_ _7"&gt;&lt;/span&gt;m th&lt;span class="_ _7"&gt;&lt;/span&gt;e date t&lt;span class="_ _7"&gt;&lt;/span&gt;ha&lt;span class="_ _7"&gt;&lt;/span&gt;t con&lt;span class="_ _7"&gt;&lt;/span&gt;tro&lt;span class="_ _7"&gt;&lt;/span&gt;l ce&lt;span class="_ _7"&gt;&lt;/span&gt;as&lt;span class="_ _7"&gt;&lt;/span&gt;e&lt;span class="_ _7"&gt;&lt;/span&gt;s&lt;span class="_ _7"&gt;&lt;/span&gt;. Whe&lt;span class="_ _7"&gt;&lt;/span&gt;n &lt;/span&gt;&lt;span style="display:inherit;clear:left;"&gt;a sub&lt;span class="_ _7"&gt;&lt;/span&gt;s&lt;span class="_ _7"&gt;&lt;/span&gt;idi&lt;span class="_ _7"&gt;&lt;/span&gt;ar&lt;span class="_ _7"&gt;&lt;/span&gt;y i&lt;span class="_ _7"&gt;&lt;/span&gt;s no&lt;span class="_ _7"&gt;&lt;/span&gt;t wh&lt;span class="_ _7"&gt;&lt;/span&gt;ol&lt;span class="_ _7"&gt;&lt;/span&gt;ly-own&lt;span class="_ _7"&gt;&lt;/span&gt;ed by Volvo C&lt;span class="_ _7"&gt;&lt;/span&gt;ar G&lt;span class="_ _7"&gt;&lt;/span&gt;ro&lt;span class="_ _7"&gt;&lt;/span&gt;up, t&lt;span class="_ _7"&gt;&lt;/span&gt;he p&lt;span class="_ _7"&gt;&lt;/span&gt;or&lt;span class="_ _7"&gt;&lt;/span&gt;ti&lt;span class="_ _7"&gt;&lt;/span&gt;on o&lt;span class="_ _7"&gt;&lt;/span&gt;f &lt;/span&gt;&lt;span style="display:inherit;clear:left;"&gt;the r&lt;span class="_ _7"&gt;&lt;/span&gt;es&lt;span class="_ _7"&gt;&lt;/span&gt;ult&lt;span class="_ _7"&gt;&lt;/span&gt;s an&lt;span class="_ _7"&gt;&lt;/span&gt;d eq&lt;span class="_ _7"&gt;&lt;/span&gt;ui&lt;span class="_ _7"&gt;&lt;/span&gt;t&lt;span class="_ _7"&gt;&lt;/span&gt;y at&lt;span class="_ _7"&gt;&lt;/span&gt;tr&lt;span class="_ _7"&gt;&lt;/span&gt;ibu&lt;span class="_ _7"&gt;&lt;/span&gt;ta&lt;span class="_ _7"&gt;&lt;/span&gt;bl&lt;span class="_ _7"&gt;&lt;/span&gt;e to the n&lt;span class="_ _7"&gt;&lt;/span&gt;on-c&lt;span class="_ _7"&gt;&lt;/span&gt;ont&lt;span class="_ _7"&gt;&lt;/span&gt;ro&lt;span class="_ _7"&gt;&lt;/span&gt;lli&lt;span class="_ _7"&gt;&lt;/span&gt;ng in&lt;span class="_ _7"&gt;&lt;/span&gt;ter&lt;span class="_ _7"&gt;&lt;/span&gt;es&lt;span class="_ _7"&gt;&lt;/span&gt;t &lt;/span&gt;&lt;span style="display:inherit;clear:left;"&gt;are p&lt;span class="_ _7"&gt;&lt;/span&gt;re&lt;span class="_ _7"&gt;&lt;/span&gt;s&lt;span class="_ _7"&gt;&lt;/span&gt;ente&lt;span class="_ _7"&gt;&lt;/span&gt;d s&lt;span class="_ _7"&gt;&lt;/span&gt;ep&lt;span class="_ _7"&gt;&lt;/span&gt;ar&lt;span class="_ _7"&gt;&lt;/span&gt;ate&lt;span class="_ _7"&gt;&lt;/span&gt;ly in th&lt;span class="_ _7"&gt;&lt;/span&gt;e f&lt;span class="_ _7"&gt;&lt;/span&gt;ina&lt;span class="_ _7"&gt;&lt;/span&gt;nci&lt;span class="_ _7"&gt;&lt;/span&gt;al s&lt;span class="_ _7"&gt;&lt;/span&gt;t&lt;span class="_ _7"&gt;&lt;/span&gt;ate&lt;span class="_ _7"&gt;&lt;/span&gt;men&lt;span class="_ _7"&gt;&lt;/span&gt;ts&lt;span class="_ _7"&gt;&lt;/span&gt;.&lt;/span&gt;&lt;span style="display:inherit;clear:left;position:relative;height:182.44921875px;"&gt;&lt;span class="pp-font-color-override-1" style="position: absolute; display: inline-block; left: 9.03125px; top: 0.0136718px; width: 38.7891px; white-space: pre; word-spacing: 0.01125px; letter-spacing: -0.01125px; margin-left: 0px; font-size: 11.25px; font-family: ffbf; -webkit-text-stroke: 0.16875px rgba(0, 0, 0, 0);"&gt;&lt;span style="display: inline-block;"&gt;NOT&lt;/span&gt;&lt;span style="word-spacing: 0.01125px; letter-spacing: -0.01125px; display: inline-block; margin-left: 0px; width: 0.410156px; font-size: 11.25px; font-family: ffbf; -webkit-text-stroke: 0.16875px rgba(0, 0, 0, 0);"&gt;&lt;/span&gt;&lt;span style="display: inline-block;"&gt;E 8&lt;/span&gt;&lt;/span&gt;&lt;span class="pp-font-color-override-1" style="position: absolute; display: inline-block; left: 71.2188px; top: 0.0605468px; width: 180.703px; white-space: pre; word-spacing: -0.21375px; letter-spacing: 0.21375px; margin-left: 0px; font-size: 11.25px; font-family: ffbf; -webkit-text-stroke: 0.16875px rgba(0, 0, 0, 0);"&gt;&lt;span style="display: inline-block;"&gt;P&lt;/span&gt;&lt;span style="word-spacing: -0.21375px; letter-spacing: 0.21375px; display: inline-block; margin-left: -0.684px; width: 0px; font-size: 11.25px; font-family: ffbf; -webkit-text-stroke: 0.16875px rgba(0, 0, 0, 0);"&gt;&lt;/span&gt;&lt;span style="display: inline-block;"&gt;ARTICIP&lt;/span&gt;&lt;span style="word-spacing: -0.21375px; letter-spacing: 0.21375px; display: inline-block; margin-left: -0.684px; width: 0px; font-size: 11.25px; font-family: ffbf; -webkit-text-stroke: 0.16875px rgba(0, 0, 0, 0);"&gt;&lt;/span&gt;&lt;span style="display: inline-block;"&gt;A&lt;/span&gt;&lt;span style="word-spacing: -0.21375px; letter-spacing: 0.21375px; display: inline-block; margin-left: -1.13625px; width: 0px; font-size: 11.25px; font-family: ffbf; -webkit-text-stroke: 0.16875px rgba(0, 0, 0, 0);"&gt;&lt;/span&gt;&lt;span style="display: inline-block;"&gt;TION IN SUBSIDIARIE&lt;/span&gt;&lt;span style="word-spacing: -0.21375px; letter-spacing: 0.21375px; display: inline-block; margin-left: -0.684px; width: 0px; font-size: 11.25px; font-family: ffbf; -webkit-text-stroke: 0.16875px rgba(0, 0, 0, 0);"&gt;&lt;/span&gt;&lt;span style="display: inline-block;"&gt;S&lt;/span&gt;&lt;/span&gt;&lt;span class="pp-font-color-override-1" style="position: absolute; display: inline-block; left: 628.281px; top: 25.7324px; width: 30.2637px; white-space: pre; word-spacing: 0px; letter-spacing: 0px; margin-left: 0px; font-size: 9.6px; font-family: ffc3; -webkit-text-stroke: 0.144px rgba(0, 0, 0, 0);"&gt;&lt;span style="display: inline-block;"&gt;31 De&lt;/span&gt;&lt;span style="word-spacing: 0px; letter-spacing: 0px; display: inline-block; margin-left: 0px; width: 0.410156px; font-size: 9.6px; font-family: ffc3; -webkit-text-stroke: 0.144px rgba(0, 0, 0, 0);"&gt;&lt;/span&gt;&lt;span style="display: inline-block;"&gt;c &lt;/span&gt;&lt;/span&gt;&lt;span class="pp-font-color-override-1" style="position: absolute; display: inline-block; left: 714.094px; top: 24.9883px; width: 30.2637px; white-space: pre; word-spacing: 0px; letter-spacing: 0px; margin-left: 0px; font-size: 9.6px; font-family: ffc0; -webkit-text-stroke: 0.144px rgba(0, 0, 0, 0);"&gt;&lt;span style="display: inline-block;"&gt;31 De&lt;/span&gt;&lt;span style="word-spacing: 0px; letter-spacing: 0px; display: inline-block; margin-left: 0px; width: 0.410156px; font-size: 9.6px; font-family: ffc0; -webkit-text-stroke: 0.144px rgba(0, 0, 0, 0);"&gt;&lt;/span&gt;&lt;span style="display: inline-block;"&gt;c &lt;/span&gt;&lt;/span&gt;&lt;span class="pp-font-color-override-1" style="position: absolute; display: inline-block; left: 634px; top: 36.2324px; width: 19.3535px; white-space: pre; word-spacing: -0.0384px; letter-spacing: 0.0384px; margin-left: 0px; font-size: 9.6px; font-family: ffc3; -webkit-text-stroke: 0.144px rgba(0, 0, 0, 0);"&gt;&lt;span style="display: inline-block;"&gt;2025&lt;/span&gt;&lt;/span&gt;&lt;span class="pp-font-color-override-1" style="position: absolute; display: inline-block; left: 721.016px; top: 35.4883px; width: 18.9668px; white-space: pre; word-spacing: 0.0576px; letter-spacing: -0.0576px; margin-left: 0px; font-size: 9.6px; font-family: ffc0; -webkit-text-stroke: 0.144px rgba(0, 0, 0, 0);"&gt;&lt;span style="display: inline-block;"&gt;2024&lt;/span&gt;&lt;/span&gt;&lt;span class="pp-font-color-override-1" style="position: absolute; display: inline-block; left: 0px; top: 58.1035px; width: 711.275px; white-space: pre; word-spacing: 0px; letter-spacing: 0.0315px; margin-left: 0px; font-size: 10.5px; font-family: ffc4; -webkit-text-stroke: 0.1575px rgba(0, 0, 0, 0);"&gt;&lt;span style="display: inline-block;"&gt;At beg&lt;/span&gt;&lt;span style="word-spacing: 0px; letter-spacing: 0.0315px; display: inline-block; margin-left: 0px; width: 0.410156px; font-size: 10.5px; font-family: ffc4; -webkit-text-stroke: 0.1575px rgba(0, 0, 0, 0);"&gt;&lt;/span&gt;&lt;span style="display: inline-block;"&gt;inn&lt;/span&gt;&lt;span style="word-spacing: 0px; letter-spacing: 0.0315px; display: inline-block; margin-left: 0px; width: 0.410156px; font-size: 10.5px; font-family: ffc4; -webkit-text-stroke: 0.1575px rgba(0, 0, 0, 0);"&gt;&lt;/span&gt;&lt;span style="display: inline-block;"&gt;ing o&lt;/span&gt;&lt;span style="word-spacing: 0px; letter-spacing: 0.0315px; display: inline-block; margin-left: 0px; width: 0.410156px; font-size: 10.5px; font-family: ffc4; -webkit-text-stroke: 0.1575px rgba(0, 0, 0, 0);"&gt;&lt;/span&gt;&lt;span style="display: inline-block;"&gt;f the y&lt;/span&gt;&lt;span style="word-spacing: 0px; letter-spacing: 0.0315px; display: inline-block; margin-left: 0px; width: 0.410156px; font-size: 10.5px; font-family: ffc4; -webkit-text-stroke: 0.1575px rgba(0, 0, 0, 0);"&gt;&lt;/span&gt;&lt;span style="display: inline-block;"&gt;ear/ac&lt;/span&gt;&lt;span style="word-spacing: 0px; letter-spacing: 0.0315px; display: inline-block; margin-left: 0px; width: 0.410156px; font-size: 10.5px; font-family: ffc4; -webkit-text-stroke: 0.1575px rgba(0, 0, 0, 0);"&gt;&lt;/span&gt;&lt;span style="display: inline-block;"&gt;quir&lt;/span&gt;&lt;span style="word-spacing: 0px; letter-spacing: 0.0315px; display: inline-block; margin-left: 0px; width: 0.410156px; font-size: 10.5px; font-family: ffc4; -webkit-text-stroke: 0.1575px rgba(0, 0, 0, 0);"&gt;&lt;/span&gt;&lt;span style="display: inline-block;"&gt;ed a&lt;/span&gt;&lt;span style="word-spacing: 0px; letter-spacing: 0.0315px; display: inline-block; margin-left: 0px; width: 0.410156px; font-size: 10.5px; font-family: ffc4; -webkit-text-stroke: 0.1575px rgba(0, 0, 0, 0);"&gt;&lt;/span&gt;&lt;span style="display: inline-block;"&gt;cq&lt;/span&gt;&lt;span style="word-spacing: 0px; letter-spacing: 0.0315px; display: inline-block; margin-left: 0px; width: 0.410156px; font-size: 10.5px; font-family: ffc4; -webkit-text-stroke: 0.1575px rgba(0, 0, 0, 0);"&gt;&lt;/span&gt;&lt;span style="display: inline-block;"&gt;uis&lt;/span&gt;&lt;span style="word-spacing: 0px; letter-spacing: 0.0315px; display: inline-block; margin-left: 0px; width: 0.410156px; font-size: 10.5px; font-family: ffc4; -webkit-text-stroke: 0.1575px rgba(0, 0, 0, 0);"&gt;&lt;/span&gt;&lt;span style="display: inline-block;"&gt;iti&lt;/span&gt;&lt;span style="word-spacing: 0px; letter-spacing: 0.0315px; display: inline-block; margin-left: 0px; width: 0.410156px; font-size: 10.5px; font-family: ffc4; -webkit-text-stroke: 0.1575px rgba(0, 0, 0, 0);"&gt;&lt;/span&gt;&lt;span style="display: inline-block;"&gt;on va&lt;/span&gt;&lt;span style="word-spacing: 0px; letter-spacing: 0.0315px; display: inline-block; margin-left: 0px; width: 0.410156px; font-size: 10.5px; font-family: ffc4; -webkit-text-stroke: 0.1575px rgba(0, 0, 0, 0);"&gt;&lt;/span&gt;&lt;span style="display: inline-block;"&gt;lue&lt;/span&gt;&lt;span style="word-spacing: 0px; letter-spacing: 0.0315px; display: inline-block; margin-left: 0px; width: 380.404px; font-size: 10.5px; font-family: ffc4; -webkit-text-stroke: 0.1575px rgba(0, 0, 0, 0);"&gt;&lt;span style="display: inline-block;"&gt; &lt;/span&gt;&lt;/span&gt;&lt;span class="pp-font-color-override-1" style="word-spacing: 0.3885px; letter-spacing: -0.3885px; display: inline-block; margin-left: 0px; font-size: 10.5px; font-family: ffc4; -webkit-text-stroke: 0.1575px rgba(0, 0, 0, 0);"&gt;&lt;span style="display: inline-block;"&gt;18&lt;/span&gt;&lt;span style="word-spacing: 0.3885px; letter-spacing: -0.3885px; display: inline-block; margin-left: 0px; width: 0.925781px; font-size: 10.5px; font-family: ffc4; -webkit-text-stroke: 0.1575px rgba(0, 0, 0, 0);"&gt;&lt;/span&gt;&lt;span style="display: inline-block;"&gt;,1&lt;/span&gt;&lt;span style="word-spacing: 0.3885px; letter-spacing: -0.3885px; display: inline-block; margin-left: 0px; width: 0.410156px; font-size: 10.5px; font-family: ffc4; -webkit-text-stroke: 0.1575px rgba(0, 0, 0, 0);"&gt;&lt;/span&gt;&lt;span style="display: inline-block;"&gt;0&lt;/span&gt;&lt;span style="word-spacing: 0.3885px; letter-spacing: -0.3885px; display: inline-block; margin-left: 0px; width: 0.410156px; font-size: 10.5px; font-family: ffc4; -webkit-text-stroke: 0.1575px rgba(0, 0, 0, 0);"&gt;&lt;/span&gt;&lt;span style="display: inline-block;"&gt;3&lt;/span&gt;&lt;span style="word-spacing: 0.3885px; letter-spacing: -0.3885px; display: inline-block; margin-left: 0px; width: 51.4864px; font-size: 10.5px; font-family: ffc4; -webkit-text-stroke: 0.1575px rgba(0, 0, 0, 0);"&gt;&lt;span style="display: inline-block;"&gt;&lt;span style="width: 2.625px; display: inline-block;"&gt; &lt;/span&gt;&lt;/span&gt;&lt;/span&gt;&lt;span class="pp-font-color-override-1" style="word-spacing: 0.021px; letter-spacing: -0.021px; display: inline-block; margin-left: 0px; font-size: 10.5px; font-family: ffc4; -webkit-text-stroke: 0.1575px rgba(0, 0, 0, 0);"&gt;&lt;span style="display: inline-block;"&gt;18&lt;/span&gt;&lt;span style="word-spacing: 0.021px; letter-spacing: -0.021px; display: inline-block; margin-left: 0px; width: 0.410156px; font-size: 10.5px; font-family: ffc4; -webkit-text-stroke: 0.1575px rgba(0, 0, 0, 0);"&gt;&lt;/span&gt;&lt;span style="display: inline-block;"&gt;,022&lt;/span&gt;&lt;/span&gt;&lt;/span&gt;&lt;/span&gt;&lt;span class="pp-font-color-override-1" style="position: absolute; display: inline-block; left: 0px; top: 74.0723px; width: 727.975px; white-space: pre; word-spacing: -0.147px; letter-spacing: 0.1785px; margin-left: 0px; font-size: 10.5px; font-family: ffc4; -webkit-text-stroke: 0.1575px rgba(0, 0, 0, 0);"&gt;&lt;span style="display: inline-block;"&gt;Given group contribution&lt;/span&gt;&lt;span style="word-spacing: -0.147px; letter-spacing: 0.1785px; display: inline-block; margin-left: 0px; width: 507.998px; font-size: 10.5px; font-family: ffc4; -webkit-text-stroke: 0.1575px rgba(0, 0, 0, 0);"&gt;&lt;span style="display: inline-block;"&gt; &lt;/span&gt;&lt;/span&gt;&lt;span class="pp-font-color-override-1" style="word-spacing: -0.021px; letter-spacing: 0.021px; display: inline-block; margin-left: 0px; font-size: 10.5px; font-family: ffc4; -webkit-text-stroke: 0.1575px rgba(0, 0, 0, 0);"&gt;&lt;span style="display: inline-block;"&gt;4,&lt;/span&gt;&lt;span style="word-spacing: -0.021px; letter-spacing: 0.021px; display: inline-block; margin-left: 0px; width: 0.410156px; font-size: 10.5px; font-family: ffc4; -webkit-text-stroke: 0.1575px rgba(0, 0, 0, 0);"&gt;&lt;/span&gt;&lt;span style="display: inline-block;"&gt;262&lt;/span&gt;&lt;span style="word-spacing: -0.021px; letter-spacing: 0.021px; display: inline-block; margin-left: 0px; width: 74.6074px; font-size: 10.5px; font-family: ffc4; -webkit-text-stroke: 0.1575px rgba(0, 0, 0, 0);"&gt;&lt;span style="display: inline-block;"&gt; &lt;/span&gt;&lt;/span&gt;&lt;span class="pp-font-color-override-1" style="word-spacing: 0px; letter-spacing: 0px; display: inline-block; margin-left: 0px; font-size: 10.5px; font-family: ffc5; -webkit-text-stroke: 0.1575px rgba(0, 0, 0, 0);"&gt;&lt;span style="display: inline-block;"&gt;—&lt;/span&gt;&lt;/span&gt;&lt;/span&gt;&lt;/span&gt;&lt;span class="pp-font-color-override-1" style="position: absolute; display: inline-block; left: 0px; top: 90.0254px; width: 723.445px; white-space: pre; word-spacing: -0.168px; letter-spacing: 0.1995px; margin-left: 0px; font-size: 10.5px; font-family: ffc4; -webkit-text-stroke: 0.1575px rgba(0, 0, 0, 0);"&gt;&lt;span style="display: inline-block;"&gt;Share-&lt;/span&gt;&lt;span style="word-spacing: -0.168px; letter-spacing: 0.1995px; display: inline-block; margin-left: -0.684px; width: 0px; font-size: 10.5px; font-family: ffc4; -webkit-text-stroke: 0.1575px rgba(0, 0, 0, 0);"&gt;&lt;/span&gt;&lt;span style="display: inline-block;"&gt;bas&lt;/span&gt;&lt;span style="word-spacing: -0.168px; letter-spacing: 0.1995px; display: inline-block; margin-left: 0px; width: 0.410156px; font-size: 10.5px; font-family: ffc4; -webkit-text-stroke: 0.1575px rgba(0, 0, 0, 0);"&gt;&lt;/span&gt;&lt;span style="display: inline-block;"&gt;ed payments&lt;/span&gt;&lt;span style="word-spacing: -0.168px; letter-spacing: 0.1995px; display: inline-block; margin-left: 0px; width: 530.989px; font-size: 10.5px; font-family: ffc4; -webkit-text-stroke: 0.1575px rgba(0, 0, 0, 0);"&gt;&lt;span style="display: inline-block;"&gt; &lt;/span&gt;&lt;/span&gt;&lt;span class="pp-font-color-override-1" style="word-spacing: -0.1995px; letter-spacing: 0.1995px; display: inline-block; margin-left: 0px; font-size: 10.5px; font-family: ffc4; -webkit-text-stroke: 0.1575px rgba(0, 0, 0, 0);"&gt;&lt;span style="display: inline-block;"&gt;68&lt;/span&gt;&lt;span style="word-spacing: -0.1995px; letter-spacing: 0.1995px; display: inline-block; margin-left: 0px; width: 73.3301px; font-size: 10.5px; font-family: ffc4; -webkit-text-stroke: 0.1575px rgba(0, 0, 0, 0);"&gt;&lt;span style="display: inline-block;"&gt; &lt;/span&gt;&lt;/span&gt;&lt;span class="pp-font-color-override-1" style="word-spacing: 0.0105px; letter-spacing: -0.0105px; display: inline-block; margin-left: 0px; font-size: 10.5px; font-family: ffc4; -webkit-text-stroke: 0.1575px rgba(0, 0, 0, 0);"&gt;&lt;span style="display: inline-block;"&gt;81&lt;/span&gt;&lt;/span&gt;&lt;/span&gt;&lt;/span&gt;&lt;span class="pp-font-color-override-1" style="position: absolute; display: inline-block; left: 0px; top: 105.727px; width: 726.938px; white-space: pre; word-spacing: -0.1995px; letter-spacing: 0.1995px; margin-left: 0px; font-size: 10.5px; font-family: ffc3; -webkit-text-stroke: 0.1575px rgba(0, 0, 0, 0);"&gt;&lt;span style="display: inline-block;"&gt;T&lt;/span&gt;&lt;span style="word-spacing: -0.1995px; letter-spacing: 0.1995px; display: inline-block; margin-left: -1.13625px; width: 0px; font-size: 10.5px; font-family: ffc3; -webkit-text-stroke: 0.1575px rgba(0, 0, 0, 0);"&gt;&lt;/span&gt;&lt;span style="display: inline-block;"&gt;ot&lt;/span&gt;&lt;span style="word-spacing: -0.1995px; letter-spacing: 0.1995px; display: inline-block; margin-left: 0px; width: 0.410156px; font-size: 10.5px; font-family: ffc3; -webkit-text-stroke: 0.1575px rgba(0, 0, 0, 0);"&gt;&lt;/span&gt;&lt;span style="display: inline-block;"&gt;al&lt;/span&gt;&lt;span style="word-spacing: -0.1995px; letter-spacing: 0.1995px; display: inline-block; margin-left: 0px; width: 594.675px; font-size: 10.5px; font-family: ffc3; -webkit-text-stroke: 0.1575px rgba(0, 0, 0, 0);"&gt;&lt;span style="display: inline-block;"&gt; &lt;/span&gt;&lt;/span&gt;&lt;span class="pp-font-color-override-1" style="word-spacing: -0.0735px; letter-spacing: 0.0735px; display: inline-block; margin-left: 0px; font-size: 10.5px; font-family: ffc3; -webkit-text-stroke: 0.1575px rgba(0, 0, 0, 0);"&gt;&lt;span style="display: inline-block;"&gt;22,&lt;/span&gt;&lt;span style="word-spacing: -0.0735px; letter-spacing: 0.0735px; display: inline-block; margin-left: 0px; width: 0.410156px; font-size: 10.5px; font-family: ffc3; -webkit-text-stroke: 0.1575px rgba(0, 0, 0, 0);"&gt;&lt;/span&gt;&lt;span style="display: inline-block;"&gt;4&lt;/span&gt;&lt;span style="word-spacing: -0.0735px; letter-spacing: 0.0735px; display: inline-block; margin-left: 0px; width: 0.410156px; font-size: 10.5px; font-family: ffc3; -webkit-text-stroke: 0.1575px rgba(0, 0, 0, 0);"&gt;&lt;/span&gt;&lt;span style="display: inline-block;"&gt;33&lt;/span&gt;&lt;span style="word-spacing: -0.0735px; letter-spacing: 0.0735px; display: inline-block; margin-left: 0px; width: 51.0998px; font-size: 10.5px; font-family: ffc3; -webkit-text-stroke: 0.1575px rgba(0, 0, 0, 0);"&gt;&lt;span style="display: inline-block;"&gt; &lt;/span&gt;&lt;/span&gt;&lt;span class="pp-font-color-override-1" style="word-spacing: 0.3255px; letter-spacing: -0.3255px; display: inline-block; margin-left: 0px; font-size: 10.5px; font-family: ffc3; -webkit-text-stroke: 0.1575px rgba(0, 0, 0, 0);"&gt;&lt;span style="display: inline-block;"&gt;1&lt;/span&gt;&lt;span style="word-spacing: 0.3255px; letter-spacing: -0.3255px; display: inline-block; margin-left: 0px; width: 0.410156px; font-size: 10.5px; font-family: ffc3; -webkit-text-stroke: 0.1575px rgba(0, 0, 0, 0);"&gt;&lt;/span&gt;&lt;span style="display: inline-block;"&gt;8&lt;/span&gt;&lt;span style="word-spacing: 0.3255px; letter-spacing: -0.3255px; display: inline-block; margin-left: 0px; width: 0.410156px; font-size: 10.5px; font-family: ffc3; -webkit-text-stroke: 0.1575px rgba(0, 0, 0, 0);"&gt;&lt;/span&gt;&lt;span style="display: inline-block;"&gt;,1&lt;/span&gt;&lt;span style="word-spacing: 0.3255px; letter-spacing: -0.3255px; display: inline-block; margin-left: 0px; width: 0.410156px; font-size: 10.5px; font-family: ffc3; -webkit-text-stroke: 0.1575px rgba(0, 0, 0, 0);"&gt;&lt;/span&gt;&lt;span style="display: inline-block;"&gt;0&lt;/span&gt;&lt;span style="word-spacing: 0.3255px; letter-spacing: -0.3255px; display: inline-block; margin-left: 0px; width: 0.410156px; font-size: 10.5px; font-family: ffc3; -webkit-text-stroke: 0.1575px rgba(0, 0, 0, 0);"&gt;&lt;/span&gt;&lt;span style="display: inline-block;"&gt;3&lt;/span&gt;&lt;/span&gt;&lt;/span&gt;&lt;/span&gt;&lt;span class="pp-font-color-override-1" style="position: absolute; display: inline-block; left: 0px; top: 138.451px; width: 94.7988px; white-space: pre; word-spacing: 0px; letter-spacing: 0px; margin-left: 0px; font-size: 9.6px; font-family: ffc3; -webkit-text-stroke: 0.144px rgba(0, 0, 0, 0);"&gt;&lt;span style="display: inline-block;"&gt;Volvo C&lt;/span&gt;&lt;span style="word-spacing: 0px; letter-spacing: 0px; display: inline-block; margin-left: 0px; width: 0.410156px; font-size: 9.6px; font-family: ffc3; -webkit-text-stroke: 0.144px rgba(0, 0, 0, 0);"&gt;&lt;/span&gt;&lt;span style="display: inline-block;"&gt;ar AB&lt;/span&gt;&lt;span style="word-spacing: 0px; letter-spacing: 0px; display: inline-block; margin-left: 0px; width: 0.410156px; font-size: 9.6px; font-family: ffc3; -webkit-text-stroke: 0.144px rgba(0, 0, 0, 0);"&gt;&lt;/span&gt;&lt;span style="display: inline-block;"&gt;'s (p&lt;/span&gt;&lt;span style="word-spacing: 0px; letter-spacing: 0px; display: inline-block; margin-left: 0px; width: 0.410156px; font-size: 9.6px; font-family: ffc3; -webkit-text-stroke: 0.144px rgba(0, 0, 0, 0);"&gt;&lt;/span&gt;&lt;span style="display: inline-block;"&gt;ub&lt;/span&gt;&lt;span style="word-spacing: 0px; letter-spacing: 0px; display: inline-block; margin-left: 0px; width: 0.410156px; font-size: 9.6px; font-family: ffc3; -webkit-text-stroke: 0.144px rgba(0, 0, 0, 0);"&gt;&lt;/span&gt;&lt;span style="display: inline-block;"&gt;l&lt;/span&gt;&lt;span style="word-spacing: 0px; letter-spacing: 0px; display: inline-block; margin-left: 0px; width: 0.410156px; font-size: 9.6px; font-family: ffc3; -webkit-text-stroke: 0.144px rgba(0, 0, 0, 0);"&gt;&lt;/span&gt;&lt;span style="display: inline-block;"&gt;.)  &lt;/span&gt;&lt;/span&gt;&lt;span class="pp-font-color-override-1" style="position: absolute; display: inline-block; left: 608.156px; top: 138.451px; width: 47.7012px; white-space: pre; word-spacing: 0px; letter-spacing: 0px; margin-left: 0px; font-size: 9.6px; font-family: ffc3; -webkit-text-stroke: 0.144px rgba(0, 0, 0, 0);"&gt;&lt;span style="display: inline-block;"&gt;Bo&lt;/span&gt;&lt;span style="word-spacing: 0px; letter-spacing: 0px; display: inline-block; margin-left: 0px; width: 0.410156px; font-size: 9.6px; font-family: ffc3; -webkit-text-stroke: 0.144px rgba(0, 0, 0, 0);"&gt;&lt;/span&gt;&lt;span style="display: inline-block;"&gt;ok v&lt;/span&gt;&lt;span style="word-spacing: 0px; letter-spacing: 0px; display: inline-block; margin-left: 0px; width: 0.410156px; font-size: 9.6px; font-family: ffc3; -webkit-text-stroke: 0.144px rgba(0, 0, 0, 0);"&gt;&lt;/span&gt;&lt;span style="display: inline-block;"&gt;alu&lt;/span&gt;&lt;span style="word-spacing: 0px; letter-spacing: 0px; display: inline-block; margin-left: 0px; width: 0.410156px; font-size: 9.6px; font-family: ffc3; -webkit-text-stroke: 0.144px rgba(0, 0, 0, 0);"&gt;&lt;/span&gt;&lt;span style="display: inline-block;"&gt;e &lt;/span&gt;&lt;span style="word-spacing: 0px; letter-spacing: 0px; display: inline-block; margin-left: -2.33175px; width: 0px; font-size: 9.6px; font-family: ffc3; -webkit-text-stroke: 0.144px rgba(0, 0, 0, 0);"&gt;&lt;/span&gt;&lt;span style="display: inline-block;"&gt; &lt;/span&gt;&lt;/span&gt;&lt;span class="pp-font-color-override-1" style="position: absolute; display: inline-block; left: 690.812px; top: 138.451px; width: 47.7012px; white-space: pre; word-spacing: 0px; letter-spacing: 0px; margin-left: 0px; font-size: 9.6px; font-family: ffc3; -webkit-text-stroke: 0.144px rgba(0, 0, 0, 0);"&gt;&lt;span style="display: inline-block;"&gt;Bo&lt;/span&gt;&lt;span style="word-spacing: 0px; letter-spacing: 0px; display: inline-block; margin-left: 0px; width: 0.410156px; font-size: 9.6px; font-family: ffc3; -webkit-text-stroke: 0.144px rgba(0, 0, 0, 0);"&gt;&lt;/span&gt;&lt;span style="display: inline-block;"&gt;ok v&lt;/span&gt;&lt;span style="word-spacing: 0px; letter-spacing: 0px; display: inline-block; margin-left: 0px; width: 0.410156px; font-size: 9.6px; font-family: ffc3; -webkit-text-stroke: 0.144px rgba(0, 0, 0, 0);"&gt;&lt;/span&gt;&lt;span style="display: inline-block;"&gt;alu&lt;/span&gt;&lt;span style="word-spacing: 0px; letter-spacing: 0px; display: inline-block; margin-left: 0px; width: 0.410156px; font-size: 9.6px; font-family: ffc3; -webkit-text-stroke: 0.144px rgba(0, 0, 0, 0);"&gt;&lt;/span&gt;&lt;span style="display: inline-block;"&gt;e &lt;/span&gt;&lt;span style="word-spacing: 0px; letter-spacing: 0px; display: inline-block; margin-left: -2.33175px; width: 0px; font-size: 9.6px; font-family: ffc3; -webkit-text-stroke: 0.144px rgba(0, 0, 0, 0);"&gt;&lt;/span&gt;&lt;span style="display: inline-block;"&gt; &lt;/span&gt;&lt;/span&gt;&lt;span class="pp-font-color-override-1" style="position: absolute; display: inline-block; left: 0px; top: 148.951px; width: 513.018px; white-space: pre; word-spacing: -0.192px; letter-spacing: 0.192px; margin-left: 0px; font-size: 9.6px; font-family: ffc3; -webkit-text-stroke: 0.144px rgba(0, 0, 0, 0);"&gt;&lt;span style="display: inline-block;"&gt;investments in subsidiaries:&lt;/span&gt;&lt;span style="word-spacing: -0.192px; letter-spacing: 0.192px; display: inline-block; margin-left: 0px; width: 66.996px; font-size: 9.6px; font-family: ffc3; -webkit-text-stroke: 0.144px rgba(0, 0, 0, 0);"&gt;&lt;span style="display: inline-block;"&gt; &lt;/span&gt;&lt;/span&gt;&lt;span class="pp-font-color-override-1" style="word-spacing: 0px; letter-spacing: 0px; display: inline-block; margin-left: 0px; font-size: 9.6px; font-family: ffc3; -webkit-text-stroke: 0.144px rgba(0, 0, 0, 0);"&gt;&lt;span style="display: inline-block;"&gt;C&lt;/span&gt;&lt;span style="word-spacing: 0px; letter-spacing: 0px; display: inline-block; margin-left: 0px; width: 0.410156px; font-size: 9.6px; font-family: ffc3; -webkit-text-stroke: 0.144px rgba(0, 0, 0, 0);"&gt;&lt;/span&gt;&lt;span style="display: inline-block;"&gt;o&lt;/span&gt;&lt;span style="word-spacing: 0px; letter-spacing: 0px; display: inline-block; margin-left: 0px; width: 0.410156px; font-size: 9.6px; font-family: ffc3; -webkit-text-stroke: 0.144px rgba(0, 0, 0, 0);"&gt;&lt;/span&gt;&lt;span style="display: inline-block;"&gt;rp&lt;/span&gt;&lt;span style="word-spacing: 0px; letter-spacing: 0px; display: inline-block; margin-left: 0px; width: 0.410156px; font-size: 9.6px; font-family: ffc3; -webkit-text-stroke: 0.144px rgba(0, 0, 0, 0);"&gt;&lt;/span&gt;&lt;span style="display: inline-block;"&gt;. ID no&lt;/span&gt;&lt;span style="word-spacing: 0px; letter-spacing: 0px; display: inline-block; margin-left: 0px; width: 0.410156px; font-size: 9.6px; font-family: ffc3; -webkit-text-stroke: 0.144px rgba(0, 0, 0, 0);"&gt;&lt;/span&gt;&lt;span style="display: inline-block;"&gt;.&lt;/span&gt;&lt;span style="word-spacing: 0px; letter-spacing: 0px; display: inline-block; margin-left: 0px; width: 48.867px; font-size: 9.6px; font-family: ffc3; -webkit-text-stroke: 0.144px rgba(0, 0, 0, 0);"&gt;&lt;span style="display: inline-block;"&gt; &lt;/span&gt;&lt;/span&gt;&lt;span class="pp-font-color-override-1" style="word-spacing: -0.2208px; letter-spacing: 0.2208px; display: inline-block; margin-left: 0px; font-size: 9.6px; font-family: ffc3; -webkit-text-stroke: 0.144px rgba(0, 0, 0, 0);"&gt;&lt;span style="display: inline-block;"&gt;Registered office&lt;/span&gt;&lt;span style="word-spacing: -0.2208px; letter-spacing: 0.2208px; display: inline-block; margin-left: 0px; width: 27.0469px; font-size: 9.6px; font-family: ffc3; -webkit-text-stroke: 0.144px rgba(0, 0, 0, 0);"&gt;&lt;span style="display: inline-block;"&gt; &lt;/span&gt;&lt;/span&gt;&lt;/span&gt;&lt;span style="display: inline-block;"&gt;N&lt;/span&gt;&lt;span style="word-spacing: 0px; letter-spacing: 0px; display: inline-block; margin-left: 0px; width: 0.410156px; font-size: 9.6px; font-family: ffc3; -webkit-text-stroke: 0.144px rgba(0, 0, 0, 0);"&gt;&lt;/span&gt;&lt;span style="display: inline-block;"&gt;o. o&lt;/span&gt;&lt;span style="word-spacing: 0px; letter-spacing: 0px; display: inline-block; margin-left: 0px; width: 0.410156px; font-size: 9.6px; font-family: ffc3; -webkit-text-stroke: 0.144px rgba(0, 0, 0, 0);"&gt;&lt;/span&gt;&lt;span style="display: inline-block;"&gt;f sh&lt;/span&gt;&lt;span style="word-spacing: 0px; letter-spacing: 0px; display: inline-block; margin-left: 0px; width: 0.410156px; font-size: 9.6px; font-family: ffc3; -webkit-text-stroke: 0.144px rgba(0, 0, 0, 0);"&gt;&lt;/span&gt;&lt;span style="display: inline-block;"&gt;ar&lt;/span&gt;&lt;span style="word-spacing: 0px; letter-spacing: 0px; display: inline-block; margin-left: 0px; width: 0.410156px; font-size: 9.6px; font-family: ffc3; -webkit-text-stroke: 0.144px rgba(0, 0, 0, 0);"&gt;&lt;/span&gt;&lt;span style="display: inline-block;"&gt;e&lt;/span&gt;&lt;span style="word-spacing: 0px; letter-spacing: 0px; display: inline-block; margin-left: 0px; width: 0.410156px; font-size: 9.6px; font-family: ffc3; -webkit-text-stroke: 0.144px rgba(0, 0, 0, 0);"&gt;&lt;/span&gt;&lt;span style="display: inline-block;"&gt;s&lt;/span&gt;&lt;span style="word-spacing: 0px; letter-spacing: 0px; display: inline-block; margin-left: 0px; width: 27.0469px; font-size: 9.6px; font-fam</t>
  </si>
  <si>
    <t>f1__s8__6__226</t>
  </si>
  <si>
    <t>ifrs-full:DisclosureOfCreditRiskExplanatory</t>
  </si>
  <si>
    <t>&lt;span style="display:inherit;clear:left;"&gt;Credit risk management&lt;/span&gt;&lt;span style="display:inherit;clear:left;"&gt;Volvo Ca&lt;span class="_ _7"&gt;&lt;/span&gt;rs’ c&lt;span class="_ _7"&gt;&lt;/span&gt;re&lt;span class="_ _7"&gt;&lt;/span&gt;di&lt;span class="_ _7"&gt;&lt;/span&gt;t ri&lt;span class="_ _7"&gt;&lt;/span&gt;sk c&lt;span class="_ _7"&gt;&lt;/span&gt;an b&lt;span class="_ _7"&gt;&lt;/span&gt;e di&lt;span class="_ _7"&gt;&lt;/span&gt;vi&lt;span class="_ _7"&gt;&lt;/span&gt;de&lt;span class="_ _7"&gt;&lt;/span&gt;d into f&lt;span class="_ _7"&gt;&lt;/span&gt;in&lt;span class="_ _7"&gt;&lt;/span&gt;an&lt;span class="_ _7"&gt;&lt;/span&gt;ci&lt;span class="_ _7"&gt;&lt;/span&gt;al co&lt;span class="_ _7"&gt;&lt;/span&gt;unt&lt;span class="_ _7"&gt;&lt;/span&gt;er&lt;span class="_ _7"&gt;&lt;/span&gt;pa&lt;span class="_ _7"&gt;&lt;/span&gt;r&lt;span class="_ _7"&gt;&lt;/span&gt;t&lt;span class="_ _7"&gt;&lt;/span&gt;y &lt;/span&gt;&lt;span style="display:inherit;clear:left;"&gt;cre&lt;span class="_ _7"&gt;&lt;/span&gt;di&lt;span class="_ _7"&gt;&lt;/span&gt;t ri&lt;span class="_ _7"&gt;&lt;/span&gt;sk a&lt;span class="_ _7"&gt;&lt;/span&gt;nd c&lt;span class="_ _7"&gt;&lt;/span&gt;omm&lt;span class="_ _7"&gt;&lt;/span&gt;er&lt;span class="_ _7"&gt;&lt;/span&gt;cia&lt;span class="_ _7"&gt;&lt;/span&gt;l cre&lt;span class="_ _7"&gt;&lt;/span&gt;di&lt;span class="_ _7"&gt;&lt;/span&gt;t ri&lt;span class="_ _7"&gt;&lt;/span&gt;sk&lt;span class="_ _7"&gt;&lt;/span&gt;. T&lt;span class="_ _7"&gt;&lt;/span&gt;he&lt;span class="_ _7"&gt;&lt;/span&gt;se r&lt;span class="_ _7"&gt;&lt;/span&gt;is&lt;span class="_ _7"&gt;&lt;/span&gt;ks a&lt;span class="_ _7"&gt;&lt;/span&gt;re d&lt;span class="_ _7"&gt;&lt;/span&gt;es&lt;span class="_ _7"&gt;&lt;/span&gt;cr&lt;span class="_ _7"&gt;&lt;/span&gt;ib&lt;span class="_ _7"&gt;&lt;/span&gt;ed i&lt;span class="_ _7"&gt;&lt;/span&gt;n &lt;/span&gt;&lt;span style="display:inherit;clear:left;"&gt;the following  &lt;span class="_ _1"&gt;&lt;/span&gt;s&lt;span class="_ _7"&gt;&lt;/span&gt;ectio&lt;span class="_ _7"&gt;&lt;/span&gt;ns&lt;span class="_ _7"&gt;&lt;/span&gt;.&lt;/span&gt;&lt;span style="display:inherit;clear:left;"&gt;Financial counterpart&lt;span class="_ _7"&gt;&lt;/span&gt;y credit risk&lt;/span&gt;&lt;span style="display:inherit;clear:left;"&gt;V&lt;span class="_ _2"&gt;&lt;/span&gt;o&lt;span class="_ _7"&gt;&lt;/span&gt;lvo Car Gro&lt;span class="_ _7"&gt;&lt;/span&gt;up F&lt;span class="_ _7"&gt;&lt;/span&gt;in&lt;span class="_ _7"&gt;&lt;/span&gt;anc&lt;span class="_ _7"&gt;&lt;/span&gt;ial Po&lt;span class="_ _7"&gt;&lt;/span&gt;licy Fram&lt;span class="_ _7"&gt;&lt;/span&gt;ework&lt;/span&gt;&lt;span style="display:inherit;clear:left;"&gt;Cre&lt;span class="_ _7"&gt;&lt;/span&gt;di&lt;span class="_ _7"&gt;&lt;/span&gt;t ri&lt;span class="_ _7"&gt;&lt;/span&gt;sk o&lt;span class="_ _7"&gt;&lt;/span&gt;n fi&lt;span class="_ _7"&gt;&lt;/span&gt;nan&lt;span class="_ _7"&gt;&lt;/span&gt;ci&lt;span class="_ _7"&gt;&lt;/span&gt;al tr&lt;span class="_ _7"&gt;&lt;/span&gt;an&lt;span class="_ _7"&gt;&lt;/span&gt;s&lt;span class="_ _7"&gt;&lt;/span&gt;ac&lt;span class="_ _7"&gt;&lt;/span&gt;tio&lt;span class="_ _7"&gt;&lt;/span&gt;ns i&lt;span class="_ _7"&gt;&lt;/span&gt;s th&lt;span class="_ _7"&gt;&lt;/span&gt;e ri&lt;span class="_ _7"&gt;&lt;/span&gt;sk th&lt;span class="_ _7"&gt;&lt;/span&gt;at Volvo C&lt;span class="_ _7"&gt;&lt;/span&gt;ar&lt;span class="_ _7"&gt;&lt;/span&gt;s wi&lt;span class="_ _7"&gt;&lt;/span&gt;ll &lt;/span&gt;&lt;span style="display:inherit;clear:left;"&gt;inc&lt;span class="_ _7"&gt;&lt;/span&gt;ur lo&lt;span class="_ _7"&gt;&lt;/span&gt;s&lt;span class="_ _7"&gt;&lt;/span&gt;s&lt;span class="_ _7"&gt;&lt;/span&gt;es a&lt;span class="_ _7"&gt;&lt;/span&gt;s a re&lt;span class="_ _7"&gt;&lt;/span&gt;su&lt;span class="_ _7"&gt;&lt;/span&gt;lt of n&lt;span class="_ _7"&gt;&lt;/span&gt;on-pay&lt;span class="_ _7"&gt;&lt;/span&gt;m&lt;span class="_ _7"&gt;&lt;/span&gt;ent by c&lt;span class="_ _7"&gt;&lt;/span&gt;ou&lt;span class="_ _7"&gt;&lt;/span&gt;nte&lt;span class="_ _7"&gt;&lt;/span&gt;rp&lt;span class="_ _7"&gt;&lt;/span&gt;ar&lt;span class="_ _7"&gt;&lt;/span&gt;ti&lt;span class="_ _7"&gt;&lt;/span&gt;e&lt;span class="_ _7"&gt;&lt;/span&gt;s re&lt;span class="_ _7"&gt;&lt;/span&gt;lat&lt;span class="_ _7"&gt;&lt;/span&gt;ed to &lt;/span&gt;&lt;span style="display:inherit;clear:left;"&gt;Volvo Ca&lt;span class="_ _7"&gt;&lt;/span&gt;rs’ b&lt;span class="_ _7"&gt;&lt;/span&gt;an&lt;span class="_ _7"&gt;&lt;/span&gt;k ac&lt;span class="_ _7"&gt;&lt;/span&gt;co&lt;span class="_ _7"&gt;&lt;/span&gt;unt&lt;span class="_ _7"&gt;&lt;/span&gt;s&lt;span class="_ _7"&gt;&lt;/span&gt;, int&lt;span class="_ _7"&gt;&lt;/span&gt;ere&lt;span class="_ _7"&gt;&lt;/span&gt;s&lt;span class="_ _7"&gt;&lt;/span&gt;t&lt;span class="_ _2"&gt;&lt;/span&gt;-be&lt;span class="_ _7"&gt;&lt;/span&gt;ar&lt;span class="_ _7"&gt;&lt;/span&gt;ing s&lt;span class="_ _7"&gt;&lt;/span&gt;e&lt;span class="_ _7"&gt;&lt;/span&gt;cur&lt;span class="_ _7"&gt;&lt;/span&gt;iti&lt;span class="_ _7"&gt;&lt;/span&gt;es&lt;span class="_ _7"&gt;&lt;/span&gt;, t&lt;span class="_ _7"&gt;&lt;/span&gt;ime d&lt;span class="_ _7"&gt;&lt;/span&gt;ep&lt;span class="_ _7"&gt;&lt;/span&gt;o&lt;span class="_ _7"&gt;&lt;/span&gt;s-&lt;/span&gt;&lt;span style="display:inherit;clear:left;"&gt;it&lt;span class="_ _7"&gt;&lt;/span&gt;s or d&lt;span class="_ _7"&gt;&lt;/span&gt;eri&lt;span class="_ _7"&gt;&lt;/span&gt;va&lt;span class="_ _7"&gt;&lt;/span&gt;ti&lt;span class="_ _7"&gt;&lt;/span&gt;ve tr&lt;span class="_ _7"&gt;&lt;/span&gt;an&lt;span class="_ _7"&gt;&lt;/span&gt;sa&lt;span class="_ _7"&gt;&lt;/span&gt;ct&lt;span class="_ _7"&gt;&lt;/span&gt;ion&lt;span class="_ _7"&gt;&lt;/span&gt;s&lt;span class="_ _7"&gt;&lt;/span&gt;. Inve&lt;span class="_ _7"&gt;&lt;/span&gt;s&lt;span class="_ _7"&gt;&lt;/span&gt;tm&lt;span class="_ _7"&gt;&lt;/span&gt;ent&lt;span class="_ _7"&gt;&lt;/span&gt;s s&lt;span class="_ _7"&gt;&lt;/span&gt;hou&lt;span class="_ _7"&gt;&lt;/span&gt;ld m&lt;span class="_ _7"&gt;&lt;/span&gt;ee&lt;span class="_ _7"&gt;&lt;/span&gt;t the r&lt;span class="_ _7"&gt;&lt;/span&gt;eq&lt;span class="_ _7"&gt;&lt;/span&gt;uir&lt;span class="_ _7"&gt;&lt;/span&gt;e-&lt;/span&gt;&lt;span style="display:inherit;clear:left;"&gt;me&lt;span class="_ _7"&gt;&lt;/span&gt;nts o&lt;span class="_ _7"&gt;&lt;/span&gt;f low c&lt;span class="_ _7"&gt;&lt;/span&gt;re&lt;span class="_ _7"&gt;&lt;/span&gt;dit r&lt;span class="_ _7"&gt;&lt;/span&gt;is&lt;span class="_ _7"&gt;&lt;/span&gt;k&lt;span class="_ _7"&gt;&lt;/span&gt;, hig&lt;span class="_ _7"&gt;&lt;/span&gt;h li&lt;span class="_ _7"&gt;&lt;/span&gt;qui&lt;span class="_ _7"&gt;&lt;/span&gt;di&lt;span class="_ _7"&gt;&lt;/span&gt;t&lt;span class="_ _7"&gt;&lt;/span&gt;y an&lt;span class="_ _7"&gt;&lt;/span&gt;d the ex&lt;span class="_ _7"&gt;&lt;/span&gt;po&lt;span class="_ _7"&gt;&lt;/span&gt;s&lt;span class="_ _7"&gt;&lt;/span&gt;ure w&lt;span class="_ _7"&gt;&lt;/span&gt;ith a&lt;span class="_ _7"&gt;&lt;/span&gt;ny &lt;/span&gt;&lt;span style="display:inherit;clear:left;"&gt; &lt;span class="_ _1"&gt;&lt;/span&gt;s&lt;span class="_ _7"&gt;&lt;/span&gt;ing&lt;span class="_ _7"&gt;&lt;/span&gt;le c&lt;span class="_ _7"&gt;&lt;/span&gt;oun&lt;span class="_ _7"&gt;&lt;/span&gt;ter&lt;span class="_ _7"&gt;&lt;/span&gt;pa&lt;span class="_ _7"&gt;&lt;/span&gt;r&lt;span class="_ _7"&gt;&lt;/span&gt;t&lt;span class="_ _7"&gt;&lt;/span&gt;y is l&lt;span class="_ _7"&gt;&lt;/span&gt;imi&lt;span class="_ _7"&gt;&lt;/span&gt;ted&lt;span class="_ _7"&gt;&lt;/span&gt;. Al&lt;span class="_ _7"&gt;&lt;/span&gt;l ex&lt;span class="_ _7"&gt;&lt;/span&gt;ter&lt;span class="_ _7"&gt;&lt;/span&gt;na&lt;span class="_ _7"&gt;&lt;/span&gt;l co&lt;span class="_ _7"&gt;&lt;/span&gt;unte&lt;span class="_ _7"&gt;&lt;/span&gt;rp&lt;span class="_ _7"&gt;&lt;/span&gt;ar&lt;span class="_ _7"&gt;&lt;/span&gt;t&lt;span class="_ _7"&gt;&lt;/span&gt;ie&lt;span class="_ _7"&gt;&lt;/span&gt;s us&lt;span class="_ _7"&gt;&lt;/span&gt;e&lt;span class="_ _7"&gt;&lt;/span&gt;d for &lt;/span&gt;&lt;span style="display:inherit;clear:left;"&gt;inve&lt;span class="_ _7"&gt;&lt;/span&gt;s&lt;span class="_ _7"&gt;&lt;/span&gt;tme&lt;span class="_ _7"&gt;&lt;/span&gt;nt&lt;span class="_ _7"&gt;&lt;/span&gt;s an&lt;span class="_ _7"&gt;&lt;/span&gt;d de&lt;span class="_ _7"&gt;&lt;/span&gt;ri&lt;span class="_ _7"&gt;&lt;/span&gt;vat&lt;span class="_ _7"&gt;&lt;/span&gt;ive t&lt;span class="_ _7"&gt;&lt;/span&gt;ra&lt;span class="_ _7"&gt;&lt;/span&gt;ns&lt;span class="_ _7"&gt;&lt;/span&gt;ac&lt;span class="_ _7"&gt;&lt;/span&gt;ti&lt;span class="_ _7"&gt;&lt;/span&gt;on&lt;span class="_ _7"&gt;&lt;/span&gt;s sh&lt;span class="_ _7"&gt;&lt;/span&gt;all h&lt;span class="_ _7"&gt;&lt;/span&gt;ave a cr&lt;span class="_ _7"&gt;&lt;/span&gt;ed&lt;span class="_ _7"&gt;&lt;/span&gt;it r&lt;span class="_ _7"&gt;&lt;/span&gt;ati&lt;span class="_ _7"&gt;&lt;/span&gt;ng o&lt;span class="_ _7"&gt;&lt;/span&gt;f &lt;/span&gt;&lt;span style="display:inherit;clear:left;"&gt;min&lt;span class="_ _7"&gt;&lt;/span&gt;imu&lt;span class="_ _7"&gt;&lt;/span&gt;m A- (&lt;span class="_ _2"&gt;&lt;/span&gt;S&amp;amp;&lt;span class="_ _7"&gt;&lt;/span&gt;P or e&lt;span class="_ _7"&gt;&lt;/span&gt;qu&lt;span class="_ _7"&gt;&lt;/span&gt;iva&lt;span class="_ _7"&gt;&lt;/span&gt;len&lt;span class="_ _7"&gt;&lt;/span&gt;t ra&lt;span class="_ _7"&gt;&lt;/span&gt;tin&lt;span class="_ _7"&gt;&lt;/span&gt;g) a&lt;span class="_ _7"&gt;&lt;/span&gt;nd IS&lt;span class="_ _7"&gt;&lt;/span&gt;DA agr&lt;span class="_ _7"&gt;&lt;/span&gt;ee&lt;span class="_ _7"&gt;&lt;/span&gt;me&lt;span class="_ _7"&gt;&lt;/span&gt;nts a&lt;span class="_ _7"&gt;&lt;/span&gt;re &lt;/span&gt;&lt;span style="display:inherit;clear:left;"&gt;required for&lt;span class="_ _2"&gt;&lt;/span&gt; counterparties with which&lt;span class="_ _2"&gt;&lt;/span&gt; derivative contracts are&lt;span class="_ _2"&gt;&lt;/span&gt; &lt;/span&gt;&lt;span style="display:inherit;clear:left;"&gt;tr&lt;span class="_ _7"&gt;&lt;/span&gt;ade&lt;span class="_ _7"&gt;&lt;/span&gt;d&lt;span class="_ _7"&gt;&lt;/span&gt;. Lim&lt;span class="_ _7"&gt;&lt;/span&gt;it&lt;span class="_ _7"&gt;&lt;/span&gt;s ar&lt;span class="_ _7"&gt;&lt;/span&gt;e es&lt;span class="_ _7"&gt;&lt;/span&gt;t&lt;span class="_ _7"&gt;&lt;/span&gt;abl&lt;span class="_ _7"&gt;&lt;/span&gt;is&lt;span class="_ _7"&gt;&lt;/span&gt;he&lt;span class="_ _7"&gt;&lt;/span&gt;d ac&lt;span class="_ _7"&gt;&lt;/span&gt;co&lt;span class="_ _7"&gt;&lt;/span&gt;rdi&lt;span class="_ _7"&gt;&lt;/span&gt;ng to c&lt;span class="_ _7"&gt;&lt;/span&gt;oun&lt;span class="_ _7"&gt;&lt;/span&gt;ter&lt;span class="_ _7"&gt;&lt;/span&gt;pa&lt;span class="_ _7"&gt;&lt;/span&gt;r&lt;span class="_ _7"&gt;&lt;/span&gt;t&lt;span class="_ _7"&gt;&lt;/span&gt;y cr&lt;span class="_ _7"&gt;&lt;/span&gt;ed&lt;span class="_ _7"&gt;&lt;/span&gt;it r&lt;span class="_ _7"&gt;&lt;/span&gt;at&lt;span class="_ _2"&gt;&lt;/span&gt;-&lt;/span&gt;&lt;span style="display:inherit;clear:left;"&gt;ing a&lt;span class="_ _7"&gt;&lt;/span&gt;nd li&lt;span class="_ _7"&gt;&lt;/span&gt;mi&lt;span class="_ _7"&gt;&lt;/span&gt;t us&lt;span class="_ _7"&gt;&lt;/span&gt;age i&lt;span class="_ _7"&gt;&lt;/span&gt;s mo&lt;span class="_ _7"&gt;&lt;/span&gt;ni&lt;span class="_ _7"&gt;&lt;/span&gt;tor&lt;span class="_ _7"&gt;&lt;/span&gt;ed f&lt;span class="_ _7"&gt;&lt;/span&gt;or th&lt;span class="_ _7"&gt;&lt;/span&gt;e Volvo Ca&lt;span class="_ _7"&gt;&lt;/span&gt;rs&lt;span class="_ _7"&gt;&lt;/span&gt;’ tre&lt;span class="_ _7"&gt;&lt;/span&gt;as&lt;span class="_ _7"&gt;&lt;/span&gt;ur&lt;span class="_ _7"&gt;&lt;/span&gt;y c&lt;span class="_ _7"&gt;&lt;/span&gt;ou&lt;span class="_ _7"&gt;&lt;/span&gt;n-&lt;/span&gt;&lt;span style="display:inherit;clear:left;"&gt;terparties and deposits are d&lt;span class="_ _2"&gt;&lt;/span&gt;ivers&lt;span class="_ _7"&gt;&lt;/span&gt;ified between relationship banks. &lt;/span&gt;&lt;span style="display:inherit;clear:left;"&gt;Sub&lt;span class="_ _7"&gt;&lt;/span&gt;si&lt;span class="_ _7"&gt;&lt;/span&gt;di&lt;span class="_ _7"&gt;&lt;/span&gt;ar&lt;span class="_ _7"&gt;&lt;/span&gt;y b&lt;span class="_ _7"&gt;&lt;/span&gt;an&lt;span class="_ _7"&gt;&lt;/span&gt;k ba&lt;span class="_ _7"&gt;&lt;/span&gt;la&lt;span class="_ _7"&gt;&lt;/span&gt;nc&lt;span class="_ _7"&gt;&lt;/span&gt;es a&lt;span class="_ _7"&gt;&lt;/span&gt;re di&lt;span class="_ _7"&gt;&lt;/span&gt;ve&lt;span class="_ _7"&gt;&lt;/span&gt;rs&lt;span class="_ _7"&gt;&lt;/span&gt;if&lt;span class="_ _7"&gt;&lt;/span&gt;i&lt;span class="_ _7"&gt;&lt;/span&gt;ed in o&lt;span class="_ _7"&gt;&lt;/span&gt;rd&lt;span class="_ _7"&gt;&lt;/span&gt;er to l&lt;span class="_ _7"&gt;&lt;/span&gt;imi&lt;span class="_ _7"&gt;&lt;/span&gt;t cr&lt;span class="_ _7"&gt;&lt;/span&gt;edi&lt;span class="_ _7"&gt;&lt;/span&gt;t ri&lt;span class="_ _7"&gt;&lt;/span&gt;sk&lt;span class="_ _7"&gt;&lt;/span&gt;. &lt;/span&gt;&lt;span style="display:inherit;clear:left;"&gt;Th&lt;span class="_ _7"&gt;&lt;/span&gt;e fi&lt;span class="_ _7"&gt;&lt;/span&gt;nan&lt;span class="_ _7"&gt;&lt;/span&gt;ci&lt;span class="_ _7"&gt;&lt;/span&gt;al co&lt;span class="_ _7"&gt;&lt;/span&gt;un&lt;span class="_ _7"&gt;&lt;/span&gt;ter&lt;span class="_ _7"&gt;&lt;/span&gt;pa&lt;span class="_ _7"&gt;&lt;/span&gt;r&lt;span class="_ _7"&gt;&lt;/span&gt;t&lt;span class="_ _7"&gt;&lt;/span&gt;y cre&lt;span class="_ _7"&gt;&lt;/span&gt;di&lt;span class="_ _7"&gt;&lt;/span&gt;t ri&lt;span class="_ _7"&gt;&lt;/span&gt;sk r&lt;span class="_ _7"&gt;&lt;/span&gt;eg&lt;span class="_ _7"&gt;&lt;/span&gt;ard&lt;span class="_ _7"&gt;&lt;/span&gt;ing c&lt;span class="_ _7"&gt;&lt;/span&gt;a&lt;span class="_ _7"&gt;&lt;/span&gt;sh an&lt;span class="_ _7"&gt;&lt;/span&gt;d c&lt;span class="_ _7"&gt;&lt;/span&gt;as&lt;span class="_ _7"&gt;&lt;/span&gt;h &lt;/span&gt;&lt;span style="display:inherit;clear:left;"&gt;eq&lt;span class="_ _7"&gt;&lt;/span&gt;uiv&lt;span class="_ _7"&gt;&lt;/span&gt;ale&lt;span class="_ _7"&gt;&lt;/span&gt;nt&lt;span class="_ _7"&gt;&lt;/span&gt;s is r&lt;span class="_ _7"&gt;&lt;/span&gt;ef&lt;span class="_ _7"&gt;&lt;/span&gt;le&lt;span class="_ _7"&gt;&lt;/span&gt;cte&lt;span class="_ _7"&gt;&lt;/span&gt;d in t&lt;span class="_ _7"&gt;&lt;/span&gt;he m&lt;span class="_ _7"&gt;&lt;/span&gt;ea&lt;span class="_ _7"&gt;&lt;/span&gt;sur&lt;span class="_ _7"&gt;&lt;/span&gt;em&lt;span class="_ _7"&gt;&lt;/span&gt;ent a&lt;span class="_ _7"&gt;&lt;/span&gt;t am&lt;span class="_ _7"&gt;&lt;/span&gt;or&lt;span class="_ _7"&gt;&lt;/span&gt;ti&lt;span class="_ _7"&gt;&lt;/span&gt;s&lt;span class="_ _7"&gt;&lt;/span&gt;ed c&lt;span class="_ _7"&gt;&lt;/span&gt;os&lt;span class="_ _7"&gt;&lt;/span&gt;t. T&lt;span class="_ _7"&gt;&lt;/span&gt;he &lt;/span&gt;&lt;span style="display:inherit;clear:left;"&gt;exp&lt;span class="_ _7"&gt;&lt;/span&gt;ec&lt;span class="_ _7"&gt;&lt;/span&gt;te&lt;span class="_ _7"&gt;&lt;/span&gt;d cre&lt;span class="_ _7"&gt;&lt;/span&gt;di&lt;span class="_ _7"&gt;&lt;/span&gt;t los&lt;span class="_ _7"&gt;&lt;/span&gt;s o&lt;span class="_ _7"&gt;&lt;/span&gt;n th&lt;span class="_ _7"&gt;&lt;/span&gt;es&lt;span class="_ _7"&gt;&lt;/span&gt;e b&lt;span class="_ _7"&gt;&lt;/span&gt;al&lt;span class="_ _7"&gt;&lt;/span&gt;anc&lt;span class="_ _7"&gt;&lt;/span&gt;e&lt;span class="_ _7"&gt;&lt;/span&gt;s is c&lt;span class="_ _7"&gt;&lt;/span&gt;on&lt;span class="_ _7"&gt;&lt;/span&gt;si&lt;span class="_ _7"&gt;&lt;/span&gt;der&lt;span class="_ _7"&gt;&lt;/span&gt;ed i&lt;span class="_ _7"&gt;&lt;/span&gt;ns&lt;span class="_ _7"&gt;&lt;/span&gt;ig&lt;span class="_ _7"&gt;&lt;/span&gt;ni&lt;span class="_ _7"&gt;&lt;/span&gt;fi&lt;span class="_ _7"&gt;&lt;/span&gt;ca&lt;span class="_ _7"&gt;&lt;/span&gt;nt as &lt;/span&gt;&lt;span style="display:inherit;clear:left;"&gt;mat&lt;span class="_ _7"&gt;&lt;/span&gt;ur&lt;span class="_ _7"&gt;&lt;/span&gt;iti&lt;span class="_ _7"&gt;&lt;/span&gt;es a&lt;span class="_ _7"&gt;&lt;/span&gt;re s&lt;span class="_ _7"&gt;&lt;/span&gt;ho&lt;span class="_ _7"&gt;&lt;/span&gt;r&lt;span class="_ _7"&gt;&lt;/span&gt;t an&lt;span class="_ _7"&gt;&lt;/span&gt;d the c&lt;span class="_ _7"&gt;&lt;/span&gt;re&lt;span class="_ _7"&gt;&lt;/span&gt;dit q&lt;span class="_ _7"&gt;&lt;/span&gt;ua&lt;span class="_ _7"&gt;&lt;/span&gt;lit&lt;span class="_ _7"&gt;&lt;/span&gt;y o&lt;span class="_ _7"&gt;&lt;/span&gt;f th&lt;span class="_ _7"&gt;&lt;/span&gt;e cou&lt;span class="_ _7"&gt;&lt;/span&gt;nte&lt;span class="_ _7"&gt;&lt;/span&gt;rp&lt;span class="_ _7"&gt;&lt;/span&gt;ar&lt;span class="_ _7"&gt;&lt;/span&gt;t&lt;span class="_ _7"&gt;&lt;/span&gt;ie&lt;span class="_ _7"&gt;&lt;/span&gt;s is &lt;/span&gt;&lt;span style="display:inherit;clear:left;"&gt;hig&lt;span class="_ _7"&gt;&lt;/span&gt;h. Volvo C&lt;span class="_ _7"&gt;&lt;/span&gt;ar&lt;span class="_ _7"&gt;&lt;/span&gt;s ap&lt;span class="_ _7"&gt;&lt;/span&gt;pl&lt;span class="_ _7"&gt;&lt;/span&gt;ie&lt;span class="_ _7"&gt;&lt;/span&gt;s th&lt;span class="_ _7"&gt;&lt;/span&gt;e gen&lt;span class="_ _7"&gt;&lt;/span&gt;er&lt;span class="_ _7"&gt;&lt;/span&gt;al m&lt;span class="_ _7"&gt;&lt;/span&gt;od&lt;span class="_ _7"&gt;&lt;/span&gt;el f&lt;span class="_ _7"&gt;&lt;/span&gt;or a&lt;span class="_ _7"&gt;&lt;/span&gt;s&lt;span class="_ _7"&gt;&lt;/span&gt;se&lt;span class="_ _7"&gt;&lt;/span&gt;s&lt;span class="_ _7"&gt;&lt;/span&gt;si&lt;span class="_ _7"&gt;&lt;/span&gt;ng im&lt;span class="_ _7"&gt;&lt;/span&gt;pa&lt;span class="_ _7"&gt;&lt;/span&gt;ir&lt;span class="_ _7"&gt;&lt;/span&gt;me&lt;span class="_ _7"&gt;&lt;/span&gt;nt &lt;/span&gt;&lt;span style="display:inherit;clear:left;"&gt;re&lt;span class="_ _7"&gt;&lt;/span&gt;se&lt;span class="_ _7"&gt;&lt;/span&gt;r&lt;span class="_ _7"&gt;&lt;/span&gt;ve r&lt;span class="_ _7"&gt;&lt;/span&gt;eg&lt;span class="_ _7"&gt;&lt;/span&gt;ard&lt;span class="_ _7"&gt;&lt;/span&gt;ing t&lt;span class="_ _7"&gt;&lt;/span&gt;im&lt;span class="_ _7"&gt;&lt;/span&gt;e dep&lt;span class="_ _7"&gt;&lt;/span&gt;o&lt;span class="_ _7"&gt;&lt;/span&gt;si&lt;span class="_ _7"&gt;&lt;/span&gt;ts r&lt;span class="_ _7"&gt;&lt;/span&gt;ec&lt;span class="_ _7"&gt;&lt;/span&gt;ogn&lt;span class="_ _7"&gt;&lt;/span&gt;is&lt;span class="_ _7"&gt;&lt;/span&gt;e&lt;span class="_ _7"&gt;&lt;/span&gt;d at am&lt;span class="_ _7"&gt;&lt;/span&gt;or&lt;span class="_ _7"&gt;&lt;/span&gt;t&lt;span class="_ _7"&gt;&lt;/span&gt;is&lt;span class="_ _7"&gt;&lt;/span&gt;ed c&lt;span class="_ _7"&gt;&lt;/span&gt;os&lt;span class="_ _7"&gt;&lt;/span&gt;t&lt;span class="_ _7"&gt;&lt;/span&gt;. Th&lt;span class="_ _7"&gt;&lt;/span&gt;e &lt;/span&gt;&lt;span style="display:inherit;clear:left;"&gt;as&lt;span class="_ _7"&gt;&lt;/span&gt;s&lt;span class="_ _7"&gt;&lt;/span&gt;es&lt;span class="_ _7"&gt;&lt;/span&gt;s&lt;span class="_ _7"&gt;&lt;/span&gt;me&lt;span class="_ _7"&gt;&lt;/span&gt;nt i&lt;span class="_ _7"&gt;&lt;/span&gt;s ba&lt;span class="_ _7"&gt;&lt;/span&gt;se&lt;span class="_ _7"&gt;&lt;/span&gt;d on t&lt;span class="_ _7"&gt;&lt;/span&gt;he c&lt;span class="_ _7"&gt;&lt;/span&gt;oun&lt;span class="_ _7"&gt;&lt;/span&gt;ter&lt;span class="_ _7"&gt;&lt;/span&gt;pa&lt;span class="_ _7"&gt;&lt;/span&gt;r&lt;span class="_ _7"&gt;&lt;/span&gt;t&lt;span class="_ _7"&gt;&lt;/span&gt;y&lt;span class="_ _7"&gt;&lt;/span&gt;’s cred&lt;span class="_ _7"&gt;&lt;/span&gt;it r&lt;span class="_ _7"&gt;&lt;/span&gt;ati&lt;span class="_ _7"&gt;&lt;/span&gt;ng, t&lt;span class="_ _7"&gt;&lt;/span&gt;he e&lt;span class="_ _7"&gt;&lt;/span&gt;s&lt;span class="_ _7"&gt;&lt;/span&gt;ti-&lt;/span&gt;&lt;span style="display:inherit;clear:left;"&gt;mat&lt;span class="_ _7"&gt;&lt;/span&gt;ed ex&lt;span class="_ _7"&gt;&lt;/span&gt;po&lt;span class="_ _7"&gt;&lt;/span&gt;su&lt;span class="_ _7"&gt;&lt;/span&gt;re a&lt;span class="_ _7"&gt;&lt;/span&gt;t de&lt;span class="_ _7"&gt;&lt;/span&gt;fau&lt;span class="_ _7"&gt;&lt;/span&gt;lt, p&lt;span class="_ _7"&gt;&lt;/span&gt;ro&lt;span class="_ _7"&gt;&lt;/span&gt;ba&lt;span class="_ _7"&gt;&lt;/span&gt;bil&lt;span class="_ _7"&gt;&lt;/span&gt;it&lt;span class="_ _7"&gt;&lt;/span&gt;y o&lt;span class="_ _7"&gt;&lt;/span&gt;f de&lt;span class="_ _7"&gt;&lt;/span&gt;fau&lt;span class="_ _7"&gt;&lt;/span&gt;lt an&lt;span class="_ _7"&gt;&lt;/span&gt;d los&lt;span class="_ _7"&gt;&lt;/span&gt;s g&lt;span class="_ _7"&gt;&lt;/span&gt;i&lt;span class="_ _7"&gt;&lt;/span&gt;ven &lt;/span&gt;&lt;span style="display:inherit;clear:left;"&gt;de&lt;span class="_ _7"&gt;&lt;/span&gt;fau&lt;span class="_ _7"&gt;&lt;/span&gt;lt. T&lt;span class="_ _7"&gt;&lt;/span&gt;he i&lt;span class="_ _7"&gt;&lt;/span&gt;mp&lt;span class="_ _7"&gt;&lt;/span&gt;air&lt;span class="_ _7"&gt;&lt;/span&gt;me&lt;span class="_ _7"&gt;&lt;/span&gt;nt a&lt;span class="_ _7"&gt;&lt;/span&gt;s&lt;span class="_ _7"&gt;&lt;/span&gt;se&lt;span class="_ _7"&gt;&lt;/span&gt;s&lt;span class="_ _7"&gt;&lt;/span&gt;sm&lt;span class="_ _7"&gt;&lt;/span&gt;en&lt;span class="_ _7"&gt;&lt;/span&gt;t in re&lt;span class="_ _7"&gt;&lt;/span&gt;l&lt;span class="_ _7"&gt;&lt;/span&gt;ati&lt;span class="_ _7"&gt;&lt;/span&gt;on to ti&lt;span class="_ _7"&gt;&lt;/span&gt;me d&lt;span class="_ _7"&gt;&lt;/span&gt;ep&lt;span class="_ _7"&gt;&lt;/span&gt;os&lt;span class="_ _7"&gt;&lt;/span&gt;it&lt;span class="_ _7"&gt;&lt;/span&gt;s is &lt;/span&gt;&lt;span style="display:inherit;clear:left;"&gt;considered immaterial.&lt;span class="_ _2"&gt;&lt;/span&gt; &lt;/span&gt;&lt;span style="display:inherit;clear:left;"&gt;Inve&lt;span class="_ _7"&gt;&lt;/span&gt;s&lt;span class="_ _7"&gt;&lt;/span&gt;tme&lt;span class="_ _7"&gt;&lt;/span&gt;nt&lt;span class="_ _7"&gt;&lt;/span&gt;s in i&lt;span class="_ _7"&gt;&lt;/span&gt;nter&lt;span class="_ _7"&gt;&lt;/span&gt;e&lt;span class="_ _7"&gt;&lt;/span&gt;st-&lt;span class="_ _2"&gt;&lt;/span&gt;b&lt;span class="_ _7"&gt;&lt;/span&gt;ea&lt;span class="_ _7"&gt;&lt;/span&gt;rin&lt;span class="_ _7"&gt;&lt;/span&gt;g se&lt;span class="_ _7"&gt;&lt;/span&gt;cu&lt;span class="_ _7"&gt;&lt;/span&gt;ri&lt;span class="_ _7"&gt;&lt;/span&gt;tie&lt;span class="_ _7"&gt;&lt;/span&gt;s ar&lt;span class="_ _7"&gt;&lt;/span&gt;e me&lt;span class="_ _7"&gt;&lt;/span&gt;as&lt;span class="_ _7"&gt;&lt;/span&gt;ure&lt;span class="_ _7"&gt;&lt;/span&gt;d at f&lt;span class="_ _7"&gt;&lt;/span&gt;ai&lt;span class="_ _7"&gt;&lt;/span&gt;r valu&lt;span class="_ _7"&gt;&lt;/span&gt;e &lt;/span&gt;&lt;span style="display:inherit;clear:left;"&gt;thr&lt;span class="_ _7"&gt;&lt;/span&gt;oug&lt;span class="_ _7"&gt;&lt;/span&gt;h th&lt;span class="_ _7"&gt;&lt;/span&gt;e inc&lt;span class="_ _7"&gt;&lt;/span&gt;om&lt;span class="_ _7"&gt;&lt;/span&gt;e s&lt;span class="_ _7"&gt;&lt;/span&gt;tat&lt;span class="_ _7"&gt;&lt;/span&gt;em&lt;span class="_ _7"&gt;&lt;/span&gt;ent a&lt;span class="_ _7"&gt;&lt;/span&gt;nd th&lt;span class="_ _7"&gt;&lt;/span&gt;e cr&lt;span class="_ _7"&gt;&lt;/span&gt;edi&lt;span class="_ _7"&gt;&lt;/span&gt;t ri&lt;span class="_ _7"&gt;&lt;/span&gt;sk i&lt;span class="_ _7"&gt;&lt;/span&gt;s re&lt;span class="_ _7"&gt;&lt;/span&gt;f&lt;span class="_ _7"&gt;&lt;/span&gt;lec&lt;span class="_ _7"&gt;&lt;/span&gt;te&lt;span class="_ _7"&gt;&lt;/span&gt;d in th&lt;span class="_ _7"&gt;&lt;/span&gt;eir &lt;/span&gt;&lt;span style="display:inherit;clear:left;"&gt;fa&lt;span class="_ _7"&gt;&lt;/span&gt;ir va&lt;span class="_ _7"&gt;&lt;/span&gt;lue&lt;span class="_ _7"&gt;&lt;/span&gt;s&lt;span class="_ _7"&gt;&lt;/span&gt;. Th&lt;span class="_ _7"&gt;&lt;/span&gt;e cre&lt;span class="_ _7"&gt;&lt;/span&gt;di&lt;span class="_ _7"&gt;&lt;/span&gt;t ri&lt;span class="_ _7"&gt;&lt;/span&gt;sk o&lt;span class="_ _7"&gt;&lt;/span&gt;f tho&lt;span class="_ _7"&gt;&lt;/span&gt;s&lt;span class="_ _7"&gt;&lt;/span&gt;e fi&lt;span class="_ _7"&gt;&lt;/span&gt;na&lt;span class="_ _7"&gt;&lt;/span&gt;nci&lt;span class="_ _7"&gt;&lt;/span&gt;al c&lt;span class="_ _7"&gt;&lt;/span&gt;ou&lt;span class="_ _7"&gt;&lt;/span&gt;nter&lt;span class="_ _7"&gt;&lt;/span&gt;p&lt;span class="_ _7"&gt;&lt;/span&gt;ar&lt;span class="_ _7"&gt;&lt;/span&gt;ti&lt;span class="_ _7"&gt;&lt;/span&gt;es w&lt;span class="_ _7"&gt;&lt;/span&gt;hi&lt;span class="_ _7"&gt;&lt;/span&gt;ch &lt;/span&gt;&lt;span style="display:inherit;clear:left;"&gt;are r&lt;span class="_ _7"&gt;&lt;/span&gt;el&lt;span class="_ _7"&gt;&lt;/span&gt;ate&lt;span class="_ _7"&gt;&lt;/span&gt;d p&lt;span class="_ _7"&gt;&lt;/span&gt;ar&lt;span class="_ _7"&gt;&lt;/span&gt;ti&lt;span class="_ _7"&gt;&lt;/span&gt;es i&lt;span class="_ _7"&gt;&lt;/span&gt;s co&lt;span class="_ _7"&gt;&lt;/span&gt;ns&lt;span class="_ _7"&gt;&lt;/span&gt;id&lt;span class="_ _7"&gt;&lt;/span&gt;er&lt;span class="_ _7"&gt;&lt;/span&gt;ed w&lt;span class="_ _7"&gt;&lt;/span&gt;hen p&lt;span class="_ _7"&gt;&lt;/span&gt;ri&lt;span class="_ _7"&gt;&lt;/span&gt;cin&lt;span class="_ _7"&gt;&lt;/span&gt;g. Th&lt;span class="_ _7"&gt;&lt;/span&gt;e ri&lt;span class="_ _7"&gt;&lt;/span&gt;sk Volvo C&lt;span class="_ _7"&gt;&lt;/span&gt;ar&lt;span class="_ _7"&gt;&lt;/span&gt;s i&lt;span class="_ _7"&gt;&lt;/span&gt;s &lt;/span&gt;&lt;span style="display:inherit;clear:left;"&gt;exp&lt;span class="_ _7"&gt;&lt;/span&gt;os&lt;span class="_ _7"&gt;&lt;/span&gt;e&lt;span class="_ _7"&gt;&lt;/span&gt;d to in i&lt;span class="_ _7"&gt;&lt;/span&gt;ts c&lt;span class="_ _7"&gt;&lt;/span&gt;onve&lt;span class="_ _7"&gt;&lt;/span&gt;r&lt;span class="_ _7"&gt;&lt;/span&gt;ti&lt;span class="_ _7"&gt;&lt;/span&gt;ble l&lt;span class="_ _7"&gt;&lt;/span&gt;oan r&lt;span class="_ _7"&gt;&lt;/span&gt;ec&lt;span class="_ _7"&gt;&lt;/span&gt;ei&lt;span class="_ _7"&gt;&lt;/span&gt;va&lt;span class="_ _7"&gt;&lt;/span&gt;ble i&lt;span class="_ _7"&gt;&lt;/span&gt;s re&lt;span class="_ _7"&gt;&lt;/span&gt;fl&lt;span class="_ _7"&gt;&lt;/span&gt;ec&lt;span class="_ _7"&gt;&lt;/span&gt;ted i&lt;span class="_ _7"&gt;&lt;/span&gt;n it&lt;span class="_ _7"&gt;&lt;/span&gt;s fa&lt;span class="_ _7"&gt;&lt;/span&gt;ir &lt;/span&gt;&lt;span style="display:inherit;clear:left;"&gt;value. &lt;/span&gt;&lt;span style="display:inherit;clear:left;"&gt;Status at yea&lt;span class="_ _7"&gt;&lt;/span&gt;r end&lt;/span&gt;&lt;span style="display:inherit;clear:left;"&gt;At the en&lt;span class="_ _7"&gt;&lt;/span&gt;d of t&lt;span class="_ _7"&gt;&lt;/span&gt;he ye&lt;span class="_ _7"&gt;&lt;/span&gt;ar, the ma&lt;span class="_ _7"&gt;&lt;/span&gt;x&lt;span class="_ _7"&gt;&lt;/span&gt;imu&lt;span class="_ _7"&gt;&lt;/span&gt;m am&lt;span class="_ _7"&gt;&lt;/span&gt;oun&lt;span class="_ _7"&gt;&lt;/span&gt;t exp&lt;span class="_ _7"&gt;&lt;/span&gt;o&lt;span class="_ _7"&gt;&lt;/span&gt;se&lt;span class="_ _7"&gt;&lt;/span&gt;d to f&lt;span class="_ _7"&gt;&lt;/span&gt;in&lt;span class="_ _7"&gt;&lt;/span&gt;anc&lt;span class="_ _7"&gt;&lt;/span&gt;ial &lt;/span&gt;&lt;span style="display:inherit;clear:left;"&gt;cre&lt;span class="_ _7"&gt;&lt;/span&gt;di&lt;span class="_ _7"&gt;&lt;/span&gt;t ri&lt;span class="_ _7"&gt;&lt;/span&gt;sk a&lt;span class="_ _7"&gt;&lt;/span&gt;mou&lt;span class="_ _7"&gt;&lt;/span&gt;nte&lt;span class="_ _7"&gt;&lt;/span&gt;d to SEK &lt;span class="fc5"&gt;73&lt;span class="_ _7"&gt;&lt;/span&gt;,4&lt;span class="_ _7"&gt;&lt;/span&gt;08 &lt;/span&gt; (68,&lt;span class="_ _7"&gt;&lt;/span&gt;402) m. T&lt;span class="_ _7"&gt;&lt;/span&gt;hi&lt;span class="_ _7"&gt;&lt;/span&gt;s en&lt;span class="_ _7"&gt;&lt;/span&gt;co&lt;span class="_ _7"&gt;&lt;/span&gt;mpa&lt;span class="_ _7"&gt;&lt;/span&gt;s&lt;span class="_ _7"&gt;&lt;/span&gt;s&lt;span class="_ _7"&gt;&lt;/span&gt;es &lt;/span&gt;&lt;span style="display:inherit;clear:left;"&gt;ca&lt;span class="_ _7"&gt;&lt;/span&gt;sh a&lt;span class="_ _7"&gt;&lt;/span&gt;nd c&lt;span class="_ _7"&gt;&lt;/span&gt;as&lt;span class="_ _7"&gt;&lt;/span&gt;h eq&lt;span class="_ _7"&gt;&lt;/span&gt;ui&lt;span class="_ _7"&gt;&lt;/span&gt;val&lt;span class="_ _7"&gt;&lt;/span&gt;en&lt;span class="fc5 lse0 ws104"&gt;t&lt;span class="_ _7"&gt;&lt;/span&gt;s and marketable securities SE&lt;/span&gt;K 57&lt;span class="_ _2"&gt;&lt;/span&gt;, 565 &lt;/span&gt;&lt;span style="display:inherit;clear:left;"&gt;(56,&lt;span class="_ _7"&gt;&lt;/span&gt;373) m, co&lt;span class="_ _7"&gt;&lt;/span&gt;nver&lt;span class="_ _9"&gt;&lt;/span&gt;tibl&lt;span class="_ _7"&gt;&lt;/span&gt;e loa&lt;span class="_ _7"&gt;&lt;/span&gt;n re&lt;span class="_ _7"&gt;&lt;/span&gt;ce&lt;span class="_ _7"&gt;&lt;/span&gt;iv&lt;span class="_ _7"&gt;&lt;/span&gt;abl&lt;span class="_ _7"&gt;&lt;/span&gt;e SEK &lt;span class="fc5"&gt;9,1&lt;span class="_ _2"&gt;&lt;/span&gt;7&lt;span class="_ _7"&gt;&lt;/span&gt;7 &lt;span class="fc1"&gt;(1&lt;span class="_ _2"&gt;&lt;/span&gt;1,&lt;span class="_ _7"&gt;&lt;/span&gt;261) m an&lt;span class="_ _7"&gt;&lt;/span&gt;d &lt;/span&gt;&lt;/span&gt;&lt;/span&gt;&lt;span style="display:inherit;clear:left;"&gt;der&lt;span class="_ _7"&gt;&lt;/span&gt;i&lt;span class="_ _7"&gt;&lt;/span&gt;vati&lt;span class="_ _7"&gt;&lt;/span&gt;ve a&lt;span class="_ _7"&gt;&lt;/span&gt;s&lt;span class="_ _7"&gt;&lt;/span&gt;se&lt;span class="_ _7"&gt;&lt;/span&gt;ts S&lt;span class="_ _7"&gt;&lt;/span&gt;EK &lt;span class="fc5 ls116 ws1ff"&gt;6,666&lt;/span&gt;&lt;span class="fc9"&gt; &lt;/span&gt;(768) m. T&lt;span class="_ _7"&gt;&lt;/span&gt;he m&lt;span class="_ _7"&gt;&lt;/span&gt;ax&lt;span class="_ _7"&gt;&lt;/span&gt;im&lt;span class="_ _7"&gt;&lt;/span&gt;um am&lt;span class="_ _7"&gt;&lt;/span&gt;ou&lt;span class="_ _7"&gt;&lt;/span&gt;nt &lt;/span&gt;&lt;span style="display:inherit;clear:left;"&gt;exp&lt;span class="_ _7"&gt;&lt;/span&gt;os&lt;span class="_ _7"&gt;&lt;/span&gt;e&lt;span class="_ _7"&gt;&lt;/span&gt;d to cre&lt;span class="_ _7"&gt;&lt;/span&gt;di&lt;span class="_ _7"&gt;&lt;/span&gt;t ri&lt;span class="_ _7"&gt;&lt;/span&gt;sk f&lt;span class="_ _7"&gt;&lt;/span&gt;or f&lt;span class="_ _7"&gt;&lt;/span&gt;in&lt;span class="_ _7"&gt;&lt;/span&gt;an&lt;span class="_ _7"&gt;&lt;/span&gt;cia&lt;span class="_ _7"&gt;&lt;/span&gt;l in&lt;span class="_ _7"&gt;&lt;/span&gt;st&lt;span class="_ _7"&gt;&lt;/span&gt;rum&lt;span class="_ _7"&gt;&lt;/span&gt;en&lt;span class="_ _7"&gt;&lt;/span&gt;ts i&lt;span class="_ _7"&gt;&lt;/span&gt;s be&lt;span class="_ _7"&gt;&lt;/span&gt;s&lt;span class="_ _7"&gt;&lt;/span&gt;t re&lt;span class="_ _7"&gt;&lt;/span&gt;pr&lt;span class="_ _7"&gt;&lt;/span&gt;es&lt;span class="_ _7"&gt;&lt;/span&gt;en&lt;span class="_ _7"&gt;&lt;/span&gt;ted &lt;/span&gt;&lt;span style="display:inherit;clear:left;"&gt;by th&lt;span class="_ _7"&gt;&lt;/span&gt;eir f&lt;span class="_ _7"&gt;&lt;/span&gt;ai&lt;span class="_ _7"&gt;&lt;/span&gt;r val&lt;span class="_ _7"&gt;&lt;/span&gt;ue&lt;span class="_ _7"&gt;&lt;/span&gt;s, s&lt;span class="_ _7"&gt;&lt;/span&gt;e&lt;span class="_ _7"&gt;&lt;/span&gt;e ta&lt;span class="_ _7"&gt;&lt;/span&gt;ble F&lt;span class="_ _7"&gt;&lt;/span&gt;in&lt;span class="_ _7"&gt;&lt;/span&gt;an&lt;span class="_ _7"&gt;&lt;/span&gt;cia&lt;span class="_ _7"&gt;&lt;/span&gt;l in&lt;span class="_ _7"&gt;&lt;/span&gt;st&lt;span class="_ _7"&gt;&lt;/span&gt;rum&lt;span class="_ _7"&gt;&lt;/span&gt;en&lt;span class="_ _7"&gt;&lt;/span&gt;ts b&lt;span class="_ _7"&gt;&lt;/span&gt;y cat&lt;span class="_ _7"&gt;&lt;/span&gt;ego&lt;span class="_ _7"&gt;&lt;/span&gt;r&lt;span class="_ _7"&gt;&lt;/span&gt;y an&lt;span class="_ _7"&gt;&lt;/span&gt;d &lt;/span&gt;&lt;span style="display:inherit;clear:left;"&gt;me&lt;span class="_ _7"&gt;&lt;/span&gt;as&lt;span class="_ _7"&gt;&lt;/span&gt;ure&lt;span class="_ _7"&gt;&lt;/span&gt;me&lt;span class="_ _7"&gt;&lt;/span&gt;nt lev&lt;span class="_ _7"&gt;&lt;/span&gt;el i&lt;span class="_ _7"&gt;&lt;/span&gt;n thi&lt;span class="_ _7"&gt;&lt;/span&gt;s not&lt;span class="_ _7"&gt;&lt;/span&gt;e. &lt;/span&gt;&lt;span style="display:inherit;clear:left;"&gt;De&lt;span class="_ _7"&gt;&lt;/span&gt;ri&lt;span class="_ _7"&gt;&lt;/span&gt;vat&lt;span class="_ _7"&gt;&lt;/span&gt;ive c&lt;span class="_ _7"&gt;&lt;/span&gt;ont&lt;span class="_ _7"&gt;&lt;/span&gt;ra&lt;span class="_ _7"&gt;&lt;/span&gt;ct&lt;span class="_ _7"&gt;&lt;/span&gt;s ar&lt;span class="_ _7"&gt;&lt;/span&gt;e su&lt;span class="_ _7"&gt;&lt;/span&gt;bje&lt;span class="_ _7"&gt;&lt;/span&gt;c&lt;span class="_ _7"&gt;&lt;/span&gt;t to ma&lt;span class="_ _7"&gt;&lt;/span&gt;ste&lt;span class="_ _7"&gt;&lt;/span&gt;r ne&lt;span class="_ _7"&gt;&lt;/span&gt;t&lt;span class="_ _7"&gt;&lt;/span&gt;tin&lt;span class="_ _7"&gt;&lt;/span&gt;g agr&lt;span class="_ _7"&gt;&lt;/span&gt;ee&lt;span class="_ _7"&gt;&lt;/span&gt;me&lt;span class="_ _7"&gt;&lt;/span&gt;nt&lt;span class="_ _7"&gt;&lt;/span&gt;s &lt;/span&gt;&lt;span style="display:inherit;clear:left;"&gt;(ISDA), no c&lt;span class="_ _7"&gt;&lt;/span&gt;ol&lt;span class="_ _7"&gt;&lt;/span&gt;lat&lt;span class="_ _7"&gt;&lt;/span&gt;er&lt;span class="_ _7"&gt;&lt;/span&gt;al h&lt;span class="_ _7"&gt;&lt;/span&gt;as b&lt;span class="_ _7"&gt;&lt;/span&gt;ee&lt;span class="_ _7"&gt;&lt;/span&gt;n re&lt;span class="_ _7"&gt;&lt;/span&gt;cei&lt;span class="_ _7"&gt;&lt;/span&gt;ve&lt;span class="_ _7"&gt;&lt;/span&gt;d or p&lt;span class="_ _7"&gt;&lt;/span&gt;os&lt;span class="_ _7"&gt;&lt;/span&gt;te&lt;span class="_ _7"&gt;&lt;/span&gt;d. T&lt;span class="_ _7"&gt;&lt;/span&gt;he t&lt;span class="_ _7"&gt;&lt;/span&gt;ab&lt;span class="_ _7"&gt;&lt;/span&gt;le b&lt;span class="_ _7"&gt;&lt;/span&gt;elo&lt;span class="_ _7"&gt;&lt;/span&gt;w &lt;/span&gt;&lt;span style="display:inherit;clear:left;"&gt;sh&lt;span class="_ _7"&gt;&lt;/span&gt;ows d&lt;span class="_ _7"&gt;&lt;/span&gt;er&lt;span class="_ _7"&gt;&lt;/span&gt;iv&lt;span class="_ _7"&gt;&lt;/span&gt;ati&lt;span class="_ _7"&gt;&lt;/span&gt;ve&lt;span class="_ _7"&gt;&lt;/span&gt;s cove&lt;span class="_ _7"&gt;&lt;/span&gt;re&lt;span class="_ _7"&gt;&lt;/span&gt;d by m&lt;span class="_ _7"&gt;&lt;/span&gt;as&lt;span class="_ _7"&gt;&lt;/span&gt;ter n&lt;span class="_ _7"&gt;&lt;/span&gt;et&lt;span class="_ _7"&gt;&lt;/span&gt;ti&lt;span class="_ _7"&gt;&lt;/span&gt;ng ag&lt;span class="_ _7"&gt;&lt;/span&gt;re&lt;span class="_ _7"&gt;&lt;/span&gt;em&lt;span class="_ _7"&gt;&lt;/span&gt;ent&lt;span class="_ _7"&gt;&lt;/span&gt;s (IS&lt;span class="_ _7"&gt;&lt;/span&gt;DA).&lt;/span&gt;&lt;span style="display:inherit;clear:left;position:relative;height:206.708984375px;"&gt;&lt;span class="pp-font-color-override-1" style="position: absolute; display: inline-block; left: 147.719px; top: 0.0039062px; width: 28.002px; white-space: pre; word-spacing: -0.2976px; letter-spacing: 0.2976px; margin-left: 0px; font-size: 9.6px; font-family: ff93; -webkit-text-stroke: 0.144px rgba(0, 0, 0, 0);"&gt;&lt;span style="display: inline-block;"&gt;Offset &lt;/span&gt;&lt;/span&gt;&lt;span class="pp-font-color-override-1" style="position: absolute; display: inline-block; left: 258.859px; top: 0.0039062px; width: 29.9062px; white-space: pre; word-spacing: -0.2016px; letter-spacing: 0.2016px; margin-left: 0px; font-size: 9.6px; font-family: ff93; -webkit-text-stroke: 0.144px rgba(0, 0, 0, 0);"&gt;&lt;span style="display: inline-block;"&gt;Master &lt;/span&gt;&lt;span style="word-spacing: -0.2016px; letter-spacing: 0.2016px; display: inline-block; margin-left: -2.76px; width: 0px; font-size: 9.6px; font-family: ff93; -webkit-text-stroke: 0.144px rgba(0, 0, 0, 0);"&gt;&lt;/span&gt;&lt;span class="pp-font-color-override-1" style="word-spacing: 0px; letter-spacing: 0px; display: inline-block; margin-left: 0px; font-size: 9.6px; font-family: ff93; -webkit-text-stroke: 0.144px rgba(0, 0, 0, 0);"&gt;&lt;span style="display: inline-block;"&gt; &lt;/span&gt;&lt;/span&gt;&lt;/span&gt;&lt;span class="pp-font-color-override-1" style="position: absolute; display: inline-block; left: 0px; top: 11.248px; width: 54.1055px; white-space: pre; word-spacing: -0.192px; letter-spacing: 0.192px; margin-left: 0px; font-size: 9.6px; font-family: ff94; -webkit-text-stroke: 0.144px rgba(0, 0, 0, 0);"&gt;&lt;span style="display: inline-block;"&gt;Net position &lt;/span&gt;&lt;span class="pp-font-color-override-1" style="word-spacing: 0px; letter-spacing: 0px; display: inline-block; margin-left: 0px; font-size: 9.6px; font-family: ff94; -webkit-text-stroke: 0.144px rgba(0, 0, 0, 0);"&gt;&lt;span style="display: inline-block;"&gt; &lt;/span&gt;&lt;/span&gt;&lt;/span&gt;&lt;span class="pp-font-color-override-1" style="position: absolute; display: inline-block; left: 168.438px; top: 10.5039px; width: 9.94336px; white-space: pre; word-spacing: 0px; letter-spacing: 0px; margin-left: 0px; font-size: 9.6px; font-family: ff93; -webkit-text-stroke: 0.144px rgba(0, 0, 0, 0);"&gt;&lt;span style="display: inline-block;"&gt;in &lt;/span&gt;&lt;span style="word-spacing: 0px; letter-spacing: 0px; display: inline-block; margin-left: -2.33175px; width: 0px; font-size: 9.6px; font-family: ff93; -webkit-text-stroke: 0.144px rgba(0, 0, 0, 0);"&gt;&lt;/span&gt;&lt;span style="display: inline-block;"&gt; &lt;/span&gt;&lt;/span&gt;&lt;span class="pp-font-color-override-1" style="position: absolute; display: inline-block; left: 205.484px; top: 10.5039px; width: 26.6133px; white-space: pre; word-spacing: 0px; letter-spacing: 0px; margin-left: 0px; font-size: 9.6px; font-family: ff93; -webkit-text-stroke: 0.144px rgba(0, 0, 0, 0);"&gt;&lt;span style="display: inline-block;"&gt;Net i&lt;/span&gt;&lt;span style="word-spacing: 0px; letter-spacing: 0px; display: inline-block; margin-left: 0px; width: 0.410156px; font-size: 9.6px; font-family: ff93; -webkit-text-stroke: 0.144px rgba(0, 0, 0, 0);"&gt;&lt;/span&gt;&lt;span style="display: inline-block;"&gt;n &lt;/span&gt;&lt;span style="word-spacing: 0px; letter-spacing: 0px; display: inline-block; margin-left: -2.33175px; width: 0px; font-size: 9.6px; font-family: ff93; -webkit-text-stroke: 0.144px rgba(0, 0, 0, 0);"&gt;&lt;/span&gt;&lt;span style="display: inline-block;"&gt; &lt;/span&gt;&lt;/span&gt;&lt;span class="pp-font-color-override-1" style="position: absolute; display: inline-block; left: 258.859px; top: 10.5039px; width: 30.2695px; white-space: pre; word-spacing: -0.1728px; letter-spacing: 0.1728px; margin-left: 0px; font-size: 9.6px; font-family: ff93; -webkit-text-stroke: 0.144px rgba(0, 0, 0, 0);"&gt;&lt;span style="display: inline-block;"&gt;netting &lt;/span&gt;&lt;/span&gt;&lt;span class="pp-font-color-override-1" style="position: absolute; display: inline-block; left: 0px; top: 21.748px; width: 56.0215px; white-space: pre; word-spacing: 0px; letter-spacing: 0px; margin-left: 0px; font-size: 9.6px; font-family: ff94; -webkit-text-stroke: 0.144px rgba(0, 0, 0, 0);"&gt;&lt;span style="display: inline-block;"&gt;for d&lt;/span&gt;&lt;span style="word-spacing: 0px; letter-spacing: 0px; display: inline-block; margin-left: 0px; width: 0.410156px; font-size: 9.6px; font-family: ff94; -webkit-text-stroke: 0.144px rgba(0, 0, 0, 0);"&gt;&lt;/span&gt;&lt;span style="display: inline-block;"&gt;er&lt;/span&gt;&lt;span style="word-spacing: 0px; letter-spacing: 0px; display: inline-block; margin-left: 0px; width: 0.410156px; font-size: 9.6px; font-family: ff94; -webkit-text-stroke: 0.144px rgba(0, 0, 0, 0);"&gt;&lt;/span&gt;&lt;span style="display: inline-block;"&gt;iv&lt;/span&gt;&lt;span style="word-spacing: 0px; letter-spacing: 0px; display: inline-block; margin-left: 0px; width: 0.410156px; font-size: 9.6px; font-family: ff94; -webkit-text-stroke: 0.144px rgba(0, 0, 0, 0);"&gt;&lt;/span&gt;&lt;span style="display: inline-block;"&gt;at&lt;/span&gt;&lt;span style="word-spacing: 0px; letter-spacing: 0px; display: inline-block; margin-left: 0px; width: 0.410156px; font-size: 9.6px; font-family: ff94; -webkit-text-stroke: 0.144px rgba(0, 0, 0, 0);"&gt;&lt;/span&gt;&lt;span style="display: inline-block;"&gt;ive &lt;/span&gt;&lt;/span&gt;&lt;span class="pp-font-color-override-1" style="position: absolute; display: inline-block; left: 139.812px; top: 21.0039px; width: 34.5527px; white-space: pre; word-spacing: 0px; letter-spacing: 0px; margin-left: 0px; font-size: 9.6px; font-family: ff93; -webkit-text-stroke: 0.144px rgba(0, 0, 0, 0);"&gt;&lt;span style="display: inline-block;"&gt;Ba&lt;/span&gt;&lt;span style="word-spacing: 0px; letter-spacing: 0px; display: inline-block; margin-left: 0px; width: 0.410156px; font-size: 9.6px; font-family: ff93; -webkit-text-stroke: 0.144px rgba(0, 0, 0, 0);"&gt;&lt;/span&gt;&lt;span style="display: inline-block;"&gt;la&lt;/span&gt;&lt;span style="word-spacing: 0px; letter-spacing: 0px; display: inline-block; margin-left: 0px; width: 0.410156px; font-size: 9.6px; font-family: ff93; -webkit-text-stroke: 0.144px rgba(0, 0, 0, 0);"&gt;&lt;/span&gt;&lt;span style="display: inline-block;"&gt;nc&lt;/span&gt;&lt;span style="word-spacing: 0px; letter-spacing: 0px; display: inline-block; margin-left: 0px; width: 0.410156px; font-size: 9.6px; font-family: ff93; -webkit-text-stroke: 0.144px rgba(0, 0, 0, 0);"&gt;&lt;/span&gt;&lt;span style="display: inline-block;"&gt;e &lt;/span&gt;&lt;/span&gt;&lt;span class="pp-font-color-override-1" style="position: absolute; display: inline-block; left: 195.344px; top: 21.0039px; width: 34.5527px; white-space: pre; word-spacing: 0px; letter-spacing: 0px; margin-left: 0px; font-size: 9.6px; font-family: ff93; -webkit-text-stroke: 0.144px rgba(0, 0, 0, 0);"&gt;&lt;span style="display: inline-block;"&gt;Ba&lt;/span&gt;&lt;span style="word-spacing: 0px; letter-spacing: 0px; display: inline-block; margin-left: 0px; width: 0.410156px; font-size: 9.6px; font-family: ff93; -webkit-text-stroke: 0.144px rgba(0, 0, 0, 0);"&gt;&lt;/span&gt;&lt;span style="display: inline-block;"&gt;la&lt;/span&gt;&lt;span style="word-spacing: 0px; letter-spacing: 0px; display: inline-block; margin-left: 0px; width: 0.410156px; font-size: 9.6px; font-family: ff93; -webkit-text-stroke: 0.144px rgba(0, 0, 0, 0);"&gt;&lt;/span&gt;&lt;span style="display: inline-block;"&gt;nc&lt;/span&gt;&lt;span style="word-spacing: 0px; letter-spacing: 0px; display: inline-block; margin-left: 0px; width: 0.410156px; font-size: 9.6px; font-family: ff93; -webkit-text-stroke: 0.144px rgba(0, 0, 0, 0);"&gt;&lt;/span&gt;&lt;span style="display: inline-block;"&gt;e &lt;/span&gt;&lt;/span&gt;&lt;span class="pp-font-color-override-1" style="position: absolute; display: inline-block; left: 260.219px; top: 21.0039px; width: 24.6035px; white-space: pre; word-spacing: -0.1248px; letter-spacing: 0.1248px; margin-left: 0px; font-size: 9.6px; font-family: ff93; -webkit-text-stroke: 0.144px rgba(0, 0, 0, 0);"&gt;&lt;span style="display: inline-block;"&gt;agree&lt;/span&gt;&lt;span class="pp-font-color-override-1" style="word-spacing: 0px; letter-spacing: 0px; display: inline-block; mar</t>
  </si>
  <si>
    <t>f1__s8__6__23-1</t>
  </si>
  <si>
    <t>ifrs-full:DescriptionOfAccountingPolicyForSubsidiariesExplanatory</t>
  </si>
  <si>
    <t>&lt;span style="display:inherit;clear:left;"&gt;Basis of consolidat&lt;span class="_ _2"&gt;&lt;/span&gt;ion&lt;/span&gt;&lt;span style="display:inherit;clear:left;"&gt;Th&lt;span class="_ _7"&gt;&lt;/span&gt;e con&lt;span class="_ _7"&gt;&lt;/span&gt;s&lt;span class="_ _7"&gt;&lt;/span&gt;oli&lt;span class="_ _7"&gt;&lt;/span&gt;da&lt;span class="_ _7"&gt;&lt;/span&gt;ted a&lt;span class="_ _7"&gt;&lt;/span&gt;cc&lt;span class="_ _7"&gt;&lt;/span&gt;oun&lt;span class="_ _7"&gt;&lt;/span&gt;ts i&lt;span class="_ _7"&gt;&lt;/span&gt;nc&lt;span class="_ _7"&gt;&lt;/span&gt;lud&lt;span class="_ _7"&gt;&lt;/span&gt;e Volvo Ca&lt;span class="_ _7"&gt;&lt;/span&gt;r AB (p&lt;span class="_ _7"&gt;&lt;/span&gt;ub&lt;span class="_ _7"&gt;&lt;/span&gt;l.) a&lt;span class="_ _7"&gt;&lt;/span&gt;nd i&lt;span class="_ _7"&gt;&lt;/span&gt;ts  &lt;/span&gt;&lt;span style="display:inherit;clear:left;"&gt;sub&lt;span class="_ _7"&gt;&lt;/span&gt;s&lt;span class="_ _7"&gt;&lt;/span&gt;idi&lt;span class="_ _7"&gt;&lt;/span&gt;ar&lt;span class="_ _7"&gt;&lt;/span&gt;ie&lt;span class="_ _7"&gt;&lt;/span&gt;s&lt;span class="_ _7"&gt;&lt;/span&gt;. Sub&lt;span class="_ _7"&gt;&lt;/span&gt;s&lt;span class="_ _7"&gt;&lt;/span&gt;idi&lt;span class="_ _7"&gt;&lt;/span&gt;ar&lt;span class="_ _7"&gt;&lt;/span&gt;ie&lt;span class="_ _7"&gt;&lt;/span&gt;s ar&lt;span class="_ _7"&gt;&lt;/span&gt;e all e&lt;span class="_ _7"&gt;&lt;/span&gt;nti&lt;span class="_ _7"&gt;&lt;/span&gt;tie&lt;span class="_ _7"&gt;&lt;/span&gt;s ov&lt;span class="_ _7"&gt;&lt;/span&gt;er wh&lt;span class="_ _7"&gt;&lt;/span&gt;ich Volvo C&lt;span class="_ _7"&gt;&lt;/span&gt;ar G&lt;span class="_ _7"&gt;&lt;/span&gt;ro&lt;span class="_ _7"&gt;&lt;/span&gt;up &lt;/span&gt;&lt;span style="display:inherit;clear:left;"&gt;ha&lt;span class="_ _7"&gt;&lt;/span&gt;s con&lt;span class="_ _7"&gt;&lt;/span&gt;tr&lt;span class="_ _7"&gt;&lt;/span&gt;ol&lt;span class="_ _7"&gt;&lt;/span&gt;. Volvo Ca&lt;span class="_ _7"&gt;&lt;/span&gt;r Gr&lt;span class="_ _7"&gt;&lt;/span&gt;oup c&lt;span class="_ _7"&gt;&lt;/span&gt;on&lt;span class="_ _7"&gt;&lt;/span&gt;tro&lt;span class="_ _7"&gt;&lt;/span&gt;l&lt;span class="_ _7"&gt;&lt;/span&gt;s an en&lt;span class="_ _7"&gt;&lt;/span&gt;tit&lt;span class="_ _7"&gt;&lt;/span&gt;y w&lt;span class="_ _7"&gt;&lt;/span&gt;he&lt;span class="_ _7"&gt;&lt;/span&gt;n exp&lt;span class="_ _7"&gt;&lt;/span&gt;os&lt;span class="_ _7"&gt;&lt;/span&gt;e&lt;span class="_ _7"&gt;&lt;/span&gt;d to, o&lt;span class="_ _7"&gt;&lt;/span&gt;r &lt;/span&gt;&lt;span style="display:inherit;clear:left;"&gt;ha&lt;span class="_ _7"&gt;&lt;/span&gt;s rig&lt;span class="_ _7"&gt;&lt;/span&gt;ht&lt;span class="_ _7"&gt;&lt;/span&gt;s to, v&lt;span class="_ _7"&gt;&lt;/span&gt;ari&lt;span class="_ _7"&gt;&lt;/span&gt;ab&lt;span class="_ _7"&gt;&lt;/span&gt;le re&lt;span class="_ _7"&gt;&lt;/span&gt;tur&lt;span class="_ _7"&gt;&lt;/span&gt;ns f&lt;span class="_ _7"&gt;&lt;/span&gt;r&lt;span class="_ _7"&gt;&lt;/span&gt;om it&lt;span class="_ _7"&gt;&lt;/span&gt;s in&lt;span class="_ _7"&gt;&lt;/span&gt;volv&lt;span class="_ _7"&gt;&lt;/span&gt;eme&lt;span class="_ _7"&gt;&lt;/span&gt;nt w&lt;span class="_ _7"&gt;&lt;/span&gt;ith t&lt;span class="_ _7"&gt;&lt;/span&gt;he en&lt;span class="_ _7"&gt;&lt;/span&gt;tit&lt;span class="_ _7"&gt;&lt;/span&gt;y &lt;/span&gt;&lt;span style="display:inherit;clear:left;"&gt;and h&lt;span class="_ _7"&gt;&lt;/span&gt;as t&lt;span class="_ _7"&gt;&lt;/span&gt;he a&lt;span class="_ _7"&gt;&lt;/span&gt;bil&lt;span class="_ _7"&gt;&lt;/span&gt;it&lt;span class="_ _7"&gt;&lt;/span&gt;y to a&lt;span class="_ _7"&gt;&lt;/span&gt;f&lt;span class="_ _7"&gt;&lt;/span&gt;fe&lt;span class="_ _7"&gt;&lt;/span&gt;ct t&lt;span class="_ _7"&gt;&lt;/span&gt;ho&lt;span class="_ _7"&gt;&lt;/span&gt;se r&lt;span class="_ _7"&gt;&lt;/span&gt;et&lt;span class="_ _7"&gt;&lt;/span&gt;urn&lt;span class="_ _7"&gt;&lt;/span&gt;s th&lt;span class="_ _7"&gt;&lt;/span&gt;ro&lt;span class="_ _7"&gt;&lt;/span&gt;ugh i&lt;span class="_ _7"&gt;&lt;/span&gt;ts p&lt;span class="_ _7"&gt;&lt;/span&gt;owe&lt;span class="_ _7"&gt;&lt;/span&gt;r ove&lt;span class="_ _7"&gt;&lt;/span&gt;r the &lt;/span&gt;&lt;span style="display:inherit;clear:left;"&gt;e&lt;span class="_ _7"&gt;&lt;/span&gt;n&lt;span class="_ _7"&gt;&lt;/span&gt;t&lt;span class="_ _7"&gt;&lt;/span&gt;i&lt;span class="_ _7"&gt;&lt;/span&gt;t&lt;span class="_ _7"&gt;&lt;/span&gt;y.&lt;span class="_ _7"&gt;&lt;/span&gt; &lt;/span&gt;&lt;span style="display:inherit;clear:left;"&gt;All w&lt;span class="_ _7"&gt;&lt;/span&gt;ho&lt;span class="_ _7"&gt;&lt;/span&gt;lly-ow&lt;span class="_ _7"&gt;&lt;/span&gt;ne&lt;span class="_ _7"&gt;&lt;/span&gt;d su&lt;span class="_ _7"&gt;&lt;/span&gt;bs&lt;span class="_ _7"&gt;&lt;/span&gt;idi&lt;span class="_ _7"&gt;&lt;/span&gt;ar&lt;span class="_ _7"&gt;&lt;/span&gt;ie&lt;span class="_ _7"&gt;&lt;/span&gt;s an&lt;span class="_ _7"&gt;&lt;/span&gt;d ce&lt;span class="_ _7"&gt;&lt;/span&gt;r&lt;span class="_ _7"&gt;&lt;/span&gt;ta&lt;span class="_ _7"&gt;&lt;/span&gt;in c&lt;span class="_ _7"&gt;&lt;/span&gt;omp&lt;span class="_ _7"&gt;&lt;/span&gt;an&lt;span class="_ _7"&gt;&lt;/span&gt;ie&lt;span class="_ _7"&gt;&lt;/span&gt;s own&lt;span class="_ _7"&gt;&lt;/span&gt;e&lt;span class="_ _7"&gt;&lt;/span&gt;d to &lt;/span&gt;&lt;span style="display:inherit;clear:left;"&gt;50 pe&lt;span class="_ _7"&gt;&lt;/span&gt;r ce&lt;span class="_ _7"&gt;&lt;/span&gt;nt or m&lt;span class="_ _7"&gt;&lt;/span&gt;or&lt;span class="_ _7"&gt;&lt;/span&gt;e, ar&lt;span class="_ _7"&gt;&lt;/span&gt;e co&lt;span class="_ _7"&gt;&lt;/span&gt;ns&lt;span class="_ _7"&gt;&lt;/span&gt;o&lt;span class="_ _7"&gt;&lt;/span&gt;lid&lt;span class="_ _7"&gt;&lt;/span&gt;ate&lt;span class="_ _7"&gt;&lt;/span&gt;d, s&lt;span class="_ _7"&gt;&lt;/span&gt;e&lt;span class="_ _7"&gt;&lt;/span&gt;e Note 8 – P&lt;span class="_ _7"&gt;&lt;/span&gt;ar&lt;span class="_ _7"&gt;&lt;/span&gt;ti&lt;span class="_ _7"&gt;&lt;/span&gt;ci&lt;span class="_ _7"&gt;&lt;/span&gt;pat&lt;span class="_ _7"&gt;&lt;/span&gt;io&lt;span class="_ _7"&gt;&lt;/span&gt;n in &lt;/span&gt;&lt;span style="display:inherit;clear:left;"&gt;subsidiaries (Parent&lt;span class="_ _2"&gt;&lt;/span&gt; Company)&lt;span class="_ _2"&gt;&lt;/span&gt;. Subsidiaries are full&lt;span class="_ _2"&gt;&lt;/span&gt;y consolidated &lt;/span&gt;&lt;span style="display:inherit;clear:left;"&gt;fr&lt;span class="_ _7"&gt;&lt;/span&gt;om th&lt;span class="_ _7"&gt;&lt;/span&gt;e da&lt;span class="_ _7"&gt;&lt;/span&gt;te on w&lt;span class="_ _7"&gt;&lt;/span&gt;hic&lt;span class="_ _7"&gt;&lt;/span&gt;h co&lt;span class="_ _7"&gt;&lt;/span&gt;ntr&lt;span class="_ _7"&gt;&lt;/span&gt;ol i&lt;span class="_ _7"&gt;&lt;/span&gt;s tr&lt;span class="_ _7"&gt;&lt;/span&gt;an&lt;span class="_ _7"&gt;&lt;/span&gt;sf&lt;span class="_ _7"&gt;&lt;/span&gt;er&lt;span class="_ _7"&gt;&lt;/span&gt;re&lt;span class="_ _7"&gt;&lt;/span&gt;d to Volvo Ca&lt;span class="_ _7"&gt;&lt;/span&gt;r Gr&lt;span class="_ _7"&gt;&lt;/span&gt;oup&lt;span class="_ _7"&gt;&lt;/span&gt;. &lt;/span&gt;&lt;span style="display:inherit;clear:left;"&gt;Th&lt;span class="_ _7"&gt;&lt;/span&gt;ey are d&lt;span class="_ _7"&gt;&lt;/span&gt;ec&lt;span class="_ _7"&gt;&lt;/span&gt;on&lt;span class="_ _7"&gt;&lt;/span&gt;s&lt;span class="_ _7"&gt;&lt;/span&gt;oli&lt;span class="_ _7"&gt;&lt;/span&gt;da&lt;span class="_ _7"&gt;&lt;/span&gt;ted f&lt;span class="_ _7"&gt;&lt;/span&gt;ro&lt;span class="_ _7"&gt;&lt;/span&gt;m th&lt;span class="_ _7"&gt;&lt;/span&gt;e date t&lt;span class="_ _7"&gt;&lt;/span&gt;ha&lt;span class="_ _7"&gt;&lt;/span&gt;t con&lt;span class="_ _7"&gt;&lt;/span&gt;tro&lt;span class="_ _7"&gt;&lt;/span&gt;l ce&lt;span class="_ _7"&gt;&lt;/span&gt;as&lt;span class="_ _7"&gt;&lt;/span&gt;e&lt;span class="_ _7"&gt;&lt;/span&gt;s&lt;span class="_ _7"&gt;&lt;/span&gt;. Whe&lt;span class="_ _7"&gt;&lt;/span&gt;n &lt;/span&gt;&lt;span style="display:inherit;clear:left;"&gt;a sub&lt;span class="_ _7"&gt;&lt;/span&gt;s&lt;span class="_ _7"&gt;&lt;/span&gt;idi&lt;span class="_ _7"&gt;&lt;/span&gt;ar&lt;span class="_ _7"&gt;&lt;/span&gt;y i&lt;span class="_ _7"&gt;&lt;/span&gt;s no&lt;span class="_ _7"&gt;&lt;/span&gt;t wh&lt;span class="_ _7"&gt;&lt;/span&gt;ol&lt;span class="_ _7"&gt;&lt;/span&gt;ly-own&lt;span class="_ _7"&gt;&lt;/span&gt;ed by Volvo C&lt;span class="_ _7"&gt;&lt;/span&gt;ar G&lt;span class="_ _7"&gt;&lt;/span&gt;ro&lt;span class="_ _7"&gt;&lt;/span&gt;up, t&lt;span class="_ _7"&gt;&lt;/span&gt;he p&lt;span class="_ _7"&gt;&lt;/span&gt;or&lt;span class="_ _7"&gt;&lt;/span&gt;ti&lt;span class="_ _7"&gt;&lt;/span&gt;on o&lt;span class="_ _7"&gt;&lt;/span&gt;f &lt;/span&gt;&lt;span style="display:inherit;clear:left;"&gt;the r&lt;span class="_ _7"&gt;&lt;/span&gt;es&lt;span class="_ _7"&gt;&lt;/span&gt;ult&lt;span class="_ _7"&gt;&lt;/span&gt;s an&lt;span class="_ _7"&gt;&lt;/span&gt;d eq&lt;span class="_ _7"&gt;&lt;/span&gt;ui&lt;span class="_ _7"&gt;&lt;/span&gt;t&lt;span class="_ _7"&gt;&lt;/span&gt;y at&lt;span class="_ _7"&gt;&lt;/span&gt;tr&lt;span class="_ _7"&gt;&lt;/span&gt;ibu&lt;span class="_ _7"&gt;&lt;/span&gt;ta&lt;span class="_ _7"&gt;&lt;/span&gt;bl&lt;span class="_ _7"&gt;&lt;/span&gt;e to the n&lt;span class="_ _7"&gt;&lt;/span&gt;on-c&lt;span class="_ _7"&gt;&lt;/span&gt;ont&lt;span class="_ _7"&gt;&lt;/span&gt;ro&lt;span class="_ _7"&gt;&lt;/span&gt;lli&lt;span class="_ _7"&gt;&lt;/span&gt;ng in&lt;span class="_ _7"&gt;&lt;/span&gt;ter&lt;span class="_ _7"&gt;&lt;/span&gt;es&lt;span class="_ _7"&gt;&lt;/span&gt;t &lt;/span&gt;&lt;span style="display:inherit;clear:left;"&gt;are p&lt;span class="_ _7"&gt;&lt;/span&gt;re&lt;span class="_ _7"&gt;&lt;/span&gt;s&lt;span class="_ _7"&gt;&lt;/span&gt;ente&lt;span class="_ _7"&gt;&lt;/span&gt;d s&lt;span class="_ _7"&gt;&lt;/span&gt;ep&lt;span class="_ _7"&gt;&lt;/span&gt;ar&lt;span class="_ _7"&gt;&lt;/span&gt;ate&lt;span class="_ _7"&gt;&lt;/span&gt;ly in th&lt;span class="_ _7"&gt;&lt;/span&gt;e f&lt;span class="_ _7"&gt;&lt;/span&gt;ina&lt;span class="_ _7"&gt;&lt;/span&gt;nci&lt;span class="_ _7"&gt;&lt;/span&gt;al s&lt;span class="_ _7"&gt;&lt;/span&gt;t&lt;span class="_ _7"&gt;&lt;/span&gt;ate&lt;span class="_ _7"&gt;&lt;/span&gt;men&lt;span class="_ _7"&gt;&lt;/span&gt;ts&lt;span class="_ _7"&gt;&lt;/span&gt;.&lt;/span&gt;&lt;span style="display:inherit;clear:left;"&gt;Not&lt;span class="_ _2"&gt;&lt;/span&gt;es&lt;span class="_ _7"&gt;&lt;/span&gt; t&lt;span class="_ _2"&gt;&lt;/span&gt;o T&lt;span class="_ _7"&gt;&lt;/span&gt;he Parent Compan&lt;span class="_ _2"&gt;&lt;/span&gt;y&lt;span class="_ _7"&gt;&lt;/span&gt; Financial&lt;span class="_ _7"&gt;&lt;/span&gt; Statements&lt;/span&gt;&lt;span style="display:inherit;clear:left;"&gt;All am&lt;span class="_ _7"&gt;&lt;/span&gt;ou&lt;span class="_ _7"&gt;&lt;/span&gt;nt&lt;span class="_ _7"&gt;&lt;/span&gt;s ar&lt;span class="_ _7"&gt;&lt;/span&gt;e in SEK&lt;span class="_ _7"&gt;&lt;/span&gt;m un&lt;span class="_ _7"&gt;&lt;/span&gt;les&lt;span class="_ _7"&gt;&lt;/span&gt;s o&lt;span class="_ _7"&gt;&lt;/span&gt;th&lt;span class="_ _7"&gt;&lt;/span&gt;er&lt;span class="_ _7"&gt;&lt;/span&gt;wi&lt;span class="_ _7"&gt;&lt;/span&gt;s&lt;span class="_ _7"&gt;&lt;/span&gt;e st&lt;span class="_ _7"&gt;&lt;/span&gt;ate&lt;span class="_ _7"&gt;&lt;/span&gt;d&lt;span class="_ _7"&gt;&lt;/span&gt;.   &lt;/span&gt;&lt;span style="display:inherit;clear:left;"&gt;Am&lt;span class="_ _7"&gt;&lt;/span&gt;oun&lt;span class="_ _7"&gt;&lt;/span&gt;ts i&lt;span class="_ _7"&gt;&lt;/span&gt;n br&lt;span class="_ _7"&gt;&lt;/span&gt;acke&lt;span class="_ _7"&gt;&lt;/span&gt;ts r&lt;span class="_ _7"&gt;&lt;/span&gt;ef&lt;span class="_ _7"&gt;&lt;/span&gt;er to th&lt;span class="_ _7"&gt;&lt;/span&gt;e pr&lt;span class="_ _7"&gt;&lt;/span&gt;ec&lt;span class="_ _7"&gt;&lt;/span&gt;ed&lt;span class="_ _7"&gt;&lt;/span&gt;ing y&lt;span class="_ _7"&gt;&lt;/span&gt;ear.&lt;/span&gt;&lt;span style="display:inherit;clear:left;"&gt;NOT&lt;span class="_ _7"&gt;&lt;/span&gt;E 1&lt;/span&gt;&lt;span style="display:inherit;clear:left;"&gt;ACCOUNTING POLICIES&lt;/span&gt;&lt;span style="display:inherit;clear:left;"&gt;Basis of preparation&lt;/span&gt;&lt;span style="display:inherit;clear:left;"&gt;Th&lt;span class="_ _7"&gt;&lt;/span&gt;e Par&lt;span class="_ _7"&gt;&lt;/span&gt;ent c&lt;span class="_ _7"&gt;&lt;/span&gt;om&lt;span class="_ _7"&gt;&lt;/span&gt;pa&lt;span class="_ _7"&gt;&lt;/span&gt;ny ha&lt;span class="_ _7"&gt;&lt;/span&gt;s pr&lt;span class="_ _7"&gt;&lt;/span&gt;ep&lt;span class="_ _7"&gt;&lt;/span&gt;are&lt;span class="_ _7"&gt;&lt;/span&gt;d it&lt;span class="_ _7"&gt;&lt;/span&gt;s f&lt;span class="_ _7"&gt;&lt;/span&gt;ina&lt;span class="_ _7"&gt;&lt;/span&gt;nc&lt;span class="_ _7"&gt;&lt;/span&gt;ial s&lt;span class="_ _7"&gt;&lt;/span&gt;t&lt;span class="_ _7"&gt;&lt;/span&gt;ate&lt;span class="_ _7"&gt;&lt;/span&gt;me&lt;span class="_ _7"&gt;&lt;/span&gt;nt&lt;span class="_ _7"&gt;&lt;/span&gt;s in &lt;/span&gt;&lt;span style="display:inherit;clear:left;"&gt;acc&lt;span class="_ _7"&gt;&lt;/span&gt;or&lt;span class="_ _7"&gt;&lt;/span&gt;da&lt;span class="_ _7"&gt;&lt;/span&gt;nc&lt;span class="_ _7"&gt;&lt;/span&gt;e wit&lt;span class="_ _7"&gt;&lt;/span&gt;h the S&lt;span class="_ _7"&gt;&lt;/span&gt;wed&lt;span class="_ _7"&gt;&lt;/span&gt;is&lt;span class="_ _7"&gt;&lt;/span&gt;h An&lt;span class="_ _7"&gt;&lt;/span&gt;nu&lt;span class="_ _7"&gt;&lt;/span&gt;al Acc&lt;span class="_ _7"&gt;&lt;/span&gt;ou&lt;span class="_ _7"&gt;&lt;/span&gt;nt&lt;span class="_ _7"&gt;&lt;/span&gt;s Act (1995:155&lt;span class="_ _7"&gt;&lt;/span&gt;4) and &lt;/span&gt;&lt;span style="display:inherit;clear:left;"&gt;RFR 2, Ac&lt;span class="_ _7"&gt;&lt;/span&gt;co&lt;span class="_ _7"&gt;&lt;/span&gt;unt&lt;span class="_ _7"&gt;&lt;/span&gt;ing fo&lt;span class="_ _7"&gt;&lt;/span&gt;r Le&lt;span class="_ _7"&gt;&lt;/span&gt;ga&lt;span class="_ _7"&gt;&lt;/span&gt;l ent&lt;span class="_ _7"&gt;&lt;/span&gt;iti&lt;span class="_ _7"&gt;&lt;/span&gt;es&lt;span class="_ _7"&gt;&lt;/span&gt;. Ac&lt;span class="_ _7"&gt;&lt;/span&gt;co&lt;span class="_ _7"&gt;&lt;/span&gt;rdi&lt;span class="_ _7"&gt;&lt;/span&gt;ng to RFR 2&lt;span class="_ _7"&gt;&lt;/span&gt;, the P&lt;span class="_ _7"&gt;&lt;/span&gt;ar&lt;span class="_ _7"&gt;&lt;/span&gt;ent &lt;/span&gt;&lt;span style="display:inherit;clear:left;"&gt;com&lt;span class="_ _7"&gt;&lt;/span&gt;pa&lt;span class="_ _7"&gt;&lt;/span&gt;ny sh&lt;span class="_ _7"&gt;&lt;/span&gt;al&lt;span class="_ _7"&gt;&lt;/span&gt;l app&lt;span class="_ _7"&gt;&lt;/span&gt;ly al&lt;span class="_ _7"&gt;&lt;/span&gt;l th&lt;span class="_ _7"&gt;&lt;/span&gt;e Inte&lt;span class="_ _7"&gt;&lt;/span&gt;rn&lt;span class="_ _7"&gt;&lt;/span&gt;ati&lt;span class="_ _7"&gt;&lt;/span&gt;on&lt;span class="_ _7"&gt;&lt;/span&gt;al Fi&lt;span class="_ _7"&gt;&lt;/span&gt;na&lt;span class="_ _7"&gt;&lt;/span&gt;nci&lt;span class="_ _7"&gt;&lt;/span&gt;al Re&lt;span class="_ _7"&gt;&lt;/span&gt;po&lt;span class="_ _7"&gt;&lt;/span&gt;r&lt;span class="_ _7"&gt;&lt;/span&gt;ti&lt;span class="_ _7"&gt;&lt;/span&gt;ng St&lt;span class="_ _7"&gt;&lt;/span&gt;an&lt;span class="_ _7"&gt;&lt;/span&gt;d-&lt;/span&gt;&lt;span style="display:inherit;clear:left;"&gt;ard&lt;span class="_ _7"&gt;&lt;/span&gt;s en&lt;span class="_ _7"&gt;&lt;/span&gt;do&lt;span class="_ _7"&gt;&lt;/span&gt;r&lt;span class="_ _7"&gt;&lt;/span&gt;se&lt;span class="_ _7"&gt;&lt;/span&gt;d by th&lt;span class="_ _7"&gt;&lt;/span&gt;e EU as f&lt;span class="_ _7"&gt;&lt;/span&gt;ar a&lt;span class="_ _7"&gt;&lt;/span&gt;s thi&lt;span class="_ _7"&gt;&lt;/span&gt;s is p&lt;span class="_ _7"&gt;&lt;/span&gt;os&lt;span class="_ _7"&gt;&lt;/span&gt;s&lt;span class="_ _7"&gt;&lt;/span&gt;ib&lt;span class="_ _7"&gt;&lt;/span&gt;le wi&lt;span class="_ _7"&gt;&lt;/span&gt;th&lt;span class="_ _7"&gt;&lt;/span&gt;in th&lt;span class="_ _7"&gt;&lt;/span&gt;e fr&lt;span class="_ _7"&gt;&lt;/span&gt;am&lt;span class="_ _7"&gt;&lt;/span&gt;e-&lt;/span&gt;&lt;span style="display:inherit;clear:left;"&gt;wor&lt;span class="_ _7"&gt;&lt;/span&gt;k of th&lt;span class="_ _7"&gt;&lt;/span&gt;e Swe&lt;span class="_ _7"&gt;&lt;/span&gt;di&lt;span class="_ _7"&gt;&lt;/span&gt;sh A&lt;span class="_ _7"&gt;&lt;/span&gt;nn&lt;span class="_ _7"&gt;&lt;/span&gt;ual A&lt;span class="_ _7"&gt;&lt;/span&gt;cco&lt;span class="_ _7"&gt;&lt;/span&gt;un&lt;span class="_ _7"&gt;&lt;/span&gt;ts Ac&lt;span class="_ _7"&gt;&lt;/span&gt;t. C&lt;span class="_ _7"&gt;&lt;/span&gt;han&lt;span class="_ _7"&gt;&lt;/span&gt;ge&lt;span class="_ _7"&gt;&lt;/span&gt;s in RFR 2 a&lt;span class="_ _7"&gt;&lt;/span&gt;pp&lt;span class="_ _7"&gt;&lt;/span&gt;li-&lt;/span&gt;&lt;span style="display:inherit;clear:left;"&gt;ca&lt;span class="_ _7"&gt;&lt;/span&gt;ble t&lt;span class="_ _7"&gt;&lt;/span&gt;o the f&lt;span class="_ _7"&gt;&lt;/span&gt;is&lt;span class="_ _7"&gt;&lt;/span&gt;c&lt;span class="_ _7"&gt;&lt;/span&gt;al ye&lt;span class="_ _7"&gt;&lt;/span&gt;ar b&lt;span class="_ _7"&gt;&lt;/span&gt;eg&lt;span class="_ _7"&gt;&lt;/span&gt;inn&lt;span class="_ _7"&gt;&lt;/span&gt;ing 1 J&lt;span class="_ _7"&gt;&lt;/span&gt;an&lt;span class="_ _7"&gt;&lt;/span&gt;uar&lt;span class="_ _9"&gt;&lt;/span&gt;y 2025, have h&lt;span class="_ _7"&gt;&lt;/span&gt;ad n&lt;span class="_ _7"&gt;&lt;/span&gt;o &lt;/span&gt;&lt;span style="display:inherit;clear:left;"&gt;mat&lt;span class="_ _7"&gt;&lt;/span&gt;eri&lt;span class="_ _7"&gt;&lt;/span&gt;al i&lt;span class="_ _7"&gt;&lt;/span&gt;mp&lt;span class="_ _7"&gt;&lt;/span&gt;ac&lt;span class="_ _7"&gt;&lt;/span&gt;t on th&lt;span class="_ _7"&gt;&lt;/span&gt;e fi&lt;span class="_ _7"&gt;&lt;/span&gt;na&lt;span class="_ _7"&gt;&lt;/span&gt;nci&lt;span class="_ _7"&gt;&lt;/span&gt;al s&lt;span class="_ _7"&gt;&lt;/span&gt;t&lt;span class="_ _7"&gt;&lt;/span&gt;atem&lt;span class="_ _7"&gt;&lt;/span&gt;en&lt;span class="_ _7"&gt;&lt;/span&gt;ts o&lt;span class="_ _7"&gt;&lt;/span&gt;f the P&lt;span class="_ _7"&gt;&lt;/span&gt;ar&lt;span class="_ _7"&gt;&lt;/span&gt;ent c&lt;span class="_ _7"&gt;&lt;/span&gt;om&lt;span class="_ _7"&gt;&lt;/span&gt;pa&lt;span class="_ _7"&gt;&lt;/span&gt;ny. &lt;/span&gt;&lt;span style="display:inherit;clear:left;"&gt;All specific accoun&lt;span class="_ _2"&gt;&lt;/span&gt;ting policies considered&lt;span class="_ _2"&gt;&lt;/span&gt; material to V&lt;span class="_ _6"&gt;&lt;/span&gt;olvo Car &lt;/span&gt;&lt;span style="display:inherit;clear:left;"&gt;Gro&lt;span class="_ _7"&gt;&lt;/span&gt;up a&lt;span class="_ _7"&gt;&lt;/span&gt;re de&lt;span class="_ _7"&gt;&lt;/span&gt;s&lt;span class="_ _7"&gt;&lt;/span&gt;cr&lt;span class="_ _7"&gt;&lt;/span&gt;ib&lt;span class="_ _7"&gt;&lt;/span&gt;ed in c&lt;span class="_ _7"&gt;&lt;/span&gt;on&lt;span class="_ _7"&gt;&lt;/span&gt;jun&lt;span class="_ _7"&gt;&lt;/span&gt;ct&lt;span class="_ _7"&gt;&lt;/span&gt;io&lt;span class="_ _7"&gt;&lt;/span&gt;n wit&lt;span class="_ _7"&gt;&lt;/span&gt;h ea&lt;span class="_ _7"&gt;&lt;/span&gt;ch pr&lt;span class="_ _7"&gt;&lt;/span&gt;es&lt;span class="_ _7"&gt;&lt;/span&gt;e&lt;span class="_ _7"&gt;&lt;/span&gt;nte&lt;span class="_ _7"&gt;&lt;/span&gt;d not&lt;span class="_ _7"&gt;&lt;/span&gt;e in th&lt;span class="_ _7"&gt;&lt;/span&gt;e &lt;/span&gt;&lt;span style="display:inherit;clear:left;"&gt;consolidated financial&lt;span class="_ _2"&gt;&lt;/span&gt; st&lt;span class="_ _7"&gt;&lt;/span&gt;atements. The mai&lt;span class="_ _2"&gt;&lt;/span&gt;n deviations between the&lt;span class="_ _2"&gt;&lt;/span&gt; &lt;/span&gt;&lt;span style="display:inherit;clear:left;"&gt;acc&lt;span class="_ _7"&gt;&lt;/span&gt;ou&lt;span class="_ _7"&gt;&lt;/span&gt;nti&lt;span class="_ _7"&gt;&lt;/span&gt;ng po&lt;span class="_ _7"&gt;&lt;/span&gt;li&lt;span class="_ _7"&gt;&lt;/span&gt;cie&lt;span class="_ _7"&gt;&lt;/span&gt;s ap&lt;span class="_ _7"&gt;&lt;/span&gt;pl&lt;span class="_ _7"&gt;&lt;/span&gt;ie&lt;span class="_ _7"&gt;&lt;/span&gt;d by th&lt;span class="_ _7"&gt;&lt;/span&gt;e Volvo Ca&lt;span class="_ _7"&gt;&lt;/span&gt;r Gro&lt;span class="_ _7"&gt;&lt;/span&gt;up a&lt;span class="_ _7"&gt;&lt;/span&gt;nd th&lt;span class="_ _7"&gt;&lt;/span&gt;e Pa&lt;span class="_ _7"&gt;&lt;/span&gt;ren&lt;span class="_ _7"&gt;&lt;/span&gt;t &lt;/span&gt;&lt;span style="display:inherit;clear:left;"&gt;com&lt;span class="_ _7"&gt;&lt;/span&gt;pa&lt;span class="_ _7"&gt;&lt;/span&gt;ny ar&lt;span class="_ _7"&gt;&lt;/span&gt;e de&lt;span class="_ _7"&gt;&lt;/span&gt;sc&lt;span class="_ _7"&gt;&lt;/span&gt;ri&lt;span class="_ _7"&gt;&lt;/span&gt;be&lt;span class="_ _7"&gt;&lt;/span&gt;d be&lt;span class="_ _7"&gt;&lt;/span&gt;low. &lt;/span&gt;&lt;span style="display:inherit;clear:left;"&gt;Shares and participations in Group companies &lt;/span&gt;&lt;span style="display:inherit;clear:left;"&gt;Sh&lt;span class="_ _7"&gt;&lt;/span&gt;are&lt;span class="_ _7"&gt;&lt;/span&gt;s an&lt;span class="_ _7"&gt;&lt;/span&gt;d pa&lt;span class="_ _7"&gt;&lt;/span&gt;r&lt;span class="_ _7"&gt;&lt;/span&gt;ti&lt;span class="_ _7"&gt;&lt;/span&gt;cip&lt;span class="_ _7"&gt;&lt;/span&gt;ati&lt;span class="_ _7"&gt;&lt;/span&gt;on&lt;span class="_ _7"&gt;&lt;/span&gt;s in Gr&lt;span class="_ _7"&gt;&lt;/span&gt;ou&lt;span class="_ _7"&gt;&lt;/span&gt;p co&lt;span class="_ _7"&gt;&lt;/span&gt;mp&lt;span class="_ _7"&gt;&lt;/span&gt;ani&lt;span class="_ _7"&gt;&lt;/span&gt;es a&lt;span class="_ _7"&gt;&lt;/span&gt;re r&lt;span class="_ _7"&gt;&lt;/span&gt;ec&lt;span class="_ _7"&gt;&lt;/span&gt;ogn&lt;span class="_ _7"&gt;&lt;/span&gt;is&lt;span class="_ _7"&gt;&lt;/span&gt;e&lt;span class="_ _7"&gt;&lt;/span&gt;d at co&lt;span class="_ _7"&gt;&lt;/span&gt;s&lt;span class="_ _7"&gt;&lt;/span&gt;t &lt;/span&gt;&lt;span style="display:inherit;clear:left;"&gt;in th&lt;span class="_ _7"&gt;&lt;/span&gt;e Par&lt;span class="_ _7"&gt;&lt;/span&gt;en&lt;span class="_ _7"&gt;&lt;/span&gt;t com&lt;span class="_ _7"&gt;&lt;/span&gt;pa&lt;span class="_ _7"&gt;&lt;/span&gt;ny&lt;span class="_ _7"&gt;&lt;/span&gt;’s bal&lt;span class="_ _7"&gt;&lt;/span&gt;an&lt;span class="_ _7"&gt;&lt;/span&gt;ce s&lt;span class="_ _7"&gt;&lt;/span&gt;he&lt;span class="_ _7"&gt;&lt;/span&gt;et an&lt;span class="_ _7"&gt;&lt;/span&gt;d te&lt;span class="_ _7"&gt;&lt;/span&gt;st f&lt;span class="_ _7"&gt;&lt;/span&gt;or im&lt;span class="_ _7"&gt;&lt;/span&gt;pa&lt;span class="_ _7"&gt;&lt;/span&gt;ir&lt;span class="_ _7"&gt;&lt;/span&gt;me&lt;span class="_ _7"&gt;&lt;/span&gt;nt is p&lt;span class="_ _7"&gt;&lt;/span&gt;er&lt;span class="ls3"&gt;-&lt;/span&gt;&lt;/span&gt;&lt;span style="display:inherit;clear:left;"&gt;formed annuall&lt;span class="_ _2"&gt;&lt;/span&gt;y or whenever&lt;span class="_ _2"&gt;&lt;/span&gt; there is an&lt;span class="_ _2"&gt;&lt;/span&gt; indication to do&lt;span class="_ _2"&gt;&lt;/span&gt; so. Dividends &lt;/span&gt;&lt;span style="display:inherit;clear:left;"&gt;are r&lt;span class="_ _7"&gt;&lt;/span&gt;ec&lt;span class="_ _7"&gt;&lt;/span&gt;og&lt;span class="_ _7"&gt;&lt;/span&gt;ni&lt;span class="_ _7"&gt;&lt;/span&gt;se&lt;span class="_ _7"&gt;&lt;/span&gt;d in th&lt;span class="_ _7"&gt;&lt;/span&gt;e in&lt;span class="_ _7"&gt;&lt;/span&gt;co&lt;span class="_ _7"&gt;&lt;/span&gt;me s&lt;span class="_ _7"&gt;&lt;/span&gt;ta&lt;span class="_ _7"&gt;&lt;/span&gt;tem&lt;span class="_ _7"&gt;&lt;/span&gt;en&lt;span class="_ _7"&gt;&lt;/span&gt;t. Pr&lt;span class="_ _7"&gt;&lt;/span&gt;of&lt;span class="_ _7"&gt;&lt;/span&gt;it a&lt;span class="_ _7"&gt;&lt;/span&gt;nd lo&lt;span class="_ _7"&gt;&lt;/span&gt;s&lt;span class="_ _7"&gt;&lt;/span&gt;s f&lt;span class="_ _7"&gt;&lt;/span&gt;ro&lt;span class="_ _7"&gt;&lt;/span&gt;m all&lt;span class="_ _7"&gt;&lt;/span&gt; &lt;/span&gt;&lt;span style="display:inherit;clear:left;"&gt;shares and participations&lt;span class="_ _2"&gt;&lt;/span&gt; are reported within income&lt;span class="_ _2"&gt;&lt;/span&gt; before tax&lt;span class="_ _7"&gt;&lt;/span&gt;.&lt;/span&gt;&lt;span style="display:inherit;clear:left;"&gt;T&lt;span class="_ _2"&gt;&lt;/span&gt;ran&lt;span class="_ _7"&gt;&lt;/span&gt;s&lt;span class="_ _7"&gt;&lt;/span&gt;ac&lt;span class="_ _7"&gt;&lt;/span&gt;tio&lt;span class="_ _7"&gt;&lt;/span&gt;n co&lt;span class="_ _7"&gt;&lt;/span&gt;s&lt;span class="_ _7"&gt;&lt;/span&gt;ts d&lt;span class="_ _7"&gt;&lt;/span&gt;ire&lt;span class="_ _7"&gt;&lt;/span&gt;c&lt;span class="_ _7"&gt;&lt;/span&gt;tly at&lt;span class="_ _7"&gt;&lt;/span&gt;tr&lt;span class="_ _7"&gt;&lt;/span&gt;ib&lt;span class="_ _7"&gt;&lt;/span&gt;ut&lt;span class="_ _7"&gt;&lt;/span&gt;ab&lt;span class="_ _7"&gt;&lt;/span&gt;le to ac&lt;span class="_ _7"&gt;&lt;/span&gt;qu&lt;span class="_ _7"&gt;&lt;/span&gt;is&lt;span class="_ _7"&gt;&lt;/span&gt;iti&lt;span class="_ _7"&gt;&lt;/span&gt;on&lt;span class="_ _7"&gt;&lt;/span&gt;s of s&lt;span class="_ _7"&gt;&lt;/span&gt;ha&lt;span class="_ _7"&gt;&lt;/span&gt;re&lt;span class="_ _7"&gt;&lt;/span&gt;s &lt;/span&gt;&lt;span style="display:inherit;clear:left;"&gt;and p&lt;span class="_ _7"&gt;&lt;/span&gt;ar&lt;span class="_ _7"&gt;&lt;/span&gt;t&lt;span class="_ _7"&gt;&lt;/span&gt;ici&lt;span class="_ _7"&gt;&lt;/span&gt;pa&lt;span class="_ _7"&gt;&lt;/span&gt;tio&lt;span class="_ _7"&gt;&lt;/span&gt;ns i&lt;span class="_ _7"&gt;&lt;/span&gt;n Gr&lt;span class="_ _7"&gt;&lt;/span&gt;oup c&lt;span class="_ _7"&gt;&lt;/span&gt;om&lt;span class="_ _7"&gt;&lt;/span&gt;pa&lt;span class="_ _7"&gt;&lt;/span&gt;nie&lt;span class="_ _7"&gt;&lt;/span&gt;s ar&lt;span class="_ _7"&gt;&lt;/span&gt;e ac&lt;span class="_ _7"&gt;&lt;/span&gt;co&lt;span class="_ _7"&gt;&lt;/span&gt;unte&lt;span class="_ _7"&gt;&lt;/span&gt;d fo&lt;span class="_ _7"&gt;&lt;/span&gt;r as a&lt;span class="_ _7"&gt;&lt;/span&gt;n &lt;/span&gt;&lt;span style="display:inherit;clear:left;"&gt;inc&lt;span class="_ _7"&gt;&lt;/span&gt;re&lt;span class="_ _7"&gt;&lt;/span&gt;as&lt;span class="_ _7"&gt;&lt;/span&gt;e in th&lt;span class="_ _7"&gt;&lt;/span&gt;e c&lt;span class="_ _7"&gt;&lt;/span&gt;arr&lt;span class="_ _9"&gt;&lt;/span&gt;yin&lt;span class="_ _7"&gt;&lt;/span&gt;g amo&lt;span class="_ _7"&gt;&lt;/span&gt;un&lt;span class="_ _7"&gt;&lt;/span&gt;t. &lt;/span&gt;&lt;span style="display:inherit;clear:left;"&gt;Group contri&lt;span class="_ _2"&gt;&lt;/span&gt;butions made to&lt;span class="_ _2"&gt;&lt;/span&gt; sub&lt;span class="_ _7"&gt;&lt;/span&gt;sidiaries are&lt;span class="_ _2"&gt;&lt;/span&gt; repor&lt;span class="_ _7"&gt;&lt;/span&gt;ted as an&lt;span class="_ _2"&gt;&lt;/span&gt; &lt;/span&gt;&lt;span style="display:inherit;clear:left;"&gt;inc&lt;span class="_ _7"&gt;&lt;/span&gt;re&lt;span class="_ _7"&gt;&lt;/span&gt;as&lt;span class="_ _7"&gt;&lt;/span&gt;e of i&lt;span class="_ _7"&gt;&lt;/span&gt;nve&lt;span class="_ _7"&gt;&lt;/span&gt;st&lt;span class="_ _7"&gt;&lt;/span&gt;me&lt;span class="_ _7"&gt;&lt;/span&gt;nt&lt;span class="_ _7"&gt;&lt;/span&gt;s in th&lt;span class="_ _7"&gt;&lt;/span&gt;es&lt;span class="_ _7"&gt;&lt;/span&gt;e s&lt;span class="_ _7"&gt;&lt;/span&gt;ub&lt;span class="_ _7"&gt;&lt;/span&gt;si&lt;span class="_ _7"&gt;&lt;/span&gt;dia&lt;span class="_ _7"&gt;&lt;/span&gt;ri&lt;span class="_ _7"&gt;&lt;/span&gt;es&lt;span class="_ _7"&gt;&lt;/span&gt;. A r&lt;span class="_ _7"&gt;&lt;/span&gt;evi&lt;span class="_ _7"&gt;&lt;/span&gt;ew i&lt;span class="_ _7"&gt;&lt;/span&gt;s at th&lt;span class="_ _7"&gt;&lt;/span&gt;e &lt;/span&gt;&lt;span style="display:inherit;clear:left;"&gt;sa&lt;span class="_ _7"&gt;&lt;/span&gt;me t&lt;span class="_ _7"&gt;&lt;/span&gt;ime m&lt;span class="_ _7"&gt;&lt;/span&gt;ad&lt;span class="_ _7"&gt;&lt;/span&gt;e to co&lt;span class="_ _7"&gt;&lt;/span&gt;nc&lt;span class="_ _7"&gt;&lt;/span&gt;lud&lt;span class="_ _7"&gt;&lt;/span&gt;e wh&lt;span class="_ _7"&gt;&lt;/span&gt;eth&lt;span class="_ _7"&gt;&lt;/span&gt;er o&lt;span class="_ _7"&gt;&lt;/span&gt;r not t&lt;span class="_ _7"&gt;&lt;/span&gt;he&lt;span class="_ _7"&gt;&lt;/span&gt;re is a&lt;span class="_ _7"&gt;&lt;/span&gt;n im&lt;span class="_ _7"&gt;&lt;/span&gt;pai&lt;span class="_ _7"&gt;&lt;/span&gt;rm&lt;span class="_ _7"&gt;&lt;/span&gt;en&lt;span class="_ _7"&gt;&lt;/span&gt;t &lt;/span&gt;&lt;span style="display:inherit;clear:left;"&gt;ri&lt;span class="_ _7"&gt;&lt;/span&gt;sk w&lt;span class="_ _7"&gt;&lt;/span&gt;ith r&lt;span class="_ _7"&gt;&lt;/span&gt;eg&lt;span class="_ _7"&gt;&lt;/span&gt;ard&lt;span class="_ _7"&gt;&lt;/span&gt;s to th&lt;span class="_ _7"&gt;&lt;/span&gt;e s&lt;span class="_ _7"&gt;&lt;/span&gt;am&lt;span class="_ _7"&gt;&lt;/span&gt;e sh&lt;span class="_ _7"&gt;&lt;/span&gt;are&lt;span class="_ _7"&gt;&lt;/span&gt;s of t&lt;span class="_ _7"&gt;&lt;/span&gt;he s&lt;span class="_ _7"&gt;&lt;/span&gt;ub&lt;span class="_ _7"&gt;&lt;/span&gt;si&lt;span class="_ _7"&gt;&lt;/span&gt;di&lt;span class="_ _7"&gt;&lt;/span&gt;ari&lt;span class="_ _7"&gt;&lt;/span&gt;e&lt;span class="_ _7"&gt;&lt;/span&gt;s hav&lt;span class="_ _7"&gt;&lt;/span&gt;ing &lt;/span&gt;&lt;span style="display:inherit;clear:left;"&gt;re&lt;span class="_ _7"&gt;&lt;/span&gt;cei&lt;span class="_ _7"&gt;&lt;/span&gt;ve&lt;span class="_ _7"&gt;&lt;/span&gt;d the g&lt;span class="_ _7"&gt;&lt;/span&gt;ro&lt;span class="_ _7"&gt;&lt;/span&gt;up c&lt;span class="_ _7"&gt;&lt;/span&gt;on&lt;span class="_ _7"&gt;&lt;/span&gt;tri&lt;span class="_ _7"&gt;&lt;/span&gt;bu&lt;span class="_ _7"&gt;&lt;/span&gt;tio&lt;span class="_ _7"&gt;&lt;/span&gt;n. T&lt;span class="_ _2"&gt;&lt;/span&gt;a&lt;span class="_ _7"&gt;&lt;/span&gt;x e&lt;span class="_ _7"&gt;&lt;/span&gt;f&lt;span class="_ _7"&gt;&lt;/span&gt;fe&lt;span class="_ _7"&gt;&lt;/span&gt;ct o&lt;span class="_ _7"&gt;&lt;/span&gt;f th&lt;span class="_ _7"&gt;&lt;/span&gt;es&lt;span class="_ _7"&gt;&lt;/span&gt;e gr&lt;span class="_ _7"&gt;&lt;/span&gt;ou&lt;span class="_ _7"&gt;&lt;/span&gt;p co&lt;span class="_ _7"&gt;&lt;/span&gt;ntr&lt;span class="_ _7"&gt;&lt;/span&gt;ib&lt;span class="_ _7"&gt;&lt;/span&gt;u-&lt;/span&gt;&lt;span style="display:inherit;clear:left;"&gt;tions are&lt;span class="_ _2"&gt;&lt;/span&gt; recognise&lt;span class="_ _7"&gt;&lt;/span&gt;d in&lt;span class="_ _2"&gt;&lt;/span&gt; the income statement.&lt;span class="_ _2"&gt;&lt;/span&gt; Group contributions &lt;/span&gt;&lt;span style="display:inherit;clear:left;"&gt;ma&lt;span class="_ _7"&gt;&lt;/span&gt;de to p&lt;span class="_ _7"&gt;&lt;/span&gt;are&lt;span class="_ _7"&gt;&lt;/span&gt;nt c&lt;span class="_ _7"&gt;&lt;/span&gt;omp&lt;span class="_ _7"&gt;&lt;/span&gt;any a&lt;span class="_ _7"&gt;&lt;/span&gt;re r&lt;span class="_ _7"&gt;&lt;/span&gt;ec&lt;span class="_ _7"&gt;&lt;/span&gt;og&lt;span class="_ _7"&gt;&lt;/span&gt;nis&lt;span class="_ _7"&gt;&lt;/span&gt;e&lt;span class="_ _7"&gt;&lt;/span&gt;d in e&lt;span class="_ _7"&gt;&lt;/span&gt;qui&lt;span class="_ _7"&gt;&lt;/span&gt;t&lt;span class="_ _7"&gt;&lt;/span&gt;y, along w&lt;span class="_ _7"&gt;&lt;/span&gt;it&lt;span class="_ _7"&gt;&lt;/span&gt;h the t&lt;span class="_ _7"&gt;&lt;/span&gt;a&lt;span class="_ _7"&gt;&lt;/span&gt;x &lt;/span&gt;&lt;span style="display:inherit;clear:left;"&gt;ef&lt;span class="_ _7"&gt;&lt;/span&gt;fect. Received&lt;span class="_ _2"&gt;&lt;/span&gt; group contributions from subsidiaries&lt;span class="_ _2"&gt;&lt;/span&gt; are recog&lt;span class="ls3 ws3"&gt;-&lt;/span&gt;&lt;/span&gt;&lt;span style="display:inherit;clear:left;"&gt;nis&lt;span class="_ _7"&gt;&lt;/span&gt;e&lt;span class="_ _7"&gt;&lt;/span&gt;d as f&lt;span class="_ _7"&gt;&lt;/span&gt;in&lt;span class="_ _7"&gt;&lt;/span&gt;an&lt;span class="_ _7"&gt;&lt;/span&gt;cia&lt;span class="_ _7"&gt;&lt;/span&gt;l in&lt;span class="_ _7"&gt;&lt;/span&gt;com&lt;span class="_ _7"&gt;&lt;/span&gt;e. T&lt;span class="_ _2"&gt;&lt;/span&gt;a&lt;span class="_ _7"&gt;&lt;/span&gt;x e&lt;span class="_ _7"&gt;&lt;/span&gt;f&lt;span class="_ _7"&gt;&lt;/span&gt;fe&lt;span class="_ _7"&gt;&lt;/span&gt;ct o&lt;span class="_ _7"&gt;&lt;/span&gt;n re&lt;span class="_ _7"&gt;&lt;/span&gt;ce&lt;span class="_ _7"&gt;&lt;/span&gt;ive&lt;span class="_ _7"&gt;&lt;/span&gt;d gr&lt;span class="_ _7"&gt;&lt;/span&gt;ou&lt;span class="_ _7"&gt;&lt;/span&gt;p co&lt;span class="_ _7"&gt;&lt;/span&gt;ntr&lt;span class="_ _7"&gt;&lt;/span&gt;ib&lt;span class="_ _7"&gt;&lt;/span&gt;u-&lt;/span&gt;&lt;span style="display:inherit;clear:left;"&gt;tio&lt;span class="_ _7"&gt;&lt;/span&gt;ns a&lt;span class="_ _7"&gt;&lt;/span&gt;re re&lt;span class="_ _7"&gt;&lt;/span&gt;co&lt;span class="_ _7"&gt;&lt;/span&gt;gn&lt;span class="_ _7"&gt;&lt;/span&gt;is&lt;span class="_ _7"&gt;&lt;/span&gt;e&lt;span class="_ _7"&gt;&lt;/span&gt;d in th&lt;span class="_ _7"&gt;&lt;/span&gt;e inc&lt;span class="_ _7"&gt;&lt;/span&gt;om&lt;span class="_ _7"&gt;&lt;/span&gt;e s&lt;span class="_ _7"&gt;&lt;/span&gt;tat&lt;span class="_ _7"&gt;&lt;/span&gt;em&lt;span class="_ _7"&gt;&lt;/span&gt;ent&lt;span class="_ _7"&gt;&lt;/span&gt;. Re&lt;span class="_ _7"&gt;&lt;/span&gt;cei&lt;span class="_ _7"&gt;&lt;/span&gt;ve&lt;span class="_ _7"&gt;&lt;/span&gt;d gr&lt;span class="_ _7"&gt;&lt;/span&gt;ou&lt;span class="_ _7"&gt;&lt;/span&gt;p  &lt;/span&gt;&lt;span style="display:inherit;clear:left;"&gt;contributions from&lt;span class="_ _2"&gt;&lt;/span&gt; parent company&lt;span class="_ _2"&gt;&lt;/span&gt; are recorded in equity&lt;span class="_ _2"&gt;&lt;/span&gt;, along&lt;span class="_ _2"&gt;&lt;/span&gt; &lt;/span&gt;&lt;span style="display:inherit;clear:left;"&gt;wit&lt;span class="_ _7"&gt;&lt;/span&gt;h the t&lt;span class="_ _7"&gt;&lt;/span&gt;a&lt;span class="_ _7"&gt;&lt;/span&gt;x ef&lt;span class="_ _9"&gt;&lt;/span&gt;fec&lt;span class="_ _7"&gt;&lt;/span&gt;t. &lt;/span&gt;&lt;span style="display:inherit;clear:left;"&gt;Made shareholders’&lt;span class="_ _2"&gt;&lt;/span&gt; contributions are recognised in&lt;span class="_ _2"&gt;&lt;/span&gt; shares in &lt;/span&gt;&lt;span style="display:inherit;clear:left;"&gt;sub&lt;span class="_ _7"&gt;&lt;/span&gt;s&lt;span class="_ _7"&gt;&lt;/span&gt;idi&lt;span class="_ _7"&gt;&lt;/span&gt;ar&lt;span class="_ _7"&gt;&lt;/span&gt;ie&lt;span class="_ _7"&gt;&lt;/span&gt;s an&lt;span class="_ _7"&gt;&lt;/span&gt;d as s&lt;span class="_ _7"&gt;&lt;/span&gt;uch t&lt;span class="_ _7"&gt;&lt;/span&gt;hey a&lt;span class="_ _7"&gt;&lt;/span&gt;re s&lt;span class="_ _7"&gt;&lt;/span&gt;ubj&lt;span class="_ _7"&gt;&lt;/span&gt;ec&lt;span class="_ _7"&gt;&lt;/span&gt;t to im&lt;span class="_ _7"&gt;&lt;/span&gt;pa&lt;span class="_ _7"&gt;&lt;/span&gt;ir&lt;span class="_ _7"&gt;&lt;/span&gt;me&lt;span class="_ _7"&gt;&lt;/span&gt;nt te&lt;span class="_ _7"&gt;&lt;/span&gt;st&lt;span class="_ _7"&gt;&lt;/span&gt;ing&lt;span class="_ _7"&gt;&lt;/span&gt;.&lt;/span&gt;</t>
  </si>
  <si>
    <t>f1__s8__6__238</t>
  </si>
  <si>
    <t>ifrs-full:DisclosureOfCashAndCashEquivalentsExplanatory</t>
  </si>
  <si>
    <t>&lt;span style="display:inherit;clear:left;"&gt;NOTE 20&lt;/span&gt;&lt;span style="display:inherit;clear:left;"&gt;MAR&lt;span class="_ _7"&gt;&lt;/span&gt;KE&lt;span class="_ _7"&gt;&lt;/span&gt;T&lt;span class="_ _2"&gt;&lt;/span&gt;AB&lt;span class="_ _7"&gt;&lt;/span&gt;LE S&lt;span class="_ _7"&gt;&lt;/span&gt;ECU&lt;span class="_ _7"&gt;&lt;/span&gt;RIT&lt;span class="_ _7"&gt;&lt;/span&gt;IES A&lt;span class="_ _7"&gt;&lt;/span&gt;ND CAS&lt;span class="_ _7"&gt;&lt;/span&gt;H AN&lt;span class="_ _7"&gt;&lt;/span&gt;D CASH &lt;/span&gt;&lt;span style="display:inherit;clear:left;"&gt;EQUIV&lt;span class="_ _2"&gt;&lt;/span&gt;ALENTS&lt;/span&gt;&lt;span style="display:inherit;clear:left;"&gt;ACCOUNTING&lt;span class="_ _2"&gt;&lt;/span&gt; POLICIES&lt;/span&gt;&lt;span style="display:inherit;clear:left;"&gt;Mark&lt;span class="_ _2"&gt;&lt;/span&gt;etable securities&lt;/span&gt;&lt;span style="display:inherit;clear:left;"&gt;Marketable&lt;span class="_ _2"&gt;&lt;/span&gt; securities are highl&lt;span class="_ _2"&gt;&lt;/span&gt;y liquid short&lt;span class="_ _2"&gt;&lt;/span&gt;-&lt;span class="_ _2"&gt;&lt;/span&gt;term int&lt;span class="_ _2"&gt;&lt;/span&gt;ere&lt;span class="_ _7"&gt;&lt;/span&gt;st&lt;span class="_ _2"&gt;&lt;/span&gt;-bearing&lt;span class="_ _2"&gt;&lt;/span&gt; &lt;/span&gt;&lt;span style="display:inherit;clear:left;"&gt;securities and deposits tha&lt;span class="_ _2"&gt;&lt;/span&gt;t are considered easily&lt;span class="_ _2"&gt;&lt;/span&gt; convertible to&lt;span class="_ _2"&gt;&lt;/span&gt; &lt;/span&gt;&lt;span style="display:inherit;clear:left;"&gt;ca&lt;span class="_ _7"&gt;&lt;/span&gt;sh a&lt;span class="_ _7"&gt;&lt;/span&gt;nd h&lt;span class="_ _7"&gt;&lt;/span&gt;ave a te&lt;span class="_ _7"&gt;&lt;/span&gt;rm o&lt;span class="_ _7"&gt;&lt;/span&gt;f mo&lt;span class="_ _7"&gt;&lt;/span&gt;re th&lt;span class="_ _7"&gt;&lt;/span&gt;an th&lt;span class="_ _7"&gt;&lt;/span&gt;re&lt;span class="_ _7"&gt;&lt;/span&gt;e mo&lt;span class="_ _7"&gt;&lt;/span&gt;nth&lt;span class="_ _7"&gt;&lt;/span&gt;s and l&lt;span class="_ _7"&gt;&lt;/span&gt;es&lt;span class="_ _7"&gt;&lt;/span&gt;s t&lt;span class="_ _7"&gt;&lt;/span&gt;ha&lt;span class="_ _7"&gt;&lt;/span&gt;n one &lt;/span&gt;&lt;span style="display:inherit;clear:left;"&gt;yea&lt;span class="_ _7"&gt;&lt;/span&gt;r fr&lt;span class="_ _7"&gt;&lt;/span&gt;om a&lt;span class="_ _7"&gt;&lt;/span&gt;cqu&lt;span class="_ _7"&gt;&lt;/span&gt;is&lt;span class="_ _7"&gt;&lt;/span&gt;iti&lt;span class="_ _7"&gt;&lt;/span&gt;on d&lt;span class="_ _7"&gt;&lt;/span&gt;ate&lt;span class="_ _7"&gt;&lt;/span&gt;. &lt;/span&gt;&lt;span style="display:inherit;clear:left;"&gt;Cash and&lt;span class="_ _2"&gt;&lt;/span&gt; cash equiv&lt;span class="_ _2"&gt;&lt;/span&gt;alents&lt;/span&gt;&lt;span style="display:inherit;clear:left;"&gt;Ca&lt;span class="_ _7"&gt;&lt;/span&gt;sh a&lt;span class="_ _7"&gt;&lt;/span&gt;nd c&lt;span class="_ _7"&gt;&lt;/span&gt;as&lt;span class="_ _7"&gt;&lt;/span&gt;h eq&lt;span class="_ _7"&gt;&lt;/span&gt;ui&lt;span class="_ _7"&gt;&lt;/span&gt;val&lt;span class="_ _7"&gt;&lt;/span&gt;ent&lt;span class="_ _7"&gt;&lt;/span&gt;s ar&lt;span class="_ _7"&gt;&lt;/span&gt;e liq&lt;span class="_ _7"&gt;&lt;/span&gt;ui&lt;span class="_ _7"&gt;&lt;/span&gt;d fu&lt;span class="_ _7"&gt;&lt;/span&gt;nd&lt;span class="_ _7"&gt;&lt;/span&gt;s&lt;span class="_ _7"&gt;&lt;/span&gt;, dep&lt;span class="_ _7"&gt;&lt;/span&gt;o&lt;span class="_ _7"&gt;&lt;/span&gt;si&lt;span class="_ _7"&gt;&lt;/span&gt;ts a&lt;span class="_ _7"&gt;&lt;/span&gt;nd s&lt;span class="_ _7"&gt;&lt;/span&gt;ho&lt;span class="_ _7"&gt;&lt;/span&gt;r&lt;span class="_ _7"&gt;&lt;/span&gt;t&lt;span class="_ _2"&gt;&lt;/span&gt;-term &lt;/span&gt;&lt;span style="display:inherit;clear:left;"&gt;interest&lt;span class="_ _6"&gt;&lt;/span&gt;-bearing securities t&lt;span class="_ _2"&gt;&lt;/span&gt;hat are considered easil&lt;span class="_ _2"&gt;&lt;/span&gt;y convertible to&lt;span class="_ _2"&gt;&lt;/span&gt; &lt;/span&gt;&lt;span style="display:inherit;clear:left;"&gt;ca&lt;span class="_ _7"&gt;&lt;/span&gt;sh a&lt;span class="_ _7"&gt;&lt;/span&gt;nd h&lt;span class="_ _7"&gt;&lt;/span&gt;ave a te&lt;span class="_ _7"&gt;&lt;/span&gt;rm o&lt;span class="_ _7"&gt;&lt;/span&gt;f thr&lt;span class="_ _7"&gt;&lt;/span&gt;ee m&lt;span class="_ _7"&gt;&lt;/span&gt;ont&lt;span class="_ _7"&gt;&lt;/span&gt;hs f&lt;span class="_ _7"&gt;&lt;/span&gt;ro&lt;span class="_ _7"&gt;&lt;/span&gt;m the d&lt;span class="_ _7"&gt;&lt;/span&gt;ate o&lt;span class="_ _7"&gt;&lt;/span&gt;f ac&lt;span class="_ _7"&gt;&lt;/span&gt;qui&lt;span class="_ _7"&gt;&lt;/span&gt;si&lt;span class="_ _7"&gt;&lt;/span&gt;ti&lt;span class="_ _7"&gt;&lt;/span&gt;on&lt;span class="_ _7"&gt;&lt;/span&gt;.&lt;/span&gt;&lt;span style="display:inherit;clear:left;position:relative;height:62.08203125px;"&gt;&lt;span class="pp-font-color-override-1" style="position: absolute; display: inline-block; left: 257.109px; top: 0.748047px; width: 30.2637px; white-space: pre; word-spacing: 0px; letter-spacing: 0px; margin-left: 0px; font-size: 9.6px; font-family: ffa4; -webkit-text-stroke: 0.144px rgba(0, 0, 0, 0);"&gt;&lt;span style="display: inline-block;"&gt;31 De&lt;/span&gt;&lt;span style="word-spacing: 0px; letter-spacing: 0px; display: inline-block; margin-left: 0px; width: 0.410156px; font-size: 9.6px; font-family: ffa4;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&lt;/span&gt;&lt;/span&gt;&lt;span class="pp-font-color-override-1" style="position: absolute; display: inline-block; left: 0px; top: 11.248px; width: 85.9922px; white-space: pre; word-spacing: -0.1824px; letter-spacing: 0.1824px; margin-left: 0px; font-size: 9.6px; font-family: ffa4; -webkit-text-stroke: 0.144px rgba(0, 0, 0, 0);"&gt;&lt;span style="display: inline-block;"&gt;Marketable securities&lt;/span&gt;&lt;/span&gt;&lt;span class="pp-font-color-override-1" style="position: absolute; display: inline-block; left: 263.859px; top: 11.248px; width: 19.3535px; white-space: pre; word-spacing: -0.0384px; letter-spacing: 0.0384px; margin-left: 0px; font-size: 9.6px; font-family: ffa4;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ffa3; -webkit-text-stroke: 0.144px rgba(0, 0, 0, 0);"&gt;&lt;span style="display: inline-block;"&gt;2024&lt;/span&gt;&lt;/span&gt;&lt;span class="pp-font-color-override-1" style="position: absolute; display: inline-block; left: 0px; top: 33.8691px; width: 328.588px; white-space: pre; word-spacing: -0.147px; letter-spacing: 0.1785px; margin-left: 0px; font-size: 10.5px; font-family: ffa5; -webkit-text-stroke: 0.1575px rgba(0, 0, 0, 0);"&gt;&lt;span style="display: inline-block;"&gt;Bank acceptance draf&lt;/span&gt;&lt;span style="word-spacing: -0.147px; letter-spacing: 0.1785px; display: inline-block; margin-left: 0px; width: 0.410156px; font-size: 10.5px; font-family: ffa5; -webkit-text-stroke: 0.1575px rgba(0, 0, 0, 0);"&gt;&lt;/span&gt;&lt;span style="display: inline-block;"&gt;ts&lt;/span&gt;&lt;span style="word-spacing: -0.147px; letter-spacing: 0.1785px; display: inline-block; margin-left: 0px; width: 167.069px;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inline-block;"&gt;1&lt;/span&gt;&lt;span style="word-spacing: 0px; letter-spacing: 0px; display: inline-block; margin-left: 0px; width: 44.3554px; font-size: 10.5px; font-family: ffa5; -webkit-text-stroke: 0.1575px rgba(0, 0, 0, 0);"&gt;&lt;span style="display: inline-block;"&gt; &lt;/span&gt;&lt;/span&gt;&lt;span style="display: inline-block;"&gt;—&lt;/span&gt;&lt;/span&gt;&lt;/span&gt;&lt;span class="pp-font-color-override-1" style="position: absolute; display: inline-block; left: 0px; top: 50.4609px; width: 339.516px; white-space: pre; word-spacing: -0.1995px; letter-spacing: 0.1995px; margin-left: 0px; font-size: 10.5px; font-family: ffa4; -webkit-text-stroke: 0.1575px rgba(0, 0, 0, 0);"&gt;&lt;span style="display: inline-block;"&gt;T&lt;/span&gt;&lt;span style="word-spacing: -0.1995px; letter-spacing: 0.1995px; display: inline-block; margin-left: -1.13625px; width: 0px; font-size: 10.5px; font-family: ffa4; -webkit-text-stroke: 0.1575px rgba(0, 0, 0, 0);"&gt;&lt;/span&gt;&lt;span style="display: inline-block;"&gt;ot&lt;/span&gt;&lt;span style="word-spacing: -0.1995px; letter-spacing: 0.1995px; display: inline-block; margin-left: 0px; width: 0.410156px; font-size: 10.5px; font-family: ffa4; -webkit-text-stroke: 0.1575px rgba(0, 0, 0, 0);"&gt;&lt;/span&gt;&lt;span style="display: inline-block;"&gt;al&lt;/span&gt;&lt;span style="word-spacing: -0.1995px; letter-spacing: 0.1995px; display: inline-block; margin-left: 0px; width: 256.969px; font-size: 10.5px; font-family: ffa4; -webkit-text-stroke: 0.1575px rgba(0, 0, 0, 0);"&gt;&lt;span style="display: inline-block;"&gt; &lt;/span&gt;&lt;/span&gt;&lt;span class="pp-font-color-override-1" style="word-spacing: 0px; letter-spacing: 0px; display: inline-block; margin-left: 0px; font-size: 10.5px; font-family: ffa4; -webkit-text-stroke: 0.1575px rgba(0, 0, 0, 0);"&gt;&lt;span style="display: inline-block;"&gt;1&lt;/span&gt;&lt;span style="word-spacing: 0px; letter-spacing: 0px; display: inline-block; margin-left: 0px; width: 44.3554px; font-size: 10.5px; font-family: ffa4; -webkit-text-stroke: 0.1575px rgba(0, 0, 0, 0);"&gt;&lt;span style="display: inline-block;"&gt; &lt;/span&gt;&lt;/span&gt;&lt;span style="display: inline-block;"&gt;—&lt;/span&gt;&lt;/span&gt;&lt;/span&gt;&lt;/span&gt;&lt;span style="display:inherit;clear:left;position:relative;height:108.33203125px;"&gt;&lt;span class="pp-font-color-override-1" style="position: absolute; display: inline-block; left: 257.109px; top: 0.748047px; width: 30.2637px; white-space: pre; word-spacing: 0px; letter-spacing: 0px; margin-left: 0px; font-size: 9.6px; font-family: ffa4; -webkit-text-stroke: 0.144px rgba(0, 0, 0, 0);"&gt;&lt;span style="display: inline-block;"&gt;31 De&lt;/span&gt;&lt;span style="word-spacing: 0px; letter-spacing: 0px; display: inline-block; margin-left: 0px; width: 0.410156px; font-size: 9.6px; font-family: ffa4;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&lt;/span&gt;&lt;/span&gt;&lt;span class="pp-font-color-override-1" style="position: absolute; display: inline-block; left: 0px; top: 11.248px; width: 105.029px; white-space: pre; word-spacing: -0.1824px; letter-spacing: 0.1824px; margin-left: 0px; font-size: 9.6px; font-family: ffa4; -webkit-text-stroke: 0.144px rgba(0, 0, 0, 0);"&gt;&lt;span style="display: inline-block;"&gt;Cash and cash equivalents&lt;/span&gt;&lt;/span&gt;&lt;span class="pp-font-color-override-1" style="position: absolute; display: inline-block; left: 263.859px; top: 11.248px; width: 19.3535px; white-space: pre; word-spacing: -0.0384px; letter-spacing: 0.0384px; margin-left: 0px; font-size: 9.6px; font-family: ffa4;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ffa3; -webkit-text-stroke: 0.144px rgba(0, 0, 0, 0);"&gt;&lt;span style="display: inline-block;"&gt;2024&lt;/span&gt;&lt;/span&gt;&lt;span class="pp-font-color-override-1" style="position: absolute; display: inline-block; left: 0px; top: 33.1191px; width: 321.012px; white-space: pre; word-spacing: 0px; letter-spacing: 0.0315px; margin-left: 0px; font-size: 10.5px; font-family: ffa5; -webkit-text-stroke: 0.1575px rgba(0, 0, 0, 0);"&gt;&lt;span style="display: inline-block;"&gt;Ca&lt;/span&gt;&lt;span style="word-spacing: 0px; letter-spacing: 0.0315px; display: inline-block; margin-left: 0px; width: 0.410156px; font-size: 10.5px; font-family: ffa5; -webkit-text-stroke: 0.1575px rgba(0, 0, 0, 0);"&gt;&lt;/span&gt;&lt;span style="display: inline-block;"&gt;sh at b&lt;/span&gt;&lt;span style="word-spacing: 0px; letter-spacing: 0.0315px; display: inline-block; margin-left: 0px; width: 0.410156px; font-size: 10.5px; font-family: ffa5; -webkit-text-stroke: 0.1575px rgba(0, 0, 0, 0);"&gt;&lt;/span&gt;&lt;span style="display: inline-block;"&gt;an&lt;/span&gt;&lt;span style="word-spacing: 0px; letter-spacing: 0.0315px; display: inline-block; margin-left: 0px; width: 0.410156px; font-size: 10.5px; font-family: ffa5; -webkit-text-stroke: 0.1575px rgba(0, 0, 0, 0);"&gt;&lt;/span&gt;&lt;span style="display: inline-block;"&gt;ks&lt;/span&gt;&lt;span style="word-spacing: 0px; letter-spacing: 0.0315px; display: inline-block; margin-left: 0px; width: 183.088px; font-size: 10.5px; font-family: ffa5; -webkit-text-stroke: 0.1575px rgba(0, 0, 0, 0);"&gt;&lt;span style="display: inline-block;"&gt; &lt;/span&gt;&lt;/span&gt;&lt;span class="pp-font-color-override-1" style="word-spacing: -0.021px; letter-spacing: 0.021px; display: inline-block; margin-left: 0px; font-size: 10.5px; font-family: ffa5; -webkit-text-stroke: 0.1575px rgba(0, 0, 0, 0);"&gt;&lt;span style="display: inline-block;"&gt;26&lt;/span&gt;&lt;span style="word-spacing: -0.021px; letter-spacing: 0.021px; display: inline-block; margin-left: 0px; width: 0.410156px; font-size: 10.5px; font-family: ffa5; -webkit-text-stroke: 0.1575px rgba(0, 0, 0, 0);"&gt;&lt;/span&gt;&lt;span style="display: inline-block;"&gt;,0&lt;/span&gt;&lt;span style="word-spacing: -0.021px; letter-spacing: 0.021px; display: inline-block; margin-left: 0px; width: 0.410156px; font-size: 10.5px; font-family: ffa5; -webkit-text-stroke: 0.1575px rgba(0, 0, 0, 0);"&gt;&lt;/span&gt;&lt;span style="display: inline-block;"&gt;02&lt;/span&gt;&lt;span style="word-spacing: -0.021px; letter-spacing: 0.021px; display: inline-block; margin-left: 0px; width: 18.6211px; font-size: 10.5px; font-family: ffa5; -webkit-text-stroke: 0.1575px rgba(0, 0, 0, 0);"&gt;&lt;span style="display: inline-block;"&gt; &lt;/span&gt;&lt;/span&gt;&lt;/span&gt;&lt;span class="pp-font-color-override-1" style="word-spacing: -0.0315px; letter-spacing: 0.0315px; display: inline-block; margin-left: 0px; font-size: 10.5px; font-family: ffa5; -webkit-text-stroke: 0.1575px rgba(0, 0, 0, 0);"&gt;&lt;span style="display: inline-block;"&gt;39,&lt;/span&gt;&lt;span style="word-spacing: -0.0315px; letter-spacing: 0.0315px; display: inline-block; margin-left: 0px; width: 0.410156px; font-size: 10.5px; font-family: ffa5; -webkit-text-stroke: 0.1575px rgba(0, 0, 0, 0);"&gt;&lt;/span&gt;&lt;span style="display: inline-block;"&gt;802&lt;/span&gt;&lt;/span&gt;&lt;/span&gt;&lt;span class="pp-font-color-override-1" style="position: absolute; display: inline-block; left: 0px; top: 49.0879px; width: 319.863px; white-space: pre; word-spacing: 0px; letter-spacing: 0.0315px; margin-left: 0px; font-size: 10.5px; font-family: ffa5; -webkit-text-stroke: 0.1575px rgba(0, 0, 0, 0);"&gt;&lt;span style="display: inline-block;"&gt;Tim&lt;/span&gt;&lt;span style="word-spacing: 0px; letter-spacing: 0.0315px; display: inline-block; margin-left: 0px; width: 0.410156px; font-size: 10.5px; font-family: ffa5; -webkit-text-stroke: 0.1575px rgba(0, 0, 0, 0);"&gt;&lt;/span&gt;&lt;span style="display: inline-block;"&gt;e de&lt;/span&gt;&lt;span style="word-spacing: 0px; letter-spacing: 0.0315px; display: inline-block; margin-left: 0px; width: 0.410156px; font-size: 10.5px; font-family: ffa5; -webkit-text-stroke: 0.1575px rgba(0, 0, 0, 0);"&gt;&lt;/span&gt;&lt;span style="display: inline-block;"&gt;po&lt;/span&gt;&lt;span style="word-spacing: 0px; letter-spacing: 0.0315px; display: inline-block; margin-left: 0px; width: 0.410156px; font-size: 10.5px; font-family: ffa5; -webkit-text-stroke: 0.1575px rgba(0, 0, 0, 0);"&gt;&lt;/span&gt;&lt;span style="display: inline-block;"&gt;si&lt;/span&gt;&lt;span style="word-spacing: 0px; letter-spacing: 0.0315px; display: inline-block; margin-left: 0px; width: 0.410156px; font-size: 10.5px; font-family: ffa5; -webkit-text-stroke: 0.1575px rgba(0, 0, 0, 0);"&gt;&lt;/span&gt;&lt;span style="display: inline-block;"&gt;ts i&lt;/span&gt;&lt;span style="word-spacing: 0px; letter-spacing: 0.0315px; display: inline-block; margin-left: 0px; width: 0.410156px; font-size: 10.5px; font-family: ffa5; -webkit-text-stroke: 0.1575px rgba(0, 0, 0, 0);"&gt;&lt;/span&gt;&lt;span style="display: inline-block;"&gt;n ba&lt;/span&gt;&lt;span style="word-spacing: 0px; letter-spacing: 0.0315px; display: inline-block; margin-left: 0px; width: 0.410156px; font-size: 10.5px; font-family: ffa5; -webkit-text-stroke: 0.1575px rgba(0, 0, 0, 0);"&gt;&lt;/span&gt;&lt;span style="display: inline-block;"&gt;nks&lt;/span&gt;&lt;span style="word-spacing: 0px; letter-spacing: 0.0315px; display: inline-block; margin-left: 0px; width: 140.666px; font-size: 10.5px; font-family: ffa5; -webkit-text-stroke: 0.1575px rgba(0, 0, 0, 0);"&gt;&lt;span style="display: inline-block;"&gt; &lt;/span&gt;&lt;/span&gt;&lt;span class="pp-font-color-override-1" style="word-spacing: -0.147px; letter-spacing: 0.147px; display: inline-block; margin-left: 0px; font-size: 10.5px; font-family: ffa5; -webkit-text-stroke: 0.1575px rgba(0, 0, 0, 0);"&gt;&lt;span style="display: inline-block;"&gt;29,939&lt;/span&gt;&lt;span style="word-spacing: -0.147px; letter-spacing: 0.147px; display: inline-block; margin-left: 0px; width: 19.8223px; font-size: 10.5px; font-family: ffa5; -webkit-text-stroke: 0.1575px rgba(0, 0, 0, 0);"&gt;&lt;span style="display: inline-block;"&gt; &lt;/span&gt;&lt;/span&gt;&lt;/span&gt;&lt;span class="pp-font-color-override-1" style="word-spacing: 0px; letter-spacing: 0px; display: inline-block; margin-left: 0px; font-size: 10.5px; font-family: ffa5; -webkit-text-stroke: 0.1575px rgba(0, 0, 0, 0);"&gt;&lt;span style="display: inline-block;"&gt;16,&lt;/span&gt;&lt;span style="word-spacing: 0px; letter-spacing: 0px; display: inline-block; margin-left: 0px; width: 0.410156px; font-size: 10.5px; font-family: ffa5; -webkit-text-stroke: 0.1575px rgba(0, 0, 0, 0);"&gt;&lt;/span&gt;&lt;span style="display: inline-block;"&gt;50&lt;/span&gt;&lt;span style="word-spacing: 0px; letter-spacing: 0px; display: inline-block; margin-left: 0px; width: 0.410156px; font-size: 10.5px; font-family: ffa5; -webkit-text-stroke: 0.1575px rgba(0, 0, 0, 0);"&gt;&lt;/span&gt;&lt;span style="display: inline-block;"&gt;9&lt;/span&gt;&lt;/span&gt;&lt;/span&gt;&lt;span class="pp-font-color-override-1" style="position: absolute; display: inline-block; left: 0px; top: 65.041px; width: 321.949px; white-space: pre; word-spacing: -0.168px; letter-spacing: 0.1995px; margin-left: 0px; font-size: 10.5px; font-family: ffa5; -webkit-text-stroke: 0.1575px rgba(0, 0, 0, 0);"&gt;&lt;span style="display: inline-block;"&gt;Equity repurc&lt;/span&gt;&lt;span style="word-spacing: -0.168px; letter-spacing: 0.1995px; display: inline-block; margin-left: -0.684px; width: 0px; font-size: 10.5px; font-family: ffa5; -webkit-text-stroke: 0.1575px rgba(0, 0, 0, 0);"&gt;&lt;/span&gt;&lt;span style="display: inline-block;"&gt;has&lt;/span&gt;&lt;span style="word-spacing: -0.168px; letter-spacing: 0.1995px; display: inline-block; margin-left: 0px; width: 0.410156px; font-size: 10.5px; font-family: ffa5; -webkit-text-stroke: 0.1575px rgba(0, 0, 0, 0);"&gt;&lt;/span&gt;&lt;span style="display: inline-block;"&gt;e agreements&lt;/span&gt;&lt;span style="word-spacing: -0.168px; letter-spacing: 0.1995px; display: inline-block; margin-left: 0px; width: 111.346px; font-size: 10.5px; font-family: ffa5; -webkit-text-stroke: 0.1575px rgba(0, 0, 0, 0);"&gt;&lt;span style="display: inline-block;"&gt; &lt;/span&gt;&lt;/span&gt;&lt;span class="pp-font-color-override-1" style="word-spacing: -0.042px; letter-spacing: 0.042px; display: inline-block; margin-left: 0px; font-size: 10.5px; font-family: ffa5; -webkit-text-stroke: 0.1575px rgba(0, 0, 0, 0);"&gt;&lt;span style="display: inline-block;"&gt;1,623&lt;/span&gt;&lt;span style="word-spacing: -0.042px; letter-spacing: 0.042px; display: inline-block; margin-left: 0px; width: 44.754px;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inline-block;"&gt;—&lt;/span&gt;&lt;/span&gt;&lt;/span&gt;&lt;/span&gt;&lt;span class="pp-font-color-override-1" style="position: absolute; display: inline-block; left: 0px; top: 81.0098px; width: 325.875px; white-space: pre; word-spacing: -0.147px; letter-spacing: 0.1785px; margin-left: 0px; font-size: 10.5px; font-family: ffa5; -webkit-text-stroke: 0.1575px rgba(0, 0, 0, 0);"&gt;&lt;span style="display: inline-block;"&gt;Bank acceptance draf&lt;/span&gt;&lt;span style="word-spacing: -0.147px; letter-spacing: 0.1785px; display: inline-block; margin-left: 0px; width: 0.410156px; font-size: 10.5px; font-family: ffa5; -webkit-text-stroke: 0.1575px rgba(0, 0, 0, 0);"&gt;&lt;/span&gt;&lt;span style="display: inline-block;"&gt;ts&lt;/span&gt;&lt;span style="word-spacing: -0.147px; letter-spacing: 0.1785px; display: inline-block; margin-left: 0px; width: 160.764px;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42.4864px;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inline-block;"&gt;62&lt;/span&gt;&lt;/span&gt;&lt;/span&gt;&lt;/span&gt;&lt;span class="pp-font-color-override-1" style="position: absolute; display: inline-block; left: 0px; top: 96.7109px; width: 324.973px; white-space: pre; word-spacing: -0.1995px; letter-spacing: 0.1995px; margin-left: 0px; font-size: 10.5px; font-family: ffa4; -webkit-text-stroke: 0.1575px rgba(0, 0, 0, 0);"&gt;&lt;span style="display: inline-block;"&gt;T&lt;/span&gt;&lt;span style="word-spacing: -0.1995px; letter-spacing: 0.1995px; display: inline-block; margin-left: -1.13625px; width: 0px; font-size: 10.5px; font-family: ffa4; -webkit-text-stroke: 0.1575px rgba(0, 0, 0, 0);"&gt;&lt;/span&gt;&lt;span style="display: inline-block;"&gt;ot&lt;/span&gt;&lt;span style="word-spacing: -0.1995px; letter-spacing: 0.1995px; display: inline-block; margin-left: 0px; width: 0.410156px; font-size: 10.5px; font-family: ffa4; -webkit-text-stroke: 0.1575px rgba(0, 0, 0, 0);"&gt;&lt;/span&gt;&lt;span style="display: inline-block;"&gt;al&lt;/span&gt;&lt;span style="word-spacing: -0.1995px; letter-spacing: 0.1995px; display: inline-block; margin-left: 0px; width: 224.982px; font-size: 10.5px; font-family: ffa4; -webkit-text-stroke: 0.1575px rgba(0, 0, 0, 0);"&gt;&lt;span style="display: inline-block;"&gt; &lt;/span&gt;&lt;/span&gt;&lt;span class="pp-font-color-override-1" style="word-spacing: 0.4095px; letter-spacing: -0.4095px; display: inline-block; margin-left: 0px; font-size: 10.5px; font-family: ffa4; -webkit-text-stroke: 0.1575px rgba(0, 0, 0, 0);"&gt;&lt;span style="display: inline-block;"&gt;5&lt;/span&gt;&lt;span style="word-spacing: 0.4095px; letter-spacing: -0.4095px; display: inline-block; margin-left: 0px; width: 0.410156px; font-size: 10.5px; font-family: ffa4; -webkit-text-stroke: 0.1575px rgba(0, 0, 0, 0);"&gt;&lt;/span&gt;&lt;span style="display: inline-block;"&gt;7,&lt;/span&gt;&lt;span style="word-spacing: 0.4095px; letter-spacing: -0.4095px; display: inline-block; margin-left: 0px; width: 0.410156px; font-size: 10.5px; font-family: ffa4; -webkit-text-stroke: 0.1575px rgba(0, 0, 0, 0);"&gt;&lt;/span&gt;&lt;span style="display: inline-block;"&gt;5&lt;/span&gt;&lt;span style="word-spacing: 0.4095px; letter-spacing: -0.4095px; display: inline-block; margin-left: 0px; width: 0.925781px; font-size: 10.5px; font-family: ffa4; -webkit-text-stroke: 0.1575px rgba(0, 0, 0, 0);"&gt;&lt;/span&gt;&lt;span style="display: inline-block;"&gt;6&lt;/span&gt;&lt;span style="word-spacing: 0.4095px; letter-spacing: -0.4095px; display: inline-block; margin-left: 0px; width: 0.410156px; font-size: 10.5px; font-family: ffa4; -webkit-text-stroke: 0.1575px rgba(0, 0, 0, 0);"&gt;&lt;/span&gt;&lt;span style="display: inline-block;"&gt;4&lt;/span&gt;&lt;span style="word-spacing: 0.4095px; letter-spacing: -0.4095px; display: inline-block; margin-left: 0px; width: 18.6211px; font-size: 10.5px; font-family: ffa4; -webkit-text-stroke: 0.1575px rgba(0, 0, 0, 0);"&gt;&lt;span style="display: inline-block;"&gt;&lt;span style="width: 2.625px; display: inline-block;"&gt; &lt;/span&gt;&lt;/span&gt;&lt;/span&gt;&lt;span class="pp-font-color-override-1" style="word-spacing: -0.105px; letter-spacing: 0.105px; display: inline-block; margin-left: 0px; font-size: 10.5px; font-family: ffa4; -webkit-text-stroke: 0.1575px rgba(0, 0, 0, 0);"&gt;&lt;span style="display: inline-block;"&gt;5&lt;/span&gt;&lt;span style="word-spacing: -0.105px; letter-spacing: 0.105px; display: inline-block; margin-left: 0px; width: 0.410156px; font-size: 10.5px; font-family: ffa4; -webkit-text-stroke: 0.1575px rgba(0, 0, 0, 0);"&gt;&lt;/span&gt;&lt;span style="display: inline-block;"&gt;6,37&lt;/span&gt;&lt;span style="word-spacing: -0.105px; letter-spacing: 0.105px; display: inline-block; margin-left: 0px; width: 0.410156px; font-size: 10.5px; font-family: ffa4; -webkit-text-stroke: 0.1575px rgba(0, 0, 0, 0);"&gt;&lt;/span&gt;&lt;span style="display: inline-block;"&gt;3&lt;/span&gt;&lt;/span&gt;&lt;/span&gt;&lt;/span&gt;&lt;/span&gt;&lt;span style="display:inherit;clear:left;"&gt;Ca&lt;span class="_ _7"&gt;&lt;/span&gt;sh a&lt;span class="_ _7"&gt;&lt;/span&gt;nd c&lt;span class="_ _7"&gt;&lt;/span&gt;as&lt;span class="_ _7"&gt;&lt;/span&gt;h eq&lt;span class="_ _7"&gt;&lt;/span&gt;ui&lt;span class="_ _7"&gt;&lt;/span&gt;val&lt;span class="_ _7"&gt;&lt;/span&gt;ent&lt;span class="_ _7"&gt;&lt;/span&gt;s in&lt;span class="_ _7"&gt;&lt;/span&gt;clu&lt;span class="_ _7"&gt;&lt;/span&gt;de&lt;span class="_ _7"&gt;&lt;/span&gt;s SEK &lt;span class="fc5"&gt;3&lt;span class="_ _7"&gt;&lt;/span&gt;,329 (&lt;/span&gt;3,706) m whe&lt;span class="_ _7"&gt;&lt;/span&gt;re &lt;/span&gt;&lt;span style="display:inherit;clear:left;"&gt; &lt;span class="_ _1"&gt;&lt;/span&gt;li&lt;span class="_ _7"&gt;&lt;/span&gt;mi&lt;span class="_ _7"&gt;&lt;/span&gt;tat&lt;span class="_ _7"&gt;&lt;/span&gt;io&lt;span class="_ _7"&gt;&lt;/span&gt;ns ex&lt;span class="_ _7"&gt;&lt;/span&gt;is&lt;span class="_ _7"&gt;&lt;/span&gt;t&lt;span class="_ _7"&gt;&lt;/span&gt;, mai&lt;span class="_ _7"&gt;&lt;/span&gt;nly l&lt;span class="_ _7"&gt;&lt;/span&gt;iqu&lt;span class="_ _7"&gt;&lt;/span&gt;id f&lt;span class="_ _7"&gt;&lt;/span&gt;un&lt;span class="_ _7"&gt;&lt;/span&gt;ds h&lt;span class="_ _7"&gt;&lt;/span&gt;el&lt;span class="_ _7"&gt;&lt;/span&gt;d in ce&lt;span class="_ _7"&gt;&lt;/span&gt;r&lt;span class="_ _7"&gt;&lt;/span&gt;ta&lt;span class="_ _7"&gt;&lt;/span&gt;in c&lt;span class="_ _7"&gt;&lt;/span&gt;ou&lt;span class="_ _7"&gt;&lt;/span&gt;ntr&lt;span class="_ _7"&gt;&lt;/span&gt;ie&lt;span class="_ _7"&gt;&lt;/span&gt;s wh&lt;span class="_ _7"&gt;&lt;/span&gt;ere &lt;/span&gt;&lt;span style="display:inherit;clear:left;"&gt;excha&lt;span class="_ _7"&gt;&lt;/span&gt;nge c&lt;span class="_ _7"&gt;&lt;/span&gt;on&lt;span class="_ _7"&gt;&lt;/span&gt;tro&lt;span class="_ _7"&gt;&lt;/span&gt;l&lt;span class="_ _7"&gt;&lt;/span&gt;s or ot&lt;span class="_ _7"&gt;&lt;/span&gt;he&lt;span class="_ _7"&gt;&lt;/span&gt;r leg&lt;span class="_ _7"&gt;&lt;/span&gt;al re&lt;span class="_ _7"&gt;&lt;/span&gt;s&lt;span class="_ _7"&gt;&lt;/span&gt;tr&lt;span class="_ _7"&gt;&lt;/span&gt;ic&lt;span class="_ _7"&gt;&lt;/span&gt;tio&lt;span class="_ _7"&gt;&lt;/span&gt;ns a&lt;span class="_ _7"&gt;&lt;/span&gt;pp&lt;span class="_ _7"&gt;&lt;/span&gt;ly. It is no&lt;span class="_ _7"&gt;&lt;/span&gt;t po&lt;span class="_ _7"&gt;&lt;/span&gt;s&lt;span class="_ _7"&gt;&lt;/span&gt;si&lt;span class="_ _7"&gt;&lt;/span&gt;ble &lt;/span&gt;&lt;span style="display:inherit;clear:left;"&gt;to imm&lt;span class="_ _7"&gt;&lt;/span&gt;e&lt;span class="_ _7"&gt;&lt;/span&gt;dia&lt;span class="_ _7"&gt;&lt;/span&gt;tely u&lt;span class="_ _7"&gt;&lt;/span&gt;s&lt;span class="_ _7"&gt;&lt;/span&gt;e the l&lt;span class="_ _7"&gt;&lt;/span&gt;iqu&lt;span class="_ _7"&gt;&lt;/span&gt;id f&lt;span class="_ _7"&gt;&lt;/span&gt;un&lt;span class="_ _7"&gt;&lt;/span&gt;ds i&lt;span class="_ _7"&gt;&lt;/span&gt;n oth&lt;span class="_ _7"&gt;&lt;/span&gt;er p&lt;span class="_ _7"&gt;&lt;/span&gt;ar&lt;span class="_ _7"&gt;&lt;/span&gt;t&lt;span class="_ _7"&gt;&lt;/span&gt;s of Volvo C&lt;span class="_ _7"&gt;&lt;/span&gt;ar&lt;span class="_ _7"&gt;&lt;/span&gt;s&lt;span class="_ _7"&gt;&lt;/span&gt;, &lt;/span&gt;&lt;span style="display:inherit;clear:left;"&gt;how&lt;span class="_ _7"&gt;&lt;/span&gt;ever t&lt;span class="_ _7"&gt;&lt;/span&gt;he&lt;span class="_ _7"&gt;&lt;/span&gt;re i&lt;span class="_ _7"&gt;&lt;/span&gt;s nor&lt;span class="_ _7"&gt;&lt;/span&gt;m&lt;span class="_ _7"&gt;&lt;/span&gt;ally n&lt;span class="_ _7"&gt;&lt;/span&gt;o lim&lt;span class="_ _7"&gt;&lt;/span&gt;it&lt;span class="_ _7"&gt;&lt;/span&gt;ati&lt;span class="_ _7"&gt;&lt;/span&gt;on f&lt;span class="_ _7"&gt;&lt;/span&gt;or th&lt;span class="_ _7"&gt;&lt;/span&gt;ei&lt;span class="_ _7"&gt;&lt;/span&gt;r us&lt;span class="_ _7"&gt;&lt;/span&gt;e in th&lt;span class="_ _7"&gt;&lt;/span&gt;e Gr&lt;span class="_ _7"&gt;&lt;/span&gt;oup&lt;span class="_ _7"&gt;&lt;/span&gt;’s &lt;/span&gt;&lt;span style="display:inherit;clear:left;"&gt;operation in&lt;span class="_ _2"&gt;&lt;/span&gt; the respective country&lt;span class="_ _2"&gt;&lt;/span&gt;.&lt;/span&gt;&lt;span style="display:inherit;clear:left;"&gt;For in&lt;span class="_ _7"&gt;&lt;/span&gt;fo&lt;span class="_ _7"&gt;&lt;/span&gt;rm&lt;span class="_ _7"&gt;&lt;/span&gt;ati&lt;span class="_ _7"&gt;&lt;/span&gt;on o&lt;span class="_ _7"&gt;&lt;/span&gt;n fi&lt;span class="_ _7"&gt;&lt;/span&gt;na&lt;span class="_ _7"&gt;&lt;/span&gt;nci&lt;span class="_ _7"&gt;&lt;/span&gt;al i&lt;span class="_ _7"&gt;&lt;/span&gt;ns&lt;span class="_ _7"&gt;&lt;/span&gt;tr&lt;span class="_ _7"&gt;&lt;/span&gt;ume&lt;span class="_ _7"&gt;&lt;/span&gt;nt c&lt;span class="_ _7"&gt;&lt;/span&gt;ate&lt;span class="_ _7"&gt;&lt;/span&gt;gor&lt;span class="_ _7"&gt;&lt;/span&gt;ie&lt;span class="_ _7"&gt;&lt;/span&gt;s an&lt;span class="_ _7"&gt;&lt;/span&gt;d fa&lt;span class="_ _7"&gt;&lt;/span&gt;ir v&lt;span class="_ _7"&gt;&lt;/span&gt;alu&lt;span class="_ _7"&gt;&lt;/span&gt;es &lt;/span&gt;&lt;span style="display:inherit;clear:left;"&gt;se&lt;span class="_ _7"&gt;&lt;/span&gt;e No&lt;span class="_ _7"&gt;&lt;/span&gt;te 19 –  Fin&lt;span class="_ _7"&gt;&lt;/span&gt;an&lt;span class="_ _7"&gt;&lt;/span&gt;cia&lt;span class="_ _7"&gt;&lt;/span&gt;l in&lt;span class="_ _7"&gt;&lt;/span&gt;st&lt;span class="_ _7"&gt;&lt;/span&gt;ru&lt;span class="_ _7"&gt;&lt;/span&gt;me&lt;span class="_ _7"&gt;&lt;/span&gt;nt&lt;span class="_ _7"&gt;&lt;/span&gt;s and f&lt;span class="_ _7"&gt;&lt;/span&gt;in&lt;span class="_ _7"&gt;&lt;/span&gt;an&lt;span class="_ _7"&gt;&lt;/span&gt;ci&lt;span class="_ _7"&gt;&lt;/span&gt;al ri&lt;span class="_ _7"&gt;&lt;/span&gt;sk&lt;span class="_ _7"&gt;&lt;/span&gt;s&lt;span class="_ _7"&gt;&lt;/span&gt;.&lt;/span&gt;</t>
  </si>
  <si>
    <t>f1__s8__6__239</t>
  </si>
  <si>
    <t>ifrs-full:DescriptionOfAccountingPolicyToDetermineComponentsOfCashAndCashEquivalents</t>
  </si>
  <si>
    <t>&lt;span style="display:inherit;clear:left;"&gt;ACCOUNTING&lt;span class="_ _2"&gt;&lt;/span&gt; POLICIES&lt;/span&gt;&lt;span style="display:inherit;clear:left;"&gt;Mark&lt;span class="_ _2"&gt;&lt;/span&gt;etable securities&lt;/span&gt;&lt;span style="display:inherit;clear:left;"&gt;Marketable&lt;span class="_ _2"&gt;&lt;/span&gt; securities are highl&lt;span class="_ _2"&gt;&lt;/span&gt;y liquid short&lt;span class="_ _2"&gt;&lt;/span&gt;-&lt;span class="_ _2"&gt;&lt;/span&gt;term int&lt;span class="_ _2"&gt;&lt;/span&gt;ere&lt;span class="_ _7"&gt;&lt;/span&gt;st&lt;span class="_ _2"&gt;&lt;/span&gt;-bearing&lt;span class="_ _2"&gt;&lt;/span&gt; &lt;/span&gt;&lt;span style="display:inherit;clear:left;"&gt;securities and deposits tha&lt;span class="_ _2"&gt;&lt;/span&gt;t are considered easily&lt;span class="_ _2"&gt;&lt;/span&gt; convertible to&lt;span class="_ _2"&gt;&lt;/span&gt; &lt;/span&gt;&lt;span style="display:inherit;clear:left;"&gt;ca&lt;span class="_ _7"&gt;&lt;/span&gt;sh a&lt;span class="_ _7"&gt;&lt;/span&gt;nd h&lt;span class="_ _7"&gt;&lt;/span&gt;ave a te&lt;span class="_ _7"&gt;&lt;/span&gt;rm o&lt;span class="_ _7"&gt;&lt;/span&gt;f mo&lt;span class="_ _7"&gt;&lt;/span&gt;re th&lt;span class="_ _7"&gt;&lt;/span&gt;an th&lt;span class="_ _7"&gt;&lt;/span&gt;re&lt;span class="_ _7"&gt;&lt;/span&gt;e mo&lt;span class="_ _7"&gt;&lt;/span&gt;nth&lt;span class="_ _7"&gt;&lt;/span&gt;s and l&lt;span class="_ _7"&gt;&lt;/span&gt;es&lt;span class="_ _7"&gt;&lt;/span&gt;s t&lt;span class="_ _7"&gt;&lt;/span&gt;ha&lt;span class="_ _7"&gt;&lt;/span&gt;n one &lt;/span&gt;&lt;span style="display:inherit;clear:left;"&gt;yea&lt;span class="_ _7"&gt;&lt;/span&gt;r fr&lt;span class="_ _7"&gt;&lt;/span&gt;om a&lt;span class="_ _7"&gt;&lt;/span&gt;cqu&lt;span class="_ _7"&gt;&lt;/span&gt;is&lt;span class="_ _7"&gt;&lt;/span&gt;iti&lt;span class="_ _7"&gt;&lt;/span&gt;on d&lt;span class="_ _7"&gt;&lt;/span&gt;ate&lt;span class="_ _7"&gt;&lt;/span&gt;. &lt;/span&gt;&lt;span style="display:inherit;clear:left;"&gt;Cash and&lt;span class="_ _2"&gt;&lt;/span&gt; cash equiv&lt;span class="_ _2"&gt;&lt;/span&gt;alents&lt;/span&gt;&lt;span style="display:inherit;clear:left;"&gt;Ca&lt;span class="_ _7"&gt;&lt;/span&gt;sh a&lt;span class="_ _7"&gt;&lt;/span&gt;nd c&lt;span class="_ _7"&gt;&lt;/span&gt;as&lt;span class="_ _7"&gt;&lt;/span&gt;h eq&lt;span class="_ _7"&gt;&lt;/span&gt;ui&lt;span class="_ _7"&gt;&lt;/span&gt;val&lt;span class="_ _7"&gt;&lt;/span&gt;ent&lt;span class="_ _7"&gt;&lt;/span&gt;s ar&lt;span class="_ _7"&gt;&lt;/span&gt;e liq&lt;span class="_ _7"&gt;&lt;/span&gt;ui&lt;span class="_ _7"&gt;&lt;/span&gt;d fu&lt;span class="_ _7"&gt;&lt;/span&gt;nd&lt;span class="_ _7"&gt;&lt;/span&gt;s&lt;span class="_ _7"&gt;&lt;/span&gt;, dep&lt;span class="_ _7"&gt;&lt;/span&gt;o&lt;span class="_ _7"&gt;&lt;/span&gt;si&lt;span class="_ _7"&gt;&lt;/span&gt;ts a&lt;span class="_ _7"&gt;&lt;/span&gt;nd s&lt;span class="_ _7"&gt;&lt;/span&gt;ho&lt;span class="_ _7"&gt;&lt;/span&gt;r&lt;span class="_ _7"&gt;&lt;/span&gt;t&lt;span class="_ _2"&gt;&lt;/span&gt;-term &lt;/span&gt;&lt;span style="display:inherit;clear:left;"&gt;interest&lt;span class="_ _6"&gt;&lt;/span&gt;-bearing securities t&lt;span class="_ _2"&gt;&lt;/span&gt;hat are considered easil&lt;span class="_ _2"&gt;&lt;/span&gt;y convertible to&lt;span class="_ _2"&gt;&lt;/span&gt; &lt;/span&gt;&lt;span style="display:inherit;clear:left;"&gt;ca&lt;span class="_ _7"&gt;&lt;/span&gt;sh a&lt;span class="_ _7"&gt;&lt;/span&gt;nd h&lt;span class="_ _7"&gt;&lt;/span&gt;ave a te&lt;span class="_ _7"&gt;&lt;/span&gt;rm o&lt;span class="_ _7"&gt;&lt;/span&gt;f thr&lt;span class="_ _7"&gt;&lt;/span&gt;ee m&lt;span class="_ _7"&gt;&lt;/span&gt;ont&lt;span class="_ _7"&gt;&lt;/span&gt;hs f&lt;span class="_ _7"&gt;&lt;/span&gt;ro&lt;span class="_ _7"&gt;&lt;/span&gt;m the d&lt;span class="_ _7"&gt;&lt;/span&gt;ate o&lt;span class="_ _7"&gt;&lt;/span&gt;f ac&lt;span class="_ _7"&gt;&lt;/span&gt;qui&lt;span class="_ _7"&gt;&lt;/span&gt;si&lt;span class="_ _7"&gt;&lt;/span&gt;ti&lt;span class="_ _7"&gt;&lt;/span&gt;on&lt;span class="_ _7"&gt;&lt;/span&gt;.&lt;/span&gt;&lt;span style="display:inherit;clear:left;position:relative;height:62.08203125px;"&gt;&lt;span class="pp-font-color-override-1" style="position: absolute; display: inline-block; left: 257.109px; top: 0.748047px; width: 30.2637px; white-space: pre; word-spacing: 0px; letter-spacing: 0px; margin-left: 0px; font-size: 9.6px; font-family: ffa4; -webkit-text-stroke: 0.144px rgba(0, 0, 0, 0);"&gt;&lt;span style="display: inline-block;"&gt;31 De&lt;/span&gt;&lt;span style="word-spacing: 0px; letter-spacing: 0px; display: inline-block; margin-left: 0px; width: 0.410156px; font-size: 9.6px; font-family: ffa4;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&lt;/span&gt;&lt;/span&gt;&lt;span class="pp-font-color-override-1" style="position: absolute; display: inline-block; left: 0px; top: 11.248px; width: 85.9922px; white-space: pre; word-spacing: -0.1824px; letter-spacing: 0.1824px; margin-left: 0px; font-size: 9.6px; font-family: ffa4; -webkit-text-stroke: 0.144px rgba(0, 0, 0, 0);"&gt;&lt;span style="display: inline-block;"&gt;Marketable securities&lt;/span&gt;&lt;/span&gt;&lt;span class="pp-font-color-override-1" style="position: absolute; display: inline-block; left: 263.859px; top: 11.248px; width: 19.3535px; white-space: pre; word-spacing: -0.0384px; letter-spacing: 0.0384px; margin-left: 0px; font-size: 9.6px; font-family: ffa4;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ffa3; -webkit-text-stroke: 0.144px rgba(0, 0, 0, 0);"&gt;&lt;span style="display: inline-block;"&gt;2024&lt;/span&gt;&lt;/span&gt;&lt;span class="pp-font-color-override-1" style="position: absolute; display: inline-block; left: 0px; top: 33.8691px; width: 328.588px; white-space: pre; word-spacing: -0.147px; letter-spacing: 0.1785px; margin-left: 0px; font-size: 10.5px; font-family: ffa5; -webkit-text-stroke: 0.1575px rgba(0, 0, 0, 0);"&gt;&lt;span style="display: inline-block;"&gt;Bank acceptance draf&lt;/span&gt;&lt;span style="word-spacing: -0.147px; letter-spacing: 0.1785px; display: inline-block; margin-left: 0px; width: 0.410156px; font-size: 10.5px; font-family: ffa5; -webkit-text-stroke: 0.1575px rgba(0, 0, 0, 0);"&gt;&lt;/span&gt;&lt;span style="display: inline-block;"&gt;ts&lt;/span&gt;&lt;span style="word-spacing: -0.147px; letter-spacing: 0.1785px; display: inline-block; margin-left: 0px; width: 167.069px;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inline-block;"&gt;1&lt;/span&gt;&lt;span style="word-spacing: 0px; letter-spacing: 0px; display: inline-block; margin-left: 0px; width: 44.3554px; font-size: 10.5px; font-family: ffa5; -webkit-text-stroke: 0.1575px rgba(0, 0, 0, 0);"&gt;&lt;span style="display: inline-block;"&gt; &lt;/span&gt;&lt;/span&gt;&lt;span style="display: inline-block;"&gt;—&lt;/span&gt;&lt;/span&gt;&lt;/span&gt;&lt;span class="pp-font-color-override-1" style="position: absolute; display: inline-block; left: 0px; top: 50.4609px; width: 339.516px; white-space: pre; word-spacing: -0.1995px; letter-spacing: 0.1995px; margin-left: 0px; font-size: 10.5px; font-family: ffa4; -webkit-text-stroke: 0.1575px rgba(0, 0, 0, 0);"&gt;&lt;span style="display: inline-block;"&gt;T&lt;/span&gt;&lt;span style="word-spacing: -0.1995px; letter-spacing: 0.1995px; display: inline-block; margin-left: -1.13625px; width: 0px; font-size: 10.5px; font-family: ffa4; -webkit-text-stroke: 0.1575px rgba(0, 0, 0, 0);"&gt;&lt;/span&gt;&lt;span style="display: inline-block;"&gt;ot&lt;/span&gt;&lt;span style="word-spacing: -0.1995px; letter-spacing: 0.1995px; display: inline-block; margin-left: 0px; width: 0.410156px; font-size: 10.5px; font-family: ffa4; -webkit-text-stroke: 0.1575px rgba(0, 0, 0, 0);"&gt;&lt;/span&gt;&lt;span style="display: inline-block;"&gt;al&lt;/span&gt;&lt;span style="word-spacing: -0.1995px; letter-spacing: 0.1995px; display: inline-block; margin-left: 0px; width: 256.969px; font-size: 10.5px; font-family: ffa4; -webkit-text-stroke: 0.1575px rgba(0, 0, 0, 0);"&gt;&lt;span style="display: inline-block;"&gt; &lt;/span&gt;&lt;/span&gt;&lt;span class="pp-font-color-override-1" style="word-spacing: 0px; letter-spacing: 0px; display: inline-block; margin-left: 0px; font-size: 10.5px; font-family: ffa4; -webkit-text-stroke: 0.1575px rgba(0, 0, 0, 0);"&gt;&lt;span style="display: inline-block;"&gt;1&lt;/span&gt;&lt;span style="word-spacing: 0px; letter-spacing: 0px; display: inline-block; margin-left: 0px; width: 44.3554px; font-size: 10.5px; font-family: ffa4; -webkit-text-stroke: 0.1575px rgba(0, 0, 0, 0);"&gt;&lt;span style="display: inline-block;"&gt; &lt;/span&gt;&lt;/span&gt;&lt;span style="display: inline-block;"&gt;—&lt;/span&gt;&lt;/span&gt;&lt;/span&gt;&lt;/span&gt;&lt;span style="display:inherit;clear:left;position:relative;height:108.33203125px;"&gt;&lt;span class="pp-font-color-override-1" style="position: absolute; display: inline-block; left: 257.109px; top: 0.748047px; width: 30.2637px; white-space: pre; word-spacing: 0px; letter-spacing: 0px; margin-left: 0px; font-size: 9.6px; font-family: ffa4; -webkit-text-stroke: 0.144px rgba(0, 0, 0, 0);"&gt;&lt;span style="display: inline-block;"&gt;31 De&lt;/span&gt;&lt;span style="word-spacing: 0px; letter-spacing: 0px; display: inline-block; margin-left: 0px; width: 0.410156px; font-size: 9.6px; font-family: ffa4;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&lt;/span&gt;&lt;/span&gt;&lt;span class="pp-font-color-override-1" style="position: absolute; display: inline-block; left: 0px; top: 11.248px; width: 105.029px; white-space: pre; word-spacing: -0.1824px; letter-spacing: 0.1824px; margin-left: 0px; font-size: 9.6px; font-family: ffa4; -webkit-text-stroke: 0.144px rgba(0, 0, 0, 0);"&gt;&lt;span style="display: inline-block;"&gt;Cash and cash equivalents&lt;/span&gt;&lt;/span&gt;&lt;span class="pp-font-color-override-1" style="position: absolute; display: inline-block; left: 263.859px; top: 11.248px; width: 19.3535px; white-space: pre; word-spacing: -0.0384px; letter-spacing: 0.0384px; margin-left: 0px; font-size: 9.6px; font-family: ffa4;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ffa3; -webkit-text-stroke: 0.144px rgba(0, 0, 0, 0);"&gt;&lt;span style="display: inline-block;"&gt;2024&lt;/span&gt;&lt;/span&gt;&lt;span class="pp-font-color-override-1" style="position: absolute; display: inline-block; left: 0px; top: 33.1191px; width: 321.012px; white-space: pre; word-spacing: 0px; letter-spacing: 0.0315px; margin-left: 0px; font-size: 10.5px; font-family: ffa5; -webkit-text-stroke: 0.1575px rgba(0, 0, 0, 0);"&gt;&lt;span style="display: inline-block;"&gt;Ca&lt;/span&gt;&lt;span style="word-spacing: 0px; letter-spacing: 0.0315px; display: inline-block; margin-left: 0px; width: 0.410156px; font-size: 10.5px; font-family: ffa5; -webkit-text-stroke: 0.1575px rgba(0, 0, 0, 0);"&gt;&lt;/span&gt;&lt;span style="display: inline-block;"&gt;sh at b&lt;/span&gt;&lt;span style="word-spacing: 0px; letter-spacing: 0.0315px; display: inline-block; margin-left: 0px; width: 0.410156px; font-size: 10.5px; font-family: ffa5; -webkit-text-stroke: 0.1575px rgba(0, 0, 0, 0);"&gt;&lt;/span&gt;&lt;span style="display: inline-block;"&gt;an&lt;/span&gt;&lt;span style="word-spacing: 0px; letter-spacing: 0.0315px; display: inline-block; margin-left: 0px; width: 0.410156px; font-size: 10.5px; font-family: ffa5; -webkit-text-stroke: 0.1575px rgba(0, 0, 0, 0);"&gt;&lt;/span&gt;&lt;span style="display: inline-block;"&gt;ks&lt;/span&gt;&lt;span style="word-spacing: 0px; letter-spacing: 0.0315px; display: inline-block; margin-left: 0px; width: 183.088px; font-size: 10.5px; font-family: ffa5; -webkit-text-stroke: 0.1575px rgba(0, 0, 0, 0);"&gt;&lt;span style="display: inline-block;"&gt; &lt;/span&gt;&lt;/span&gt;&lt;span class="pp-font-color-override-1" style="word-spacing: -0.021px; letter-spacing: 0.021px; display: inline-block; margin-left: 0px; font-size: 10.5px; font-family: ffa5; -webkit-text-stroke: 0.1575px rgba(0, 0, 0, 0);"&gt;&lt;span style="display: inline-block;"&gt;26&lt;/span&gt;&lt;span style="word-spacing: -0.021px; letter-spacing: 0.021px; display: inline-block; margin-left: 0px; width: 0.410156px; font-size: 10.5px; font-family: ffa5; -webkit-text-stroke: 0.1575px rgba(0, 0, 0, 0);"&gt;&lt;/span&gt;&lt;span style="display: inline-block;"&gt;,0&lt;/span&gt;&lt;span style="word-spacing: -0.021px; letter-spacing: 0.021px; display: inline-block; margin-left: 0px; width: 0.410156px; font-size: 10.5px; font-family: ffa5; -webkit-text-stroke: 0.1575px rgba(0, 0, 0, 0);"&gt;&lt;/span&gt;&lt;span style="display: inline-block;"&gt;02&lt;/span&gt;&lt;span style="word-spacing: -0.021px; letter-spacing: 0.021px; display: inline-block; margin-left: 0px; width: 18.6211px; font-size: 10.5px; font-family: ffa5; -webkit-text-stroke: 0.1575px rgba(0, 0, 0, 0);"&gt;&lt;span style="display: inline-block;"&gt; &lt;/span&gt;&lt;/span&gt;&lt;/span&gt;&lt;span class="pp-font-color-override-1" style="word-spacing: -0.0315px; letter-spacing: 0.0315px; display: inline-block; margin-left: 0px; font-size: 10.5px; font-family: ffa5; -webkit-text-stroke: 0.1575px rgba(0, 0, 0, 0);"&gt;&lt;span style="display: inline-block;"&gt;39,&lt;/span&gt;&lt;span style="word-spacing: -0.0315px; letter-spacing: 0.0315px; display: inline-block; margin-left: 0px; width: 0.410156px; font-size: 10.5px; font-family: ffa5; -webkit-text-stroke: 0.1575px rgba(0, 0, 0, 0);"&gt;&lt;/span&gt;&lt;span style="display: inline-block;"&gt;802&lt;/span&gt;&lt;/span&gt;&lt;/span&gt;&lt;span class="pp-font-color-override-1" style="position: absolute; display: inline-block; left: 0px; top: 49.0879px; width: 319.863px; white-space: pre; word-spacing: 0px; letter-spacing: 0.0315px; margin-left: 0px; font-size: 10.5px; font-family: ffa5; -webkit-text-stroke: 0.1575px rgba(0, 0, 0, 0);"&gt;&lt;span style="display: inline-block;"&gt;Tim&lt;/span&gt;&lt;span style="word-spacing: 0px; letter-spacing: 0.0315px; display: inline-block; margin-left: 0px; width: 0.410156px; font-size: 10.5px; font-family: ffa5; -webkit-text-stroke: 0.1575px rgba(0, 0, 0, 0);"&gt;&lt;/span&gt;&lt;span style="display: inline-block;"&gt;e de&lt;/span&gt;&lt;span style="word-spacing: 0px; letter-spacing: 0.0315px; display: inline-block; margin-left: 0px; width: 0.410156px; font-size: 10.5px; font-family: ffa5; -webkit-text-stroke: 0.1575px rgba(0, 0, 0, 0);"&gt;&lt;/span&gt;&lt;span style="display: inline-block;"&gt;po&lt;/span&gt;&lt;span style="word-spacing: 0px; letter-spacing: 0.0315px; display: inline-block; margin-left: 0px; width: 0.410156px; font-size: 10.5px; font-family: ffa5; -webkit-text-stroke: 0.1575px rgba(0, 0, 0, 0);"&gt;&lt;/span&gt;&lt;span style="display: inline-block;"&gt;si&lt;/span&gt;&lt;span style="word-spacing: 0px; letter-spacing: 0.0315px; display: inline-block; margin-left: 0px; width: 0.410156px; font-size: 10.5px; font-family: ffa5; -webkit-text-stroke: 0.1575px rgba(0, 0, 0, 0);"&gt;&lt;/span&gt;&lt;span style="display: inline-block;"&gt;ts i&lt;/span&gt;&lt;span style="word-spacing: 0px; letter-spacing: 0.0315px; display: inline-block; margin-left: 0px; width: 0.410156px; font-size: 10.5px; font-family: ffa5; -webkit-text-stroke: 0.1575px rgba(0, 0, 0, 0);"&gt;&lt;/span&gt;&lt;span style="display: inline-block;"&gt;n ba&lt;/span&gt;&lt;span style="word-spacing: 0px; letter-spacing: 0.0315px; display: inline-block; margin-left: 0px; width: 0.410156px; font-size: 10.5px; font-family: ffa5; -webkit-text-stroke: 0.1575px rgba(0, 0, 0, 0);"&gt;&lt;/span&gt;&lt;span style="display: inline-block;"&gt;nks&lt;/span&gt;&lt;span style="word-spacing: 0px; letter-spacing: 0.0315px; display: inline-block; margin-left: 0px; width: 140.666px; font-size: 10.5px; font-family: ffa5; -webkit-text-stroke: 0.1575px rgba(0, 0, 0, 0);"&gt;&lt;span style="display: inline-block;"&gt; &lt;/span&gt;&lt;/span&gt;&lt;span class="pp-font-color-override-1" style="word-spacing: -0.147px; letter-spacing: 0.147px; display: inline-block; margin-left: 0px; font-size: 10.5px; font-family: ffa5; -webkit-text-stroke: 0.1575px rgba(0, 0, 0, 0);"&gt;&lt;span style="display: inline-block;"&gt;29,939&lt;/span&gt;&lt;span style="word-spacing: -0.147px; letter-spacing: 0.147px; display: inline-block; margin-left: 0px; width: 19.8223px; font-size: 10.5px; font-family: ffa5; -webkit-text-stroke: 0.1575px rgba(0, 0, 0, 0);"&gt;&lt;span style="display: inline-block;"&gt; &lt;/span&gt;&lt;/span&gt;&lt;/span&gt;&lt;span class="pp-font-color-override-1" style="word-spacing: 0px; letter-spacing: 0px; display: inline-block; margin-left: 0px; font-size: 10.5px; font-family: ffa5; -webkit-text-stroke: 0.1575px rgba(0, 0, 0, 0);"&gt;&lt;span style="display: inline-block;"&gt;16,&lt;/span&gt;&lt;span style="word-spacing: 0px; letter-spacing: 0px; display: inline-block; margin-left: 0px; width: 0.410156px; font-size: 10.5px; font-family: ffa5; -webkit-text-stroke: 0.1575px rgba(0, 0, 0, 0);"&gt;&lt;/span&gt;&lt;span style="display: inline-block;"&gt;50&lt;/span&gt;&lt;span style="word-spacing: 0px; letter-spacing: 0px; display: inline-block; margin-left: 0px; width: 0.410156px; font-size: 10.5px; font-family: ffa5; -webkit-text-stroke: 0.1575px rgba(0, 0, 0, 0);"&gt;&lt;/span&gt;&lt;span style="display: inline-block;"&gt;9&lt;/span&gt;&lt;/span&gt;&lt;/span&gt;&lt;span class="pp-font-color-override-1" style="position: absolute; display: inline-block; left: 0px; top: 65.041px; width: 321.949px; white-space: pre; word-spacing: -0.168px; letter-spacing: 0.1995px; margin-left: 0px; font-size: 10.5px; font-family: ffa5; -webkit-text-stroke: 0.1575px rgba(0, 0, 0, 0);"&gt;&lt;span style="display: inline-block;"&gt;Equity repurc&lt;/span&gt;&lt;span style="word-spacing: -0.168px; letter-spacing: 0.1995px; display: inline-block; margin-left: -0.684px; width: 0px; font-size: 10.5px; font-family: ffa5; -webkit-text-stroke: 0.1575px rgba(0, 0, 0, 0);"&gt;&lt;/span&gt;&lt;span style="display: inline-block;"&gt;has&lt;/span&gt;&lt;span style="word-spacing: -0.168px; letter-spacing: 0.1995px; display: inline-block; margin-left: 0px; width: 0.410156px; font-size: 10.5px; font-family: ffa5; -webkit-text-stroke: 0.1575px rgba(0, 0, 0, 0);"&gt;&lt;/span&gt;&lt;span style="display: inline-block;"&gt;e agreements&lt;/span&gt;&lt;span style="word-spacing: -0.168px; letter-spacing: 0.1995px; display: inline-block; margin-left: 0px; width: 111.346px; font-size: 10.5px; font-family: ffa5; -webkit-text-stroke: 0.1575px rgba(0, 0, 0, 0);"&gt;&lt;span style="display: inline-block;"&gt; &lt;/span&gt;&lt;/span&gt;&lt;span class="pp-font-color-override-1" style="word-spacing: -0.042px; letter-spacing: 0.042px; display: inline-block; margin-left: 0px; font-size: 10.5px; font-family: ffa5; -webkit-text-stroke: 0.1575px rgba(0, 0, 0, 0);"&gt;&lt;span style="display: inline-block;"&gt;1,623&lt;/span&gt;&lt;span style="word-spacing: -0.042px; letter-spacing: 0.042px; display: inline-block; margin-left: 0px; width: 44.754px;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inline-block;"&gt;—&lt;/span&gt;&lt;/span&gt;&lt;/span&gt;&lt;/span&gt;&lt;span class="pp-font-color-override-1" style="position: absolute; display: inline-block; left: 0px; top: 81.0098px; width: 325.875px; white-space: pre; word-spacing: -0.147px; letter-spacing: 0.1785px; margin-left: 0px; font-size: 10.5px; font-family: ffa5; -webkit-text-stroke: 0.1575px rgba(0, 0, 0, 0);"&gt;&lt;span style="display: inline-block;"&gt;Bank acceptance draf&lt;/span&gt;&lt;span style="word-spacing: -0.147px; letter-spacing: 0.1785px; display: inline-block; margin-left: 0px; width: 0.410156px; font-size: 10.5px; font-family: ffa5; -webkit-text-stroke: 0.1575px rgba(0, 0, 0, 0);"&gt;&lt;/span&gt;&lt;span style="display: inline-block;"&gt;ts&lt;/span&gt;&lt;span style="word-spacing: -0.147px; letter-spacing: 0.1785px; display: inline-block; margin-left: 0px; width: 160.764px;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42.4864px;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inline-block;"&gt;62&lt;/span&gt;&lt;/span&gt;&lt;/span&gt;&lt;/span&gt;&lt;span class="pp-font-color-override-1" style="position: absolute; display: inline-block; left: 0px; top: 96.7109px; width: 324.973px; white-space: pre; word-spacing: -0.1995px; letter-spacing: 0.1995px; margin-left: 0px; font-size: 10.5px; font-family: ffa4; -webkit-text-stroke: 0.1575px rgba(0, 0, 0, 0);"&gt;&lt;span style="display: inline-block;"&gt;T&lt;/span&gt;&lt;span style="word-spacing: -0.1995px; letter-spacing: 0.1995px; display: inline-block; margin-left: -1.13625px; width: 0px; font-size: 10.5px; font-family: ffa4; -webkit-text-stroke: 0.1575px rgba(0, 0, 0, 0);"&gt;&lt;/span&gt;&lt;span style="display: inline-block;"&gt;ot&lt;/span&gt;&lt;span style="word-spacing: -0.1995px; letter-spacing: 0.1995px; display: inline-block; margin-left: 0px; width: 0.410156px; font-size: 10.5px; font-family: ffa4; -webkit-text-stroke: 0.1575px rgba(0, 0, 0, 0);"&gt;&lt;/span&gt;&lt;span style="display: inline-block;"&gt;al&lt;/span&gt;&lt;span style="word-spacing: -0.1995px; letter-spacing: 0.1995px; display: inline-block; margin-left: 0px; width: 224.982px; font-size: 10.5px; font-family: ffa4; -webkit-text-stroke: 0.1575px rgba(0, 0, 0, 0);"&gt;&lt;span style="display: inline-block;"&gt; &lt;/span&gt;&lt;/span&gt;&lt;span class="pp-font-color-override-1" style="word-spacing: 0.4095px; letter-spacing: -0.4095px; display: inline-block; margin-left: 0px; font-size: 10.5px; font-family: ffa4; -webkit-text-stroke: 0.1575px rgba(0, 0, 0, 0);"&gt;&lt;span style="display: inline-block;"&gt;5&lt;/span&gt;&lt;span style="word-spacing: 0.4095px; letter-spacing: -0.4095px; display: inline-block; margin-left: 0px; width: 0.410156px; font-size: 10.5px; font-family: ffa4; -webkit-text-stroke: 0.1575px rgba(0, 0, 0, 0);"&gt;&lt;/span&gt;&lt;span style="display: inline-block;"&gt;7,&lt;/span&gt;&lt;span style="word-spacing: 0.4095px; letter-spacing: -0.4095px; display: inline-block; margin-left: 0px; width: 0.410156px; font-size: 10.5px; font-family: ffa4; -webkit-text-stroke: 0.1575px rgba(0, 0, 0, 0);"&gt;&lt;/span&gt;&lt;span style="display: inline-block;"&gt;5&lt;/span&gt;&lt;span style="word-spacing: 0.4095px; letter-spacing: -0.4095px; display: inline-block; margin-left: 0px; width: 0.925781px; font-size: 10.5px; font-family: ffa4; -webkit-text-stroke: 0.1575px rgba(0, 0, 0, 0);"&gt;&lt;/span&gt;&lt;span style="display: inline-block;"&gt;6&lt;/span&gt;&lt;span style="word-spacing: 0.4095px; letter-spacing: -0.4095px; display: inline-block; margin-left: 0px; width: 0.410156px; font-size: 10.5px; font-family: ffa4; -webkit-text-stroke: 0.1575px rgba(0, 0, 0, 0);"&gt;&lt;/span&gt;&lt;span style="display: inline-block;"&gt;4&lt;/span&gt;&lt;span style="word-spacing: 0.4095px; letter-spacing: -0.4095px; display: inline-block; margin-left: 0px; width: 18.6211px; font-size: 10.5px; font-family: ffa4; -webkit-text-stroke: 0.1575px rgba(0, 0, 0, 0);"&gt;&lt;span style="display: inline-block;"&gt;&lt;span style="width: 2.625px; display: inline-block;"&gt; &lt;/span&gt;&lt;/span&gt;&lt;/span&gt;&lt;span class="pp-font-color-override-1" style="word-spacing: -0.105px; letter-spacing: 0.105px; display: inline-block; margin-left: 0px; font-size: 10.5px; font-family: ffa4; -webkit-text-stroke: 0.1575px rgba(0, 0, 0, 0);"&gt;&lt;span style="display: inline-block;"&gt;5&lt;/span&gt;&lt;span style="word-spacing: -0.105px; letter-spacing: 0.105px; display: inline-block; margin-left: 0px; width: 0.410156px; font-size: 10.5px; font-family: ffa4; -webkit-text-stroke: 0.1575px rgba(0, 0, 0, 0);"&gt;&lt;/span&gt;&lt;span style="display: inline-block;"&gt;6,37&lt;/span&gt;&lt;span style="word-spacing: -0.105px; letter-spacing: 0.105px; display: inline-block; margin-left: 0px; width: 0.410156px; font-size: 10.5px; font-family: ffa4; -webkit-text-stroke: 0.1575px rgba(0, 0, 0, 0);"&gt;&lt;/span&gt;&lt;span style="display: inline-block;"&gt;3&lt;/span&gt;&lt;/span&gt;&lt;/span&gt;&lt;/span&gt;&lt;/span&gt;&lt;span style="display:inherit;clear:left;"&gt;Ca&lt;span class="_ _7"&gt;&lt;/span&gt;sh a&lt;span class="_ _7"&gt;&lt;/span&gt;nd c&lt;span class="_ _7"&gt;&lt;/span&gt;as&lt;span class="_ _7"&gt;&lt;/span&gt;h eq&lt;span class="_ _7"&gt;&lt;/span&gt;ui&lt;span class="_ _7"&gt;&lt;/span&gt;val&lt;span class="_ _7"&gt;&lt;/span&gt;ent&lt;span class="_ _7"&gt;&lt;/span&gt;s in&lt;span class="_ _7"&gt;&lt;/span&gt;clu&lt;span class="_ _7"&gt;&lt;/span&gt;de&lt;span class="_ _7"&gt;&lt;/span&gt;s SEK &lt;span class="fc5"&gt;3&lt;span class="_ _7"&gt;&lt;/span&gt;,329 (&lt;/span&gt;3,706) m whe&lt;span class="_ _7"&gt;&lt;/span&gt;re &lt;/span&gt;&lt;span style="display:inherit;clear:left;"&gt; &lt;span class="_ _1"&gt;&lt;/span&gt;li&lt;span class="_ _7"&gt;&lt;/span&gt;mi&lt;span class="_ _7"&gt;&lt;/span&gt;tat&lt;span class="_ _7"&gt;&lt;/span&gt;io&lt;span class="_ _7"&gt;&lt;/span&gt;ns ex&lt;span class="_ _7"&gt;&lt;/span&gt;is&lt;span class="_ _7"&gt;&lt;/span&gt;t&lt;span class="_ _7"&gt;&lt;/span&gt;, mai&lt;span class="_ _7"&gt;&lt;/span&gt;nly l&lt;span class="_ _7"&gt;&lt;/span&gt;iqu&lt;span class="_ _7"&gt;&lt;/span&gt;id f&lt;span class="_ _7"&gt;&lt;/span&gt;un&lt;span class="_ _7"&gt;&lt;/span&gt;ds h&lt;span class="_ _7"&gt;&lt;/span&gt;el&lt;span class="_ _7"&gt;&lt;/span&gt;d in ce&lt;span class="_ _7"&gt;&lt;/span&gt;r&lt;span class="_ _7"&gt;&lt;/span&gt;ta&lt;span class="_ _7"&gt;&lt;/span&gt;in c&lt;span class="_ _7"&gt;&lt;/span&gt;ou&lt;span class="_ _7"&gt;&lt;/span&gt;ntr&lt;span class="_ _7"&gt;&lt;/span&gt;ie&lt;span class="_ _7"&gt;&lt;/span&gt;s wh&lt;span class="_ _7"&gt;&lt;/span&gt;ere &lt;/span&gt;&lt;span style="display:inherit;clear:left;"&gt;excha&lt;span class="_ _7"&gt;&lt;/span&gt;nge c&lt;span class="_ _7"&gt;&lt;/span&gt;on&lt;span class="_ _7"&gt;&lt;/span&gt;tro&lt;span class="_ _7"&gt;&lt;/span&gt;l&lt;span class="_ _7"&gt;&lt;/span&gt;s or ot&lt;span class="_ _7"&gt;&lt;/span&gt;he&lt;span class="_ _7"&gt;&lt;/span&gt;r leg&lt;span class="_ _7"&gt;&lt;/span&gt;al re&lt;span class="_ _7"&gt;&lt;/span&gt;s&lt;span class="_ _7"&gt;&lt;/span&gt;tr&lt;span class="_ _7"&gt;&lt;/span&gt;ic&lt;span class="_ _7"&gt;&lt;/span&gt;tio&lt;span class="_ _7"&gt;&lt;/span&gt;ns a&lt;span class="_ _7"&gt;&lt;/span&gt;pp&lt;span class="_ _7"&gt;&lt;/span&gt;ly. It is no&lt;span class="_ _7"&gt;&lt;/span&gt;t po&lt;span class="_ _7"&gt;&lt;/span&gt;s&lt;span class="_ _7"&gt;&lt;/span&gt;si&lt;span class="_ _7"&gt;&lt;/span&gt;ble &lt;/span&gt;&lt;span style="display:inherit;clear:left;"&gt;to imm&lt;span class="_ _7"&gt;&lt;/span&gt;e&lt;span class="_ _7"&gt;&lt;/span&gt;dia&lt;span class="_ _7"&gt;&lt;/span&gt;tely u&lt;span class="_ _7"&gt;&lt;/span&gt;s&lt;span class="_ _7"&gt;&lt;/span&gt;e the l&lt;span class="_ _7"&gt;&lt;/span&gt;iqu&lt;span class="_ _7"&gt;&lt;/span&gt;id f&lt;span class="_ _7"&gt;&lt;/span&gt;un&lt;span class="_ _7"&gt;&lt;/span&gt;ds i&lt;span class="_ _7"&gt;&lt;/span&gt;n oth&lt;span class="_ _7"&gt;&lt;/span&gt;er p&lt;span class="_ _7"&gt;&lt;/span&gt;ar&lt;span class="_ _7"&gt;&lt;/span&gt;t&lt;span class="_ _7"&gt;&lt;/span&gt;s of Volvo C&lt;span class="_ _7"&gt;&lt;/span&gt;ar&lt;span class="_ _7"&gt;&lt;/span&gt;s&lt;span class="_ _7"&gt;&lt;/span&gt;, &lt;/span&gt;&lt;span style="display:inherit;clear:left;"&gt;how&lt;span class="_ _7"&gt;&lt;/span&gt;ever t&lt;span class="_ _7"&gt;&lt;/span&gt;he&lt;span class="_ _7"&gt;&lt;/span&gt;re i&lt;span class="_ _7"&gt;&lt;/span&gt;s nor&lt;span class="_ _7"&gt;&lt;/span&gt;m&lt;span class="_ _7"&gt;&lt;/span&gt;ally n&lt;span class="_ _7"&gt;&lt;/span&gt;o lim&lt;span class="_ _7"&gt;&lt;/span&gt;it&lt;span class="_ _7"&gt;&lt;/span&gt;ati&lt;span class="_ _7"&gt;&lt;/span&gt;on f&lt;span class="_ _7"&gt;&lt;/span&gt;or th&lt;span class="_ _7"&gt;&lt;/span&gt;ei&lt;span class="_ _7"&gt;&lt;/span&gt;r us&lt;span class="_ _7"&gt;&lt;/span&gt;e in th&lt;span class="_ _7"&gt;&lt;/span&gt;e Gr&lt;span class="_ _7"&gt;&lt;/span&gt;oup&lt;span class="_ _7"&gt;&lt;/span&gt;’s &lt;/span&gt;&lt;span style="display:inherit;clear:left;"&gt;operation in&lt;span class="_ _2"&gt;&lt;/span&gt; the respective country&lt;span class="_ _2"&gt;&lt;/span&gt;.&lt;/span&gt;&lt;span style="display:inherit;clear:left;"&gt;For in&lt;span class="_ _7"&gt;&lt;/span&gt;fo&lt;span class="_ _7"&gt;&lt;/span&gt;rm&lt;span class="_ _7"&gt;&lt;/span&gt;ati&lt;span class="_ _7"&gt;&lt;/span&gt;on o&lt;span class="_ _7"&gt;&lt;/span&gt;n fi&lt;span class="_ _7"&gt;&lt;/span&gt;na&lt;span class="_ _7"&gt;&lt;/span&gt;nci&lt;span class="_ _7"&gt;&lt;/span&gt;al i&lt;span class="_ _7"&gt;&lt;/span&gt;ns&lt;span class="_ _7"&gt;&lt;/span&gt;tr&lt;span class="_ _7"&gt;&lt;/span&gt;ume&lt;span class="_ _7"&gt;&lt;/span&gt;nt c&lt;span class="_ _7"&gt;&lt;/span&gt;ate&lt;span class="_ _7"&gt;&lt;/span&gt;gor&lt;span class="_ _7"&gt;&lt;/span&gt;ie&lt;span class="_ _7"&gt;&lt;/span&gt;s an&lt;span class="_ _7"&gt;&lt;/span&gt;d fa&lt;span class="_ _7"&gt;&lt;/span&gt;ir v&lt;span class="_ _7"&gt;&lt;/span&gt;alu&lt;span class="_ _7"&gt;&lt;/span&gt;es &lt;/span&gt;&lt;span style="display:inherit;clear:left;"&gt;se&lt;span class="_ _7"&gt;&lt;/span&gt;e No&lt;span class="_ _7"&gt;&lt;/span&gt;te 19 –  Fin&lt;span class="_ _7"&gt;&lt;/span&gt;an&lt;span class="_ _7"&gt;&lt;/span&gt;cia&lt;span class="_ _7"&gt;&lt;/span&gt;l in&lt;span class="_ _7"&gt;&lt;/span&gt;st&lt;span class="_ _7"&gt;&lt;/span&gt;ru&lt;span class="_ _7"&gt;&lt;/span&gt;me&lt;span class="_ _7"&gt;&lt;/span&gt;nt&lt;span class="_ _7"&gt;&lt;/span&gt;s and f&lt;span class="_ _7"&gt;&lt;/span&gt;in&lt;span class="_ _7"&gt;&lt;/span&gt;an&lt;span class="_ _7"&gt;&lt;/span&gt;ci&lt;span class="_ _7"&gt;&lt;/span&gt;al ri&lt;span class="_ _7"&gt;&lt;/span&gt;sk&lt;span class="_ _7"&gt;&lt;/span&gt;s&lt;span class="_ _7"&gt;&lt;/span&gt;.&lt;/span&gt;</t>
  </si>
  <si>
    <t>f1__s8__6__241</t>
  </si>
  <si>
    <t>ifrs-full:DisclosureOfRestrictedCashAndCashEquivalentsExplanatory</t>
  </si>
  <si>
    <t>&lt;span style="display:inherit;clear:left;"&gt;Ca&lt;span class="_ _7"&gt;&lt;/span&gt;sh a&lt;span class="_ _7"&gt;&lt;/span&gt;nd c&lt;span class="_ _7"&gt;&lt;/span&gt;as&lt;span class="_ _7"&gt;&lt;/span&gt;h eq&lt;span class="_ _7"&gt;&lt;/span&gt;ui&lt;span class="_ _7"&gt;&lt;/span&gt;val&lt;span class="_ _7"&gt;&lt;/span&gt;ent&lt;span class="_ _7"&gt;&lt;/span&gt;s in&lt;span class="_ _7"&gt;&lt;/span&gt;clu&lt;span class="_ _7"&gt;&lt;/span&gt;de&lt;span class="_ _7"&gt;&lt;/span&gt;s SEK &lt;span class="fc5"&gt;3&lt;span class="_ _7"&gt;&lt;/span&gt;,329 (&lt;/span&gt;3,706) m whe&lt;span class="_ _7"&gt;&lt;/span&gt;re &lt;/span&gt;&lt;span style="display:inherit;clear:left;"&gt; &lt;span class="_ _1"&gt;&lt;/span&gt;li&lt;span class="_ _7"&gt;&lt;/span&gt;mi&lt;span class="_ _7"&gt;&lt;/span&gt;tat&lt;span class="_ _7"&gt;&lt;/span&gt;io&lt;span class="_ _7"&gt;&lt;/span&gt;ns ex&lt;span class="_ _7"&gt;&lt;/span&gt;is&lt;span class="_ _7"&gt;&lt;/span&gt;t&lt;span class="_ _7"&gt;&lt;/span&gt;, mai&lt;span class="_ _7"&gt;&lt;/span&gt;nly l&lt;span class="_ _7"&gt;&lt;/span&gt;iqu&lt;span class="_ _7"&gt;&lt;/span&gt;id f&lt;span class="_ _7"&gt;&lt;/span&gt;un&lt;span class="_ _7"&gt;&lt;/span&gt;ds h&lt;span class="_ _7"&gt;&lt;/span&gt;el&lt;span class="_ _7"&gt;&lt;/span&gt;d in ce&lt;span class="_ _7"&gt;&lt;/span&gt;r&lt;span class="_ _7"&gt;&lt;/span&gt;ta&lt;span class="_ _7"&gt;&lt;/span&gt;in c&lt;span class="_ _7"&gt;&lt;/span&gt;ou&lt;span class="_ _7"&gt;&lt;/span&gt;ntr&lt;span class="_ _7"&gt;&lt;/span&gt;ie&lt;span class="_ _7"&gt;&lt;/span&gt;s wh&lt;span class="_ _7"&gt;&lt;/span&gt;ere &lt;/span&gt;&lt;span style="display:inherit;clear:left;"&gt;excha&lt;span class="_ _7"&gt;&lt;/span&gt;nge c&lt;span class="_ _7"&gt;&lt;/span&gt;on&lt;span class="_ _7"&gt;&lt;/span&gt;tro&lt;span class="_ _7"&gt;&lt;/span&gt;l&lt;span class="_ _7"&gt;&lt;/span&gt;s or ot&lt;span class="_ _7"&gt;&lt;/span&gt;he&lt;span class="_ _7"&gt;&lt;/span&gt;r leg&lt;span class="_ _7"&gt;&lt;/span&gt;al re&lt;span class="_ _7"&gt;&lt;/span&gt;s&lt;span class="_ _7"&gt;&lt;/span&gt;tr&lt;span class="_ _7"&gt;&lt;/span&gt;ic&lt;span class="_ _7"&gt;&lt;/span&gt;tio&lt;span class="_ _7"&gt;&lt;/span&gt;ns a&lt;span class="_ _7"&gt;&lt;/span&gt;pp&lt;span class="_ _7"&gt;&lt;/span&gt;ly. It is no&lt;span class="_ _7"&gt;&lt;/span&gt;t po&lt;span class="_ _7"&gt;&lt;/span&gt;s&lt;span class="_ _7"&gt;&lt;/span&gt;si&lt;span class="_ _7"&gt;&lt;/span&gt;ble &lt;/span&gt;&lt;span style="display:inherit;clear:left;"&gt;to imm&lt;span class="_ _7"&gt;&lt;/span&gt;e&lt;span class="_ _7"&gt;&lt;/span&gt;dia&lt;span class="_ _7"&gt;&lt;/span&gt;tely u&lt;span class="_ _7"&gt;&lt;/span&gt;s&lt;span class="_ _7"&gt;&lt;/span&gt;e the l&lt;span class="_ _7"&gt;&lt;/span&gt;iqu&lt;span class="_ _7"&gt;&lt;/span&gt;id f&lt;span class="_ _7"&gt;&lt;/span&gt;un&lt;span class="_ _7"&gt;&lt;/span&gt;ds i&lt;span class="_ _7"&gt;&lt;/span&gt;n oth&lt;span class="_ _7"&gt;&lt;/span&gt;er p&lt;span class="_ _7"&gt;&lt;/span&gt;ar&lt;span class="_ _7"&gt;&lt;/span&gt;t&lt;span class="_ _7"&gt;&lt;/span&gt;s of Volvo C&lt;span class="_ _7"&gt;&lt;/span&gt;ar&lt;span class="_ _7"&gt;&lt;/span&gt;s&lt;span class="_ _7"&gt;&lt;/span&gt;, &lt;/span&gt;&lt;span style="display:inherit;clear:left;"&gt;how&lt;span class="_ _7"&gt;&lt;/span&gt;ever t&lt;span class="_ _7"&gt;&lt;/span&gt;he&lt;span class="_ _7"&gt;&lt;/span&gt;re i&lt;span class="_ _7"&gt;&lt;/span&gt;s nor&lt;span class="_ _7"&gt;&lt;/span&gt;m&lt;span class="_ _7"&gt;&lt;/span&gt;ally n&lt;span class="_ _7"&gt;&lt;/span&gt;o lim&lt;span class="_ _7"&gt;&lt;/span&gt;it&lt;span class="_ _7"&gt;&lt;/span&gt;ati&lt;span class="_ _7"&gt;&lt;/span&gt;on f&lt;span class="_ _7"&gt;&lt;/span&gt;or th&lt;span class="_ _7"&gt;&lt;/span&gt;ei&lt;span class="_ _7"&gt;&lt;/span&gt;r us&lt;span class="_ _7"&gt;&lt;/span&gt;e in th&lt;span class="_ _7"&gt;&lt;/span&gt;e Gr&lt;span class="_ _7"&gt;&lt;/span&gt;oup&lt;span class="_ _7"&gt;&lt;/span&gt;’s &lt;/span&gt;&lt;span style="display:inherit;clear:left;"&gt;operation in&lt;span class="_ _2"&gt;&lt;/span&gt; the respective country&lt;span class="_ _2"&gt;&lt;/span&gt;.&lt;/span&gt;&lt;span style="display:inherit;clear:left;"&gt;For in&lt;span class="_ _7"&gt;&lt;/span&gt;fo&lt;span class="_ _7"&gt;&lt;/span&gt;rm&lt;span class="_ _7"&gt;&lt;/span&gt;ati&lt;span class="_ _7"&gt;&lt;/span&gt;on o&lt;span class="_ _7"&gt;&lt;/span&gt;n fi&lt;span class="_ _7"&gt;&lt;/span&gt;na&lt;span class="_ _7"&gt;&lt;/span&gt;nci&lt;span class="_ _7"&gt;&lt;/span&gt;al i&lt;span class="_ _7"&gt;&lt;/span&gt;ns&lt;span class="_ _7"&gt;&lt;/span&gt;tr&lt;span class="_ _7"&gt;&lt;/span&gt;ume&lt;span class="_ _7"&gt;&lt;/span&gt;nt c&lt;span class="_ _7"&gt;&lt;/span&gt;ate&lt;span class="_ _7"&gt;&lt;/span&gt;gor&lt;span class="_ _7"&gt;&lt;/span&gt;ie&lt;span class="_ _7"&gt;&lt;/span&gt;s an&lt;span class="_ _7"&gt;&lt;/span&gt;d fa&lt;span class="_ _7"&gt;&lt;/span&gt;ir v&lt;span class="_ _7"&gt;&lt;/span&gt;alu&lt;span class="_ _7"&gt;&lt;/span&gt;es &lt;/span&gt;&lt;span style="display:inherit;clear:left;"&gt;se&lt;span class="_ _7"&gt;&lt;/span&gt;e No&lt;span class="_ _7"&gt;&lt;/span&gt;te 19 –  Fin&lt;span class="_ _7"&gt;&lt;/span&gt;an&lt;span class="_ _7"&gt;&lt;/span&gt;cia&lt;span class="_ _7"&gt;&lt;/span&gt;l in&lt;span class="_ _7"&gt;&lt;/span&gt;st&lt;span class="_ _7"&gt;&lt;/span&gt;ru&lt;span class="_ _7"&gt;&lt;/span&gt;me&lt;span class="_ _7"&gt;&lt;/span&gt;nt&lt;span class="_ _7"&gt;&lt;/span&gt;s and f&lt;span class="_ _7"&gt;&lt;/span&gt;in&lt;span class="_ _7"&gt;&lt;/span&gt;an&lt;span class="_ _7"&gt;&lt;/span&gt;ci&lt;span class="_ _7"&gt;&lt;/span&gt;al ri&lt;span class="_ _7"&gt;&lt;/span&gt;sk&lt;span class="_ _7"&gt;&lt;/span&gt;s&lt;span class="_ _7"&gt;&lt;/span&gt;.&lt;/span&gt;</t>
  </si>
  <si>
    <t>f1__s8__6__243</t>
  </si>
  <si>
    <t>ifrs-full:DisclosureOfShareCapitalReservesAndOtherEquityInterestExplanatory</t>
  </si>
  <si>
    <t>&lt;span style="display:inherit;clear:left;"&gt;NOT&lt;span class="_ _7"&gt;&lt;/span&gt;E 21&lt;/span&gt;&lt;span style="display:inherit;clear:left;"&gt;EQU&lt;span class="_ _7"&gt;&lt;/span&gt;I&lt;span class="_ _7"&gt;&lt;/span&gt;T&lt;span class="_ _7"&gt;&lt;/span&gt;Y&lt;/span&gt;&lt;span style="display:inherit;clear:left;"&gt;ACCOUNTING&lt;span class="_ _2"&gt;&lt;/span&gt; POLICIES&lt;/span&gt;&lt;span style="display:inherit;clear:left;"&gt;Share-based pa&lt;span class="_ _2"&gt;&lt;/span&gt;yments&lt;/span&gt;&lt;span style="display:inherit;clear:left;"&gt;Equi&lt;span class="_ _7"&gt;&lt;/span&gt;t&lt;span class="_ _7"&gt;&lt;/span&gt;y-se&lt;span class="_ _7"&gt;&lt;/span&gt;t&lt;span class="_ _7"&gt;&lt;/span&gt;tle&lt;span class="_ _7"&gt;&lt;/span&gt;d sh&lt;span class="_ _7"&gt;&lt;/span&gt;ar&lt;span class="_ _7"&gt;&lt;/span&gt;e-bas&lt;span class="_ _7"&gt;&lt;/span&gt;e&lt;span class="_ _7"&gt;&lt;/span&gt;d pay&lt;span class="_ _7"&gt;&lt;/span&gt;me&lt;span class="_ _7"&gt;&lt;/span&gt;nt&lt;span class="_ _7"&gt;&lt;/span&gt;s in c&lt;span class="_ _7"&gt;&lt;/span&gt;onn&lt;span class="_ _7"&gt;&lt;/span&gt;ec&lt;span class="_ _7"&gt;&lt;/span&gt;ti&lt;span class="_ _7"&gt;&lt;/span&gt;on w&lt;span class="_ _7"&gt;&lt;/span&gt;ith e&lt;span class="_ _7"&gt;&lt;/span&gt;mp&lt;span class="_ _7"&gt;&lt;/span&gt;loye&lt;span class="_ _7"&gt;&lt;/span&gt;e &lt;/span&gt;&lt;span style="display:inherit;clear:left;"&gt;inc&lt;span class="_ _7"&gt;&lt;/span&gt;en&lt;span class="_ _7"&gt;&lt;/span&gt;tiv&lt;span class="_ _7"&gt;&lt;/span&gt;e pl&lt;span class="_ _7"&gt;&lt;/span&gt;an&lt;span class="_ _7"&gt;&lt;/span&gt;s are r&lt;span class="_ _7"&gt;&lt;/span&gt;ec&lt;span class="_ _7"&gt;&lt;/span&gt;og&lt;span class="_ _7"&gt;&lt;/span&gt;ni&lt;span class="_ _7"&gt;&lt;/span&gt;se&lt;span class="_ _7"&gt;&lt;/span&gt;d in e&lt;span class="_ _7"&gt;&lt;/span&gt;qu&lt;span class="_ _7"&gt;&lt;/span&gt;it&lt;span class="_ _7"&gt;&lt;/span&gt;y an&lt;span class="_ _7"&gt;&lt;/span&gt;d s&lt;span class="_ _7"&gt;&lt;/span&gt;et&lt;span class="_ _7"&gt;&lt;/span&gt;tle&lt;span class="_ _7"&gt;&lt;/span&gt;d us&lt;span class="_ _7"&gt;&lt;/span&gt;in&lt;span class="_ _7"&gt;&lt;/span&gt;g tre&lt;span class="_ _7"&gt;&lt;/span&gt;as&lt;span class="_ _7"&gt;&lt;/span&gt;ur&lt;span class="_ _7"&gt;&lt;/span&gt;y &lt;/span&gt;&lt;span style="display:inherit;clear:left;"&gt;sh&lt;span class="_ _7"&gt;&lt;/span&gt;are&lt;span class="_ _7"&gt;&lt;/span&gt;s&lt;span class="_ _7"&gt;&lt;/span&gt;. Se&lt;span class="_ _7"&gt;&lt;/span&gt;e No&lt;span class="_ _7"&gt;&lt;/span&gt;te 9 – Sh&lt;span class="_ _7"&gt;&lt;/span&gt;ar&lt;span class="_ _7"&gt;&lt;/span&gt;e-bas&lt;span class="_ _7"&gt;&lt;/span&gt;e&lt;span class="_ _7"&gt;&lt;/span&gt;d rem&lt;span class="_ _7"&gt;&lt;/span&gt;un&lt;span class="_ _7"&gt;&lt;/span&gt;er&lt;span class="_ _7"&gt;&lt;/span&gt;ati&lt;span class="_ _7"&gt;&lt;/span&gt;on&lt;span class="_ _7"&gt;&lt;/span&gt;.&lt;span class="fc9"&gt; &lt;/span&gt;&lt;/span&gt;&lt;span style="display:inherit;clear:left;"&gt;Group contributions and unconditional shareholders’ &lt;/span&gt;&lt;span style="display:inherit;clear:left;"&gt;contributions&lt;/span&gt;&lt;span style="display:inherit;clear:left;"&gt;Di&lt;span class="_ _7"&gt;&lt;/span&gt;st&lt;span class="_ _7"&gt;&lt;/span&gt;ri&lt;span class="_ _7"&gt;&lt;/span&gt;but&lt;span class="_ _7"&gt;&lt;/span&gt;ed g&lt;span class="_ _7"&gt;&lt;/span&gt;ro&lt;span class="_ _7"&gt;&lt;/span&gt;up co&lt;span class="_ _7"&gt;&lt;/span&gt;ntr&lt;span class="_ _7"&gt;&lt;/span&gt;ib&lt;span class="_ _7"&gt;&lt;/span&gt;ut&lt;span class="_ _7"&gt;&lt;/span&gt;ion&lt;span class="_ _7"&gt;&lt;/span&gt;s to th&lt;span class="_ _7"&gt;&lt;/span&gt;e ma&lt;span class="_ _7"&gt;&lt;/span&gt;in ow&lt;span class="_ _7"&gt;&lt;/span&gt;ne&lt;span class="_ _7"&gt;&lt;/span&gt;r are r&lt;span class="_ _7"&gt;&lt;/span&gt;ec&lt;span class="_ _7"&gt;&lt;/span&gt;or&lt;span class="_ _7"&gt;&lt;/span&gt;de&lt;span class="_ _7"&gt;&lt;/span&gt;d in &lt;/span&gt;&lt;span style="display:inherit;clear:left;"&gt;eq&lt;span class="_ _7"&gt;&lt;/span&gt;uit&lt;span class="_ _7"&gt;&lt;/span&gt;y, alo&lt;span class="_ _7"&gt;&lt;/span&gt;ng wi&lt;span class="_ _7"&gt;&lt;/span&gt;th th&lt;span class="_ _7"&gt;&lt;/span&gt;e ta&lt;span class="_ _7"&gt;&lt;/span&gt;x e&lt;span class="_ _7"&gt;&lt;/span&gt;f&lt;span class="_ _7"&gt;&lt;/span&gt;fe&lt;span class="_ _7"&gt;&lt;/span&gt;c&lt;span class="_ _7"&gt;&lt;/span&gt;t. Gr&lt;span class="_ _7"&gt;&lt;/span&gt;ou&lt;span class="_ _7"&gt;&lt;/span&gt;p co&lt;span class="_ _7"&gt;&lt;/span&gt;ntr&lt;span class="_ _7"&gt;&lt;/span&gt;ib&lt;span class="_ _7"&gt;&lt;/span&gt;uti&lt;span class="_ _7"&gt;&lt;/span&gt;on&lt;span class="_ _7"&gt;&lt;/span&gt;s re&lt;span class="_ _7"&gt;&lt;/span&gt;ce&lt;span class="_ _7"&gt;&lt;/span&gt;ive&lt;span class="_ _7"&gt;&lt;/span&gt;d fr&lt;span class="_ _7"&gt;&lt;/span&gt;om &lt;/span&gt;&lt;span style="display:inherit;clear:left;"&gt;the m&lt;span class="_ _7"&gt;&lt;/span&gt;ai&lt;span class="_ _7"&gt;&lt;/span&gt;n own&lt;span class="_ _7"&gt;&lt;/span&gt;er a&lt;span class="_ _7"&gt;&lt;/span&gt;nd th&lt;span class="_ _7"&gt;&lt;/span&gt;e ta&lt;span class="_ _7"&gt;&lt;/span&gt;x e&lt;span class="_ _7"&gt;&lt;/span&gt;f&lt;span class="_ _7"&gt;&lt;/span&gt;fe&lt;span class="_ _7"&gt;&lt;/span&gt;ct o&lt;span class="_ _7"&gt;&lt;/span&gt;n th&lt;span class="_ _7"&gt;&lt;/span&gt;es&lt;span class="_ _7"&gt;&lt;/span&gt;e co&lt;span class="_ _7"&gt;&lt;/span&gt;nt&lt;span class="_ _7"&gt;&lt;/span&gt;rib&lt;span class="_ _7"&gt;&lt;/span&gt;ut&lt;span class="_ _7"&gt;&lt;/span&gt;ion&lt;span class="_ _7"&gt;&lt;/span&gt;s ar&lt;span class="_ _7"&gt;&lt;/span&gt;e re&lt;span class="_ _7"&gt;&lt;/span&gt;cog-&lt;/span&gt;&lt;span style="display:inherit;clear:left;"&gt;nised in equity in&lt;span class="_ _2"&gt;&lt;/span&gt; accordance with the&lt;span class="_ _2"&gt;&lt;/span&gt; principles for sharehol&lt;span class="_ _2"&gt;&lt;/span&gt;der&lt;span class="_ _7"&gt;&lt;/span&gt;s’ &lt;/span&gt;&lt;span style="display:inherit;clear:left;"&gt;contributions. &lt;/span&gt;&lt;span style="display:inherit;clear:left;"&gt;Unconditional shareholders’&lt;span class="_ _2"&gt;&lt;/span&gt; contributions received from&lt;span class="_ _2"&gt;&lt;/span&gt; the main &lt;/span&gt;&lt;span style="display:inherit;clear:left;"&gt;&lt;span&gt;&lt;span style="display:inherit;clear:left;"&gt;own&lt;span class="_ _7"&gt;&lt;/span&gt;er a&lt;span class="_ _7"&gt;&lt;/span&gt;re re&lt;span class="_ _7"&gt;&lt;/span&gt;co&lt;span class="_ _7"&gt;&lt;/span&gt;gn&lt;span class="_ _7"&gt;&lt;/span&gt;is&lt;span class="_ _7"&gt;&lt;/span&gt;ed i&lt;span class="_ _7"&gt;&lt;/span&gt;n eq&lt;span class="_ _7"&gt;&lt;/span&gt;ui&lt;span class="_ _7"&gt;&lt;/span&gt;t&lt;span class="_ _7"&gt;&lt;/span&gt;y.&lt;/span&gt;&lt;/span&gt;&lt;span&gt;&lt;span style="display:inherit;clear:left;"&gt; &lt;/span&gt;&lt;/span&gt;&lt;/span&gt;&lt;span style="display:inherit;clear:left;"&gt;Th&lt;span class="_ _7"&gt;&lt;/span&gt;e sh&lt;span class="_ _7"&gt;&lt;/span&gt;are c&lt;span class="_ _7"&gt;&lt;/span&gt;a&lt;span class="_ _7"&gt;&lt;/span&gt;pit&lt;span class="_ _7"&gt;&lt;/span&gt;al &lt;span class="ffa3"&gt;c&lt;span class="_ _7"&gt;&lt;/span&gt;on&lt;span class="_ _7"&gt;&lt;/span&gt;si&lt;span class="_ _7"&gt;&lt;/span&gt;s&lt;span class="_ _7"&gt;&lt;/span&gt;ts o&lt;span class="_ _7"&gt;&lt;/span&gt;f 2,&lt;span class="_ _7"&gt;&lt;/span&gt;979,524,1&lt;span class="_ _2"&gt;&lt;/span&gt;79 c&lt;span class="_ _7"&gt;&lt;/span&gt;om&lt;span class="_ _7"&gt;&lt;/span&gt;mo&lt;span class="_ _7"&gt;&lt;/span&gt;n sh&lt;span class="_ _7"&gt;&lt;/span&gt;are&lt;span class="_ _7"&gt;&lt;/span&gt;s o&lt;span class="_ _7"&gt;&lt;/span&gt;f &lt;/span&gt;&lt;/span&gt;&lt;span style="display:inherit;clear:left;"&gt;cl&lt;span class="_ _7"&gt;&lt;/span&gt;as&lt;span class="_ _7"&gt;&lt;/span&gt;s B&lt;span class="_ _7"&gt;&lt;/span&gt;. Ea&lt;span class="_ _7"&gt;&lt;/span&gt;ch sh&lt;span class="_ _7"&gt;&lt;/span&gt;ar&lt;span class="_ _7"&gt;&lt;/span&gt;e ca&lt;span class="_ _7"&gt;&lt;/span&gt;rr&lt;span class="_ _7"&gt;&lt;/span&gt;ie&lt;span class="_ _7"&gt;&lt;/span&gt;s on&lt;span class="_ _7"&gt;&lt;/span&gt;e vote&lt;span class="_ _7"&gt;&lt;/span&gt;. A co&lt;span class="_ _7"&gt;&lt;/span&gt;mm&lt;span class="_ _7"&gt;&lt;/span&gt;on s&lt;span class="_ _7"&gt;&lt;/span&gt;har&lt;span class="_ _7"&gt;&lt;/span&gt;e of c&lt;span class="_ _7"&gt;&lt;/span&gt;la&lt;span class="_ _7"&gt;&lt;/span&gt;s&lt;span class="_ _7"&gt;&lt;/span&gt;s B &lt;/span&gt;&lt;span style="display:inherit;clear:left;"&gt;entitles&lt;span class="_ _2"&gt;&lt;/span&gt; it&lt;span class="_ _7"&gt;&lt;/span&gt;s holder&lt;span class="_ _2"&gt;&lt;/span&gt; to dividend as det&lt;span class="_ _2"&gt;&lt;/span&gt;ermined by the&lt;span class="_ _2"&gt;&lt;/span&gt; shareholders &lt;/span&gt;&lt;span style="display:inherit;clear:left;"&gt;me&lt;span class="_ _7"&gt;&lt;/span&gt;eti&lt;span class="_ _7"&gt;&lt;/span&gt;ng. Al&lt;span class="_ _7"&gt;&lt;/span&gt;l is&lt;span class="_ _7"&gt;&lt;/span&gt;s&lt;span class="_ _7"&gt;&lt;/span&gt;ue&lt;span class="_ _7"&gt;&lt;/span&gt;d sh&lt;span class="_ _7"&gt;&lt;/span&gt;ar&lt;span class="_ _7"&gt;&lt;/span&gt;es a&lt;span class="_ _7"&gt;&lt;/span&gt;re f&lt;span class="_ _7"&gt;&lt;/span&gt;ully p&lt;span class="_ _7"&gt;&lt;/span&gt;ai&lt;span class="_ _7"&gt;&lt;/span&gt;d. At 31 D&lt;span class="_ _7"&gt;&lt;/span&gt;ec&lt;span class="_ _7"&gt;&lt;/span&gt;emb&lt;span class="_ _7"&gt;&lt;/span&gt;er 2025, &lt;/span&gt;&lt;span style="display:inherit;clear:left;"&gt;Volvo Ca&lt;span class="_ _7"&gt;&lt;/span&gt;r Gro&lt;span class="_ _7"&gt;&lt;/span&gt;up h&lt;span class="_ _7"&gt;&lt;/span&gt;old&lt;span class="_ _7"&gt;&lt;/span&gt;s 14,&lt;span class="_ _7"&gt;&lt;/span&gt;894&lt;span class="_ _7"&gt;&lt;/span&gt;,8&lt;span class="_ _7"&gt;&lt;/span&gt;38&lt;span class="fc9"&gt; &lt;/span&gt;(5,020,&lt;span class="_ _2"&gt;&lt;/span&gt;19&lt;span class="_ _7"&gt;&lt;/span&gt;4) own cl&lt;span class="_ _7"&gt;&lt;/span&gt;as&lt;span class="_ _7"&gt;&lt;/span&gt;s B s&lt;span class="_ _7"&gt;&lt;/span&gt;ha&lt;span class="_ _7"&gt;&lt;/span&gt;re&lt;span class="_ _7"&gt;&lt;/span&gt;s&lt;span class="_ _7"&gt;&lt;/span&gt;.&lt;/span&gt;&lt;span style="display:inherit;clear:left;"&gt;In 2024, Volvo C&lt;span class="_ _7"&gt;&lt;/span&gt;ar AB (&lt;span class="_ _7"&gt;&lt;/span&gt;pub&lt;span class="_ _7"&gt;&lt;/span&gt;l&lt;span class="_ _7"&gt;&lt;/span&gt;.) dis&lt;span class="_ _7"&gt;&lt;/span&gt;t&lt;span class="_ _7"&gt;&lt;/span&gt;rib&lt;span class="_ _7"&gt;&lt;/span&gt;ute&lt;span class="_ _7"&gt;&lt;/span&gt;d 62&lt;span class="_ _7"&gt;&lt;/span&gt;.7 per ce&lt;span class="_ _7"&gt;&lt;/span&gt;nt of Volvo &lt;/span&gt;&lt;span style="display:inherit;clear:left;"&gt;Ca&lt;span class="_ _7"&gt;&lt;/span&gt;rs’ s&lt;span class="_ _7"&gt;&lt;/span&gt;h&lt;span class="_ _7"&gt;&lt;/span&gt;are&lt;span class="_ _7"&gt;&lt;/span&gt;ho&lt;span class="_ _7"&gt;&lt;/span&gt;ldi&lt;span class="_ _7"&gt;&lt;/span&gt;ng in P&lt;span class="_ _7"&gt;&lt;/span&gt;ole&lt;span class="_ _7"&gt;&lt;/span&gt;s&lt;span class="_ _7"&gt;&lt;/span&gt;ta&lt;span class="_ _7"&gt;&lt;/span&gt;r Auto&lt;span class="_ _7"&gt;&lt;/span&gt;mo&lt;span class="_ _7"&gt;&lt;/span&gt;tiv&lt;span class="_ _7"&gt;&lt;/span&gt;e Hol&lt;span class="_ _7"&gt;&lt;/span&gt;din&lt;span class="_ _7"&gt;&lt;/span&gt;g UK PLC to Volvo &lt;/span&gt;&lt;span style="display:inherit;clear:left;"&gt;Ca&lt;span class="_ _7"&gt;&lt;/span&gt;rs’ s&lt;span class="_ _7"&gt;&lt;/span&gt;h&lt;span class="_ _7"&gt;&lt;/span&gt;are&lt;span class="_ _7"&gt;&lt;/span&gt;ho&lt;span class="_ _7"&gt;&lt;/span&gt;lde&lt;span class="_ _7"&gt;&lt;/span&gt;r&lt;span class="_ _7"&gt;&lt;/span&gt;s by way o&lt;span class="_ _7"&gt;&lt;/span&gt;f a sh&lt;span class="_ _7"&gt;&lt;/span&gt;ar&lt;span class="_ _7"&gt;&lt;/span&gt;e sp&lt;span class="_ _7"&gt;&lt;/span&gt;lit (2:&lt;span class="_ _7"&gt;&lt;/span&gt;1), a redu&lt;span class="_ _7"&gt;&lt;/span&gt;cti&lt;span class="_ _7"&gt;&lt;/span&gt;on o&lt;span class="_ _7"&gt;&lt;/span&gt;f th&lt;span class="_ _7"&gt;&lt;/span&gt;e &lt;/span&gt;&lt;span style="display:inherit;clear:left;"&gt;sh&lt;span class="_ _7"&gt;&lt;/span&gt;are c&lt;span class="_ _7"&gt;&lt;/span&gt;ap&lt;span class="_ _7"&gt;&lt;/span&gt;it&lt;span class="_ _7"&gt;&lt;/span&gt;al t&lt;span class="_ _7"&gt;&lt;/span&gt;hro&lt;span class="_ _7"&gt;&lt;/span&gt;ug&lt;span class="_ _7"&gt;&lt;/span&gt;h re&lt;span class="_ _7"&gt;&lt;/span&gt;dem&lt;span class="_ _7"&gt;&lt;/span&gt;pti&lt;span class="_ _7"&gt;&lt;/span&gt;on o&lt;span class="_ _7"&gt;&lt;/span&gt;f sh&lt;span class="_ _7"&gt;&lt;/span&gt;ar&lt;span class="_ _7"&gt;&lt;/span&gt;es&lt;span class="_ _7"&gt;&lt;/span&gt;, an&lt;span class="_ _7"&gt;&lt;/span&gt;d an i&lt;span class="_ _7"&gt;&lt;/span&gt;ncr&lt;span class="_ _7"&gt;&lt;/span&gt;ea&lt;span class="_ _7"&gt;&lt;/span&gt;s&lt;span class="_ _7"&gt;&lt;/span&gt;e of th&lt;span class="_ _7"&gt;&lt;/span&gt;e &lt;/span&gt;&lt;span style="display:inherit;clear:left;"&gt;sh&lt;span class="_ _7"&gt;&lt;/span&gt;are c&lt;span class="_ _7"&gt;&lt;/span&gt;ap&lt;span class="_ _7"&gt;&lt;/span&gt;it&lt;span class="_ _7"&gt;&lt;/span&gt;al t&lt;span class="_ _7"&gt;&lt;/span&gt;hro&lt;span class="_ _7"&gt;&lt;/span&gt;ug&lt;span class="_ _7"&gt;&lt;/span&gt;h a bo&lt;span class="_ _7"&gt;&lt;/span&gt;nus i&lt;span class="_ _7"&gt;&lt;/span&gt;s&lt;span class="_ _7"&gt;&lt;/span&gt;s&lt;span class="_ _7"&gt;&lt;/span&gt;ue wi&lt;span class="_ _7"&gt;&lt;/span&gt;th&lt;span class="_ _7"&gt;&lt;/span&gt;out i&lt;span class="_ _7"&gt;&lt;/span&gt;s&lt;span class="_ _7"&gt;&lt;/span&gt;su&lt;span class="_ _7"&gt;&lt;/span&gt;an&lt;span class="_ _7"&gt;&lt;/span&gt;ce o&lt;span class="_ _7"&gt;&lt;/span&gt;f new s&lt;span class="_ _7"&gt;&lt;/span&gt;h&lt;span class="_ _7"&gt;&lt;/span&gt;are&lt;span class="_ _7"&gt;&lt;/span&gt;s&lt;span class="_ _7"&gt;&lt;/span&gt;. &lt;/span&gt;&lt;span style="display:inherit;clear:left;"&gt;Du&lt;span class="_ _7"&gt;&lt;/span&gt;e to the o&lt;span class="_ _7"&gt;&lt;/span&gt;wn&lt;span class="_ _7"&gt;&lt;/span&gt;er&lt;span class="_ _7"&gt;&lt;/span&gt;sh&lt;span class="_ _7"&gt;&lt;/span&gt;ip s&lt;span class="_ _7"&gt;&lt;/span&gt;tr&lt;span class="_ _7"&gt;&lt;/span&gt;uc&lt;span class="_ _7"&gt;&lt;/span&gt;tur&lt;span class="_ _7"&gt;&lt;/span&gt;e of Volvo C&lt;span class="_ _7"&gt;&lt;/span&gt;ar G&lt;span class="_ _7"&gt;&lt;/span&gt;rou&lt;span class="_ _7"&gt;&lt;/span&gt;p, th&lt;span class="_ _7"&gt;&lt;/span&gt;e di&lt;span class="_ _7"&gt;&lt;/span&gt;s&lt;span class="_ _7"&gt;&lt;/span&gt;tri&lt;span class="_ _7"&gt;&lt;/span&gt;bu&lt;span class="_ _7"&gt;&lt;/span&gt;tio&lt;span class="_ _7"&gt;&lt;/span&gt;n &lt;/span&gt;&lt;span style="display:inherit;clear:left;"&gt;of s&lt;span class="_ _7"&gt;&lt;/span&gt;har&lt;span class="_ _7"&gt;&lt;/span&gt;e&lt;span class="_ _7"&gt;&lt;/span&gt;s was a c&lt;span class="_ _7"&gt;&lt;/span&gt;om&lt;span class="_ _7"&gt;&lt;/span&gt;mo&lt;span class="_ _7"&gt;&lt;/span&gt;n con&lt;span class="_ _7"&gt;&lt;/span&gt;tro&lt;span class="_ _7"&gt;&lt;/span&gt;l tr&lt;span class="_ _7"&gt;&lt;/span&gt;an&lt;span class="_ _7"&gt;&lt;/span&gt;s&lt;span class="_ _7"&gt;&lt;/span&gt;ac&lt;span class="_ _7"&gt;&lt;/span&gt;tio&lt;span class="_ _7"&gt;&lt;/span&gt;n. C&lt;span class="_ _7"&gt;&lt;/span&gt;on&lt;span class="_ _7"&gt;&lt;/span&gt;s&lt;span class="_ _7"&gt;&lt;/span&gt;eq&lt;span class="_ _7"&gt;&lt;/span&gt;uen&lt;span class="_ _7"&gt;&lt;/span&gt;tly, the  &lt;/span&gt;&lt;span style="display:inherit;clear:left;"&gt;di&lt;span class="_ _7"&gt;&lt;/span&gt;st&lt;span class="_ _7"&gt;&lt;/span&gt;rib&lt;span class="_ _7"&gt;&lt;/span&gt;ut&lt;span class="_ _7"&gt;&lt;/span&gt;ion h&lt;span class="_ _7"&gt;&lt;/span&gt;as b&lt;span class="_ _7"&gt;&lt;/span&gt;e&lt;span class="_ _7"&gt;&lt;/span&gt;en ac&lt;span class="_ _7"&gt;&lt;/span&gt;co&lt;span class="_ _7"&gt;&lt;/span&gt;unt&lt;span class="_ _7"&gt;&lt;/span&gt;ed fo&lt;span class="_ _7"&gt;&lt;/span&gt;r at c&lt;span class="_ _7"&gt;&lt;/span&gt;ar&lt;span class="_ _7"&gt;&lt;/span&gt;r&lt;span class="_ _7"&gt;&lt;/span&gt;y&lt;span class="_ _7"&gt;&lt;/span&gt;ing v&lt;span class="_ _7"&gt;&lt;/span&gt;alue&lt;span class="_ _7"&gt;&lt;/span&gt;s&lt;span class="_ _7"&gt;&lt;/span&gt;, in&lt;span class="_ _7"&gt;&lt;/span&gt;clu&lt;span class="_ _7"&gt;&lt;/span&gt;di&lt;span class="_ _7"&gt;&lt;/span&gt;ng &lt;/span&gt;&lt;span style="display:inherit;clear:left;"&gt;tr&lt;span class="_ _7"&gt;&lt;/span&gt;ans&lt;span class="_ _7"&gt;&lt;/span&gt;a&lt;span class="_ _7"&gt;&lt;/span&gt;cti&lt;span class="_ _7"&gt;&lt;/span&gt;on c&lt;span class="_ _7"&gt;&lt;/span&gt;os&lt;span class="_ _7"&gt;&lt;/span&gt;t&lt;span class="_ _7"&gt;&lt;/span&gt;s re&lt;span class="_ _7"&gt;&lt;/span&gt;co&lt;span class="_ _7"&gt;&lt;/span&gt;gni&lt;span class="_ _7"&gt;&lt;/span&gt;s&lt;span class="_ _7"&gt;&lt;/span&gt;ed d&lt;span class="_ _7"&gt;&lt;/span&gt;ire&lt;span class="_ _7"&gt;&lt;/span&gt;ct&lt;span class="_ _7"&gt;&lt;/span&gt;ly in e&lt;span class="_ _7"&gt;&lt;/span&gt;qu&lt;span class="_ _7"&gt;&lt;/span&gt;it&lt;span class="_ _7"&gt;&lt;/span&gt;y. &lt;/span&gt;&lt;span style="display:inherit;clear:left;"&gt;Du&lt;span class="_ _7"&gt;&lt;/span&gt;rin&lt;span class="_ _7"&gt;&lt;/span&gt;g Ap&lt;span class="_ _7"&gt;&lt;/span&gt;ril 2024, t&lt;span class="_ _7"&gt;&lt;/span&gt;he s&lt;span class="_ _7"&gt;&lt;/span&gt;ha&lt;span class="_ _7"&gt;&lt;/span&gt;re sp&lt;span class="_ _7"&gt;&lt;/span&gt;li&lt;span class="_ _7"&gt;&lt;/span&gt;t tem&lt;span class="_ _7"&gt;&lt;/span&gt;po&lt;span class="_ _7"&gt;&lt;/span&gt;ra&lt;span class="_ _7"&gt;&lt;/span&gt;ril&lt;span class="_ _7"&gt;&lt;/span&gt;y inc&lt;span class="_ _7"&gt;&lt;/span&gt;re&lt;span class="_ _7"&gt;&lt;/span&gt;as&lt;span class="_ _7"&gt;&lt;/span&gt;ed t&lt;span class="_ _7"&gt;&lt;/span&gt;he nu&lt;span class="_ _7"&gt;&lt;/span&gt;mb&lt;span class="_ _7"&gt;&lt;/span&gt;er &lt;/span&gt;&lt;span style="display:inherit;clear:left;"&gt;of s&lt;span class="_ _7"&gt;&lt;/span&gt;har&lt;span class="_ _7"&gt;&lt;/span&gt;e&lt;span class="_ _7"&gt;&lt;/span&gt;s and v&lt;span class="_ _7"&gt;&lt;/span&gt;ote&lt;span class="_ _7"&gt;&lt;/span&gt;s by 2,&lt;span class="_ _7"&gt;&lt;/span&gt;979,524,179, to 5,959,04&lt;span class="_ _7"&gt;&lt;/span&gt;8,&lt;span class="_ _7"&gt;&lt;/span&gt;358&lt;span class="_ _7"&gt;&lt;/span&gt;. In M&lt;span class="_ _7"&gt;&lt;/span&gt;ay &lt;/span&gt;&lt;span style="display:inherit;clear:left;"&gt;2024, the 2&lt;span class="_ _7"&gt;&lt;/span&gt;,979,524&lt;span class="_ _7"&gt;&lt;/span&gt;,&lt;span class="_ _2"&gt;&lt;/span&gt;179 ne&lt;span class="_ _7"&gt;&lt;/span&gt;w re&lt;span class="_ _7"&gt;&lt;/span&gt;dem&lt;span class="_ _7"&gt;&lt;/span&gt;pti&lt;span class="_ _7"&gt;&lt;/span&gt;on s&lt;span class="_ _7"&gt;&lt;/span&gt;ha&lt;span class="_ _7"&gt;&lt;/span&gt;re&lt;span class="_ _7"&gt;&lt;/span&gt;s of c&lt;span class="_ _7"&gt;&lt;/span&gt;la&lt;span class="_ _7"&gt;&lt;/span&gt;s&lt;span class="_ _7"&gt;&lt;/span&gt;s B wer&lt;span class="_ _7"&gt;&lt;/span&gt;e &lt;/span&gt;&lt;span style="display:inherit;clear:left;"&gt;redeemed as part of t&lt;span class="_ _2"&gt;&lt;/span&gt;he automatic&lt;span class="_ _2"&gt;&lt;/span&gt; share redemption. Thereafter&lt;span class="_ _2"&gt;&lt;/span&gt;, &lt;/span&gt;&lt;span style="display:inherit;clear:left;"&gt;the to&lt;span class="_ _7"&gt;&lt;/span&gt;ta&lt;span class="_ _7"&gt;&lt;/span&gt;l nu&lt;span class="_ _7"&gt;&lt;/span&gt;mbe&lt;span class="_ _7"&gt;&lt;/span&gt;r of s&lt;span class="_ _7"&gt;&lt;/span&gt;ha&lt;span class="_ _7"&gt;&lt;/span&gt;re&lt;span class="_ _7"&gt;&lt;/span&gt;s an&lt;span class="_ _7"&gt;&lt;/span&gt;d vote&lt;span class="_ _7"&gt;&lt;/span&gt;s am&lt;span class="_ _7"&gt;&lt;/span&gt;ou&lt;span class="_ _7"&gt;&lt;/span&gt;nt&lt;span class="_ _7"&gt;&lt;/span&gt;s to 2,&lt;span class="_ _7"&gt;&lt;/span&gt;979,524,1&lt;span class="_ _2"&gt;&lt;/span&gt;79, &lt;/span&gt;&lt;span style="display:inherit;clear:left;"&gt;whi&lt;span class="_ _7"&gt;&lt;/span&gt;ch i&lt;span class="_ _7"&gt;&lt;/span&gt;s the s&lt;span class="_ _7"&gt;&lt;/span&gt;a&lt;span class="_ _7"&gt;&lt;/span&gt;me a&lt;span class="_ _7"&gt;&lt;/span&gt;s pri&lt;span class="_ _7"&gt;&lt;/span&gt;or to t&lt;span class="_ _7"&gt;&lt;/span&gt;he d&lt;span class="_ _7"&gt;&lt;/span&gt;is&lt;span class="_ _7"&gt;&lt;/span&gt;tr&lt;span class="_ _7"&gt;&lt;/span&gt;ib&lt;span class="_ _7"&gt;&lt;/span&gt;uti&lt;span class="_ _7"&gt;&lt;/span&gt;on&lt;span class="_ _7"&gt;&lt;/span&gt;. On 8 M&lt;span class="_ _7"&gt;&lt;/span&gt;ay 2024, th&lt;span class="_ _7"&gt;&lt;/span&gt;e &lt;/span&gt;&lt;span style="display:inherit;clear:left;"&gt;di&lt;span class="_ _7"&gt;&lt;/span&gt;st&lt;span class="_ _7"&gt;&lt;/span&gt;rib&lt;span class="_ _7"&gt;&lt;/span&gt;ut&lt;span class="_ _7"&gt;&lt;/span&gt;ion o&lt;span class="_ _7"&gt;&lt;/span&gt;f th&lt;span class="_ _7"&gt;&lt;/span&gt;e Pol&lt;span class="_ _7"&gt;&lt;/span&gt;es&lt;span class="_ _7"&gt;&lt;/span&gt;t&lt;span class="_ _7"&gt;&lt;/span&gt;ar s&lt;span class="_ _7"&gt;&lt;/span&gt;har&lt;span class="_ _7"&gt;&lt;/span&gt;e&lt;span class="_ _7"&gt;&lt;/span&gt;s was c&lt;span class="_ _7"&gt;&lt;/span&gt;om&lt;span class="_ _7"&gt;&lt;/span&gt;ple&lt;span class="_ _7"&gt;&lt;/span&gt;ted&lt;span class="_ _7"&gt;&lt;/span&gt;.&lt;span class="fc9"&gt; &lt;/span&gt;&lt;span class="lsc7 wsed"&gt;For further infor&lt;span class="_ _6"&gt;&lt;/span&gt;&lt;span class="ls3 ws3"&gt;-&lt;/span&gt;&lt;/span&gt;&lt;/span&gt;&lt;span style="display:inherit;clear:left;"&gt;mat&lt;span class="_ _7"&gt;&lt;/span&gt;io&lt;span class="_ _7"&gt;&lt;/span&gt;n, s&lt;span class="_ _7"&gt;&lt;/span&gt;ee N&lt;span class="_ _7"&gt;&lt;/span&gt;ote 12 – Inve&lt;span class="_ _7"&gt;&lt;/span&gt;s&lt;span class="_ _7"&gt;&lt;/span&gt;tm&lt;span class="_ _7"&gt;&lt;/span&gt;ent&lt;span class="_ _7"&gt;&lt;/span&gt;s in j&lt;span class="_ _7"&gt;&lt;/span&gt;oi&lt;span class="_ _7"&gt;&lt;/span&gt;nt ve&lt;span class="_ _7"&gt;&lt;/span&gt;ntu&lt;span class="_ _7"&gt;&lt;/span&gt;re&lt;span class="_ _7"&gt;&lt;/span&gt;s an&lt;span class="_ _7"&gt;&lt;/span&gt;d as&lt;span class="_ _7"&gt;&lt;/span&gt;s&lt;span class="_ _7"&gt;&lt;/span&gt;oci&lt;span class="_ _7"&gt;&lt;/span&gt;ate&lt;span class="_ _7"&gt;&lt;/span&gt;s&lt;span class="_ _7"&gt;&lt;/span&gt;.&lt;/span&gt;&lt;span style="display:inherit;clear:left;position:relative;height:135.556640625px;"&gt;&lt;span class="pp-font-color-override-1" style="position: absolute; display: inline-block; left: 0px; top: 0.0136718px; width: 135.393px; white-space: pre; word-spacing: -0.192px; letter-spacing: 0.192px; margin-left: 0px; font-size: 9.6px; font-family: ffa4; -webkit-text-stroke: 0.144px rgba(0, 0, 0, 0);"&gt;&lt;span style="display: inline-block;"&gt;Change in&lt;/span&gt;&lt;span style="word-spacing: -0.192px; letter-spacing: 0.192px; display: inline-block; margin-left: -0.684px; width: 0px; font-size: 9.6px; font-family: ffa4; -webkit-text-stroke: 0.144px rgba(0, 0, 0, 0);"&gt;&lt;/span&gt;&lt;span style="display: inline-block;"&gt; number of outstanding &lt;/span&gt;&lt;/span&gt;&lt;span class="pp-font-color-override-1" style="position: absolute; display: inline-block; left: 0px; top: 9.76953px; width: 321.902px; white-space: pre; word-spacing: -0.1824px; letter-spacing: 0.1824px; margin-left: 0px; font-size: 9.6px; font-family: ffa4; -webkit-text-stroke: 0.144px rgba(0, 0, 0, 0);"&gt;&lt;span style="display: inline-block;"&gt;shares&lt;/span&gt;&lt;span style="word-spacing: -0.1824px; letter-spacing: 0.1824px; display: inline-block; margin-left: 0px; width: 161.889px; font-size: 9.6px; font-family: ffa4; -webkit-text-stroke: 0.144px rgba(0, 0, 0, 0);"&gt;&lt;span style="display: inline-block;"&gt; &lt;/span&gt;&lt;/span&gt;&lt;span class="pp-font-color-override-1" style="word-spacing: 0px; letter-spacing: 0px; display: inline-block; margin-left: 0px; font-size: 9.6px; font-family: ffa4; -webkit-text-stroke: 0.144px rgba(0, 0, 0, 0);"&gt;&lt;span style="display: inline-block;"&gt;31 Dec 20&lt;/span&gt;&lt;span style="word-spacing: 0px; letter-spacing: 0px; display: inline-block; margin-left: 0px; width: 0.410156px; font-size: 9.6px; font-family: ffa4; -webkit-text-stroke: 0.144px rgba(0, 0, 0, 0);"&gt;&lt;/span&gt;&lt;span style="display: inline-block;"&gt;25&lt;/span&gt;&lt;span style="word-spacing: 0px; letter-spacing: 0px; display: inline-block; margin-left: 0px; width: 36.0176px; font-size: 9.6px; font-family: ffa4; -webkit-text-stroke: 0.144px rgba(0, 0, 0, 0);"&gt;&lt;span style="display: inline-block;"&gt; &lt;/span&gt;&lt;/span&gt;&lt;span class="pp-font-color-override-1" style="word-spacing: 0px; letter-spacing: 0px; display: inline-block;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2024&lt;/span&gt;&lt;/span&gt;&lt;/span&gt;&lt;/span&gt;&lt;span class="pp-font-color-override-1" style="position: absolute; display: inline-block; left: 0px; top: 32.1328px; width: 289.588px; white-space: pre; word-spacing: -0.168px; letter-spacing: 0.063px; margin-left: 0px; font-size: 10.5px; font-family: ffa4; -webkit-text-stroke: 0.1575px rgba(0, 0, 0, 0);"&gt;&lt;span style="display: inline-block;"&gt;Outst&lt;/span&gt;&lt;span style="word-spacing: -0.168px; letter-spacing: 0.063px; display: inline-block; margin-left: 0px; width: 0.410156px; font-size: 10.5px; font-family: ffa4; -webkit-text-stroke: 0.1575px rgba(0, 0, 0, 0);"&gt;&lt;/span&gt;&lt;span style="display: inline-block;"&gt;anding shares at 1&lt;/span&gt;&lt;span style="word-spacing: -0.168px; letter-spacing: 0.063px; display: inline-block; margin-left: -0.684px; width: 0px; font-size: 10.5px; font-family: ffa4; -webkit-text-stroke: 0.1575px rgba(0, 0, 0, 0);"&gt;&lt;/span&gt;&lt;span style="display: inline-block;"&gt; Januar&lt;/span&gt;&lt;span style="word-spacing: -0.168px; letter-spacing: 0.063px; display: inline-block; margin-left: 0px; width: 0.410156px; font-size: 10.5px; font-family: ffa4; -webkit-text-stroke: 0.1575px rgba(0, 0, 0, 0);"&gt;&lt;/span&gt;&lt;span style="display: inline-block;"&gt;y&lt;/span&gt;&lt;span style="word-spacing: -0.168px; letter-spacing: 0.063px; display: inline-block; margin-left: 0px; width: 10.1895px; font-size: 10.5px; font-family: ffa4; -webkit-text-stroke: 0.1575px rgba(0, 0, 0, 0);"&gt;&lt;span style="display: inline-block;"&gt; &lt;/span&gt;&lt;/span&gt;&lt;span class="pp-font-color-override-1" style="word-spacing: -0.3045px; letter-spacing: 0.3045px; display: inline-block; margin-left: 0px; font-size: 10.5px; font-family: ffa4; -webkit-text-stroke: 0.1575px rgba(0, 0, 0, 0);"&gt;&lt;span style="display: inline-block;"&gt;2&lt;/span&gt;&lt;span style="word-spacing: -0.3045px; letter-spacing: 0.3045px; display: inline-block; margin-left: 0px; width: 0.410156px; font-size: 10.5px; font-family: ffa4; -webkit-text-stroke: 0.1575px rgba(0, 0, 0, 0);"&gt;&lt;/span&gt;&lt;span style="display: inline-block;"&gt;,97&lt;/span&gt;&lt;span style="word-spacing: -0.3045px; letter-spacing: 0.3045px; display: inline-block; margin-left: -1.13625px; width: 0px; font-size: 10.5px; font-family: ffa4; -webkit-text-stroke: 0.1575px rgba(0, 0, 0, 0);"&gt;&lt;/span&gt;&lt;span style="display: inline-block;"&gt;4,503,98&lt;/span&gt;&lt;span style="word-spacing: -0.3045px; letter-spacing: 0.3045px; display: inline-block; margin-left: -0.684px; width: 0px; font-size: 10.5px; font-family: ffa4; -webkit-text-stroke: 0.1575px rgba(0, 0, 0, 0);"&gt;&lt;/span&gt;&lt;span style="display: inline-block;"&gt;5&lt;/span&gt;&lt;span style="word-spacing: -0.3045px; letter-spacing: 0.3045px; display: inline-block; margin-left: 0px; width: 19.0371px; font-size: 10.5px; font-family: ffa4; -webkit-text-stroke: 0.1575px rgba(0, 0, 0, 0);"&gt;&lt;span style="display: inline-block;"&gt; &lt;/span&gt;&lt;/span&gt;&lt;span class="pp-font-color-override-1" style="word-spacing: -0.231px; letter-spacing: 0.231px; display: inline-block; margin-left: 0px; font-size: 10.5px; font-family: ffa4; -webkit-text-stroke: 0.1575px rgba(0, 0, 0, 0);"&gt;&lt;span style="display: inline-block;"&gt;2,&lt;/span&gt;&lt;span style="word-spacing: -0.231px; letter-spacing: 0.231px; display: inline-block; margin-left: 0px; width: 0.410156px; font-size: 10.5px; font-family: ffa4; -webkit-text-stroke: 0.1575px rgba(0, 0, 0, 0);"&gt;&lt;/span&gt;&lt;span style="display: inline-block;"&gt;979,5&lt;/span&gt;&lt;span style="word-spacing: -0.231px; letter-spacing: 0.231px; display: inline-block; margin-left: -0.684px; width: 0px; font-size: 10.5px; font-family: ffa4; -webkit-text-stroke: 0.1575px rgba(0, 0, 0, 0);"&gt;&lt;/span&gt;&lt;span style="display: inline-block;"&gt;24,1&lt;/span&gt;&lt;span style="word-spacing: -0.231px; letter-spacing: 0.231px; display: inline-block; margin-left: -0.684px; width: 0px; font-size: 10.5px; font-family: ffa4; -webkit-text-stroke: 0.1575px rgba(0, 0, 0, 0);"&gt;&lt;/span&gt;&lt;span style="display: inline-block;"&gt;79&lt;/span&gt;&lt;/span&gt;&lt;/span&gt;&lt;/span&gt;&lt;span class="pp-font-color-override-1" style="position: absolute; display: inline-block; left: 0px; top: 48.3535px; width: 332.367px; white-space: pre; word-spacing: 0px; letter-spacing: 0.0315px; margin-left: 0px; font-size: 10.5px; font-family: ffa5; -webkit-text-stroke: 0.1575px rgba(0, 0, 0, 0);"&gt;&lt;span style="display: inline-block;"&gt;Sha&lt;/span&gt;&lt;span style="word-spacing: 0px; letter-spacing: 0.0315px; display: inline-block; margin-left: 0px; width: 0.410156px; font-size: 10.5px; font-family: ffa5; -webkit-text-stroke: 0.1575px rgba(0, 0, 0, 0);"&gt;&lt;/span&gt;&lt;span style="display: inline-block;"&gt;re sp&lt;/span&gt;&lt;span style="word-spacing: 0px; letter-spacing: 0.0315px; display: inline-block; margin-left: 0px; width: 0.410156px; font-size: 10.5px; font-family: ffa5; -webkit-text-stroke: 0.1575px rgba(0, 0, 0, 0);"&gt;&lt;/span&gt;&lt;span style="display: inline-block;"&gt;li&lt;/span&gt;&lt;span style="word-spacing: 0px; letter-spacing: 0.0315px; display: inline-block; margin-left: 0px; width: 0.410156px; font-size: 10.5px; font-family: ffa5; -webkit-text-stroke: 0.1575px rgba(0, 0, 0, 0);"&gt;&lt;/span&gt;&lt;span style="display: inline-block;"&gt;t (2:1)&lt;/span&gt;&lt;span style="word-spacing: 0px; letter-spacing: 0.0315px; display: inline-block; margin-left: 0px; width: 167.069px;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24.2988px;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inline-block;"&gt;2,979,524,&lt;/span&gt;&lt;span style="word-spacing: -0.105px; letter-spacing: 0.105px; display: inline-block; margin-left: -0.684px; width: 0px; font-size: 10.5px; font-family: ffa5; -webkit-text-stroke: 0.1575px rgba(0, 0, 0, 0);"&gt;&lt;/span&gt;&lt;span style="display: inline-block;"&gt;179&lt;/span&gt;&lt;/span&gt;&lt;/span&gt;&lt;/span&gt;&lt;span class="pp-font-color-override-1" style="position: absolute; display: inline-block; left: 0px; top: 64.3066px; width: 316.863px; white-space: pre; word-spacing: -0.084px; letter-spacing: 0.1155px; margin-left: 0px; font-size: 10.5px; font-family: ffa5; -webkit-text-stroke: 0.1575px rgba(0, 0, 0, 0);"&gt;&lt;span style="display: inline-block;"&gt;Redem&lt;/span&gt;&lt;span style="word-spacing: -0.084px; letter-spacing: 0.1155px; display: inline-block; margin-left: 0px; width: 0.410156px; font-size: 10.5px; font-family: ffa5; -webkit-text-stroke: 0.1575px rgba(0, 0, 0, 0);"&gt;&lt;/span&gt;&lt;span style="display: inline-block;"&gt;ption of redem&lt;/span&gt;&lt;span style="word-spacing: -0.084px; letter-spacing: 0.1155px; display: inline-block; margin-left: 0px; width: 0.410156px; font-size: 10.5px; font-family: ffa5; -webkit-text-stroke: 0.1575px rgba(0, 0, 0, 0);"&gt;&lt;/span&gt;&lt;span style="display: inline-block;"&gt;ption sha&lt;/span&gt;&lt;span style="word-spacing: -0.084px; letter-spacing: 0.1155px; display: inline-block; margin-left: 0px; width: 0.410156px; font-size: 10.5px; font-family: ffa5; -webkit-text-stroke: 0.1575px rgba(0, 0, 0, 0);"&gt;&lt;/span&gt;&lt;span style="display: inline-block;"&gt;res&lt;/span&gt;&lt;span style="word-spacing: -0.084px; letter-spacing: 0.1155px; display: inline-block; margin-left: 0px; width: 75.006px;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19.0371px;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inline-block;"&gt;–2,979,52&lt;/span&gt;&lt;span style="word-spacing: -0.105px; letter-spacing: 0.105px; display: inline-block; margin-left: -0.684px; width: 0px; font-size: 10.5px; font-family: ffa5; -webkit-text-stroke: 0.1575px rgba(0, 0, 0, 0);"&gt;&lt;/span&gt;&lt;span style="display: inline-block;"&gt;4,1&lt;/span&gt;&lt;span style="word-spacing: -0.105px; letter-spacing: 0.105px; display: inline-block; margin-left: -0.684px; width: 0px; font-size: 10.5px; font-family: ffa5; -webkit-text-stroke: 0.1575px rgba(0, 0, 0, 0);"&gt;&lt;/span&gt;&lt;span style="display: inline-block;"&gt;79&lt;/span&gt;&lt;/span&gt;&lt;/span&gt;&lt;/span&gt;&lt;span class="pp-font-color-override-1" style="position: absolute; display: inline-block; left: 0px; top: 80.2754px; width: 308.004px; white-space: pre; word-spacing: 0px; letter-spacing: 0.0315px; margin-left: 0px; font-size: 10.5px; font-family: ffa5; -webkit-text-stroke: 0.1575px rgba(0, 0, 0, 0);"&gt;&lt;span style="display: inline-block;"&gt;Acq&lt;/span&gt;&lt;span style="word-spacing: 0px; letter-spacing: 0.0315px; display: inline-block; margin-left: 0px; width: 0.410156px; font-size: 10.5px; font-family: ffa5; -webkit-text-stroke: 0.1575px rgba(0, 0, 0, 0);"&gt;&lt;/span&gt;&lt;span style="display: inline-block;"&gt;uis&lt;/span&gt;&lt;span style="word-spacing: 0px; letter-spacing: 0.0315px; display: inline-block; margin-left: 0px; width: 0.410156px; font-size: 10.5px; font-family: ffa5; -webkit-text-stroke: 0.1575px rgba(0, 0, 0, 0);"&gt;&lt;/span&gt;&lt;span style="display: inline-block;"&gt;iti&lt;/span&gt;&lt;span style="word-spacing: 0px; letter-spacing: 0.0315px; display: inline-block; margin-left: 0px; width: 0.410156px; font-size: 10.5px; font-family: ffa5; -webkit-text-stroke: 0.1575px rgba(0, 0, 0, 0);"&gt;&lt;/span&gt;&lt;span style="display: inline-block;"&gt;on of t&lt;/span&gt;&lt;span style="word-spacing: 0px; letter-spacing: 0.0315px; display: inline-block; margin-left: 0px; width: 0.410156px; font-size: 10.5px; font-family: ffa5; -webkit-text-stroke: 0.1575px rgba(0, 0, 0, 0);"&gt;&lt;/span&gt;&lt;span style="display: inline-block;"&gt;rea&lt;/span&gt;&lt;span style="word-spacing: 0px; letter-spacing: 0.0315px; display: inline-block; margin-left: 0px; width: 0.410156px; font-size: 10.5px; font-family: ffa5; -webkit-text-stroke: 0.1575px rgba(0, 0, 0, 0);"&gt;&lt;/span&gt;&lt;span style="display: inline-block;"&gt;su&lt;/span&gt;&lt;span style="word-spacing: 0px; letter-spacing: 0.0315px; display: inline-block; margin-left: 0px; width: 0.410156px; font-size: 10.5px; font-family: ffa5; -webkit-text-stroke: 0.1575px rgba(0, 0, 0, 0);"&gt;&lt;/span&gt;&lt;span style="display: inline-block;"&gt;r&lt;/span&gt;&lt;span style="word-spacing: 0px; letter-spacing: 0.0315px; display: inline-block; margin-left: 0px; width: 0.410156px; font-size: 10.5px; font-family: ffa5; -webkit-text-stroke: 0.1575px rgba(0, 0, 0, 0);"&gt;&lt;/span&gt;&lt;span style="display: inline-block;"&gt;y sh&lt;/span&gt;&lt;span style="word-spacing: 0px; letter-spacing: 0.0315px; display: inline-block; margin-left: 0px; width: 0.410156px; font-size: 10.5px; font-family: ffa5; -webkit-text-stroke: 0.1575px rgba(0, 0, 0, 0);"&gt;&lt;/span&gt;&lt;span style="display: inline-block;"&gt;are&lt;/span&gt;&lt;span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42.4864px; font-size: 10.5px; font-family: ffa5; -webkit-text-stroke: 0.1575px rgba(0, 0, 0, 0);"&gt;&lt;span style="display: inline-block;"&gt; &lt;/span&gt;&lt;/span&gt;&lt;span class="pp-font-color-override-1" style="word-spacing: -0.189px; letter-spacing: 0.189px; display: inline-block; margin-left: 0px; font-size: 10.5px; font-family: ffa5; -webkit-text-stroke: 0.1575px rgba(0, 0, 0, 0);"&gt;&lt;span style="display: inline-block;"&gt;–&lt;/span&gt;&lt;span style="word-spacing: -0.189px; letter-spacing: 0.189px; display: inline-block; margin-left: -0.684px; width: 0px; font-size: 10.5px; font-family: ffa5; -webkit-text-stroke: 0.1575px rgba(0, 0, 0, 0);"&gt;&lt;/span&gt;&lt;span style="display: inline-block;"&gt;12,500,&lt;/span&gt;&lt;span style="word-spacing: -0.189px; letter-spacing: 0.189px; display: inline-block; margin-left: -0.684px; width: 0px; font-size: 10.5px; font-family: ffa5; -webkit-text-stroke: 0.1575px rgba(0, 0, 0, 0);"&gt;&lt;/span&gt;&lt;span style="display: inline-block;"&gt;000&lt;/span&gt;&lt;span style="word-spacing: -0.189px; letter-spacing: 0.189px; display: inline-block; margin-left: 0px; width: 32.3906px; font-size: 10.5px; font-family: ffa5; -webkit-text-stroke: 0.1575px rgba(0, 0, 0, 0);"&gt;&lt;span style="display: inline-block;"&gt; &lt;/span&gt;&lt;/span&gt;&lt;span style="display: inline-block;"&gt;–&lt;/span&gt;&lt;span style="word-spacing: -0.189px; letter-spacing: 0.189px; display: inline-block; margin-left: 0px; width: 0.410156px; font-size: 10.5px; font-family: ffa5; -webkit-text-stroke: 0.1575px rgba(0, 0, 0, 0);"&gt;&lt;/span&gt;&lt;span style="display: inline-block;"&gt;6,500,000&lt;/span&gt;&lt;/span&gt;&lt;/span&gt;&lt;span class="pp-font-color-override-1" style="position: absolute; display: inline-block; left: 0px; top: 96.2285px; width: 316.289px; white-space: pre; word-spacing: 0px;</t>
  </si>
  <si>
    <t>f1__s8__6__244</t>
  </si>
  <si>
    <t>ifrs-full:DescriptionOfAccountingPolicyForIssuedCapitalExplanatory</t>
  </si>
  <si>
    <t>&lt;span style="display:inherit;clear:left;"&gt;ACCOUNTING&lt;span class="_ _2"&gt;&lt;/span&gt; POLICIES&lt;/span&gt;&lt;span style="display:inherit;clear:left;"&gt;Share-based pa&lt;span class="_ _2"&gt;&lt;/span&gt;yments&lt;/span&gt;&lt;span style="display:inherit;clear:left;"&gt;Equi&lt;span class="_ _7"&gt;&lt;/span&gt;t&lt;span class="_ _7"&gt;&lt;/span&gt;y-se&lt;span class="_ _7"&gt;&lt;/span&gt;t&lt;span class="_ _7"&gt;&lt;/span&gt;tle&lt;span class="_ _7"&gt;&lt;/span&gt;d sh&lt;span class="_ _7"&gt;&lt;/span&gt;ar&lt;span class="_ _7"&gt;&lt;/span&gt;e-bas&lt;span class="_ _7"&gt;&lt;/span&gt;e&lt;span class="_ _7"&gt;&lt;/span&gt;d pay&lt;span class="_ _7"&gt;&lt;/span&gt;me&lt;span class="_ _7"&gt;&lt;/span&gt;nt&lt;span class="_ _7"&gt;&lt;/span&gt;s in c&lt;span class="_ _7"&gt;&lt;/span&gt;onn&lt;span class="_ _7"&gt;&lt;/span&gt;ec&lt;span class="_ _7"&gt;&lt;/span&gt;ti&lt;span class="_ _7"&gt;&lt;/span&gt;on w&lt;span class="_ _7"&gt;&lt;/span&gt;ith e&lt;span class="_ _7"&gt;&lt;/span&gt;mp&lt;span class="_ _7"&gt;&lt;/span&gt;loye&lt;span class="_ _7"&gt;&lt;/span&gt;e &lt;/span&gt;&lt;span style="display:inherit;clear:left;"&gt;inc&lt;span class="_ _7"&gt;&lt;/span&gt;en&lt;span class="_ _7"&gt;&lt;/span&gt;tiv&lt;span class="_ _7"&gt;&lt;/span&gt;e pl&lt;span class="_ _7"&gt;&lt;/span&gt;an&lt;span class="_ _7"&gt;&lt;/span&gt;s are r&lt;span class="_ _7"&gt;&lt;/span&gt;ec&lt;span class="_ _7"&gt;&lt;/span&gt;og&lt;span class="_ _7"&gt;&lt;/span&gt;ni&lt;span class="_ _7"&gt;&lt;/span&gt;se&lt;span class="_ _7"&gt;&lt;/span&gt;d in e&lt;span class="_ _7"&gt;&lt;/span&gt;qu&lt;span class="_ _7"&gt;&lt;/span&gt;it&lt;span class="_ _7"&gt;&lt;/span&gt;y an&lt;span class="_ _7"&gt;&lt;/span&gt;d s&lt;span class="_ _7"&gt;&lt;/span&gt;et&lt;span class="_ _7"&gt;&lt;/span&gt;tle&lt;span class="_ _7"&gt;&lt;/span&gt;d us&lt;span class="_ _7"&gt;&lt;/span&gt;in&lt;span class="_ _7"&gt;&lt;/span&gt;g tre&lt;span class="_ _7"&gt;&lt;/span&gt;as&lt;span class="_ _7"&gt;&lt;/span&gt;ur&lt;span class="_ _7"&gt;&lt;/span&gt;y &lt;/span&gt;&lt;span style="display:inherit;clear:left;"&gt;sh&lt;span class="_ _7"&gt;&lt;/span&gt;are&lt;span class="_ _7"&gt;&lt;/span&gt;s&lt;span class="_ _7"&gt;&lt;/span&gt;. Se&lt;span class="_ _7"&gt;&lt;/span&gt;e No&lt;span class="_ _7"&gt;&lt;/span&gt;te 9 – Sh&lt;span class="_ _7"&gt;&lt;/span&gt;ar&lt;span class="_ _7"&gt;&lt;/span&gt;e-bas&lt;span class="_ _7"&gt;&lt;/span&gt;e&lt;span class="_ _7"&gt;&lt;/span&gt;d rem&lt;span class="_ _7"&gt;&lt;/span&gt;un&lt;span class="_ _7"&gt;&lt;/span&gt;er&lt;span class="_ _7"&gt;&lt;/span&gt;ati&lt;span class="_ _7"&gt;&lt;/span&gt;on&lt;span class="_ _7"&gt;&lt;/span&gt;.&lt;span class="fc9"&gt; &lt;/span&gt;&lt;/span&gt;&lt;span style="display:inherit;clear:left;"&gt;Group contributions and unconditional shareholders’ &lt;/span&gt;&lt;span style="display:inherit;clear:left;"&gt;contributions&lt;/span&gt;&lt;span style="display:inherit;clear:left;"&gt;Di&lt;span class="_ _7"&gt;&lt;/span&gt;st&lt;span class="_ _7"&gt;&lt;/span&gt;ri&lt;span class="_ _7"&gt;&lt;/span&gt;but&lt;span class="_ _7"&gt;&lt;/span&gt;ed g&lt;span class="_ _7"&gt;&lt;/span&gt;ro&lt;span class="_ _7"&gt;&lt;/span&gt;up co&lt;span class="_ _7"&gt;&lt;/span&gt;ntr&lt;span class="_ _7"&gt;&lt;/span&gt;ib&lt;span class="_ _7"&gt;&lt;/span&gt;ut&lt;span class="_ _7"&gt;&lt;/span&gt;ion&lt;span class="_ _7"&gt;&lt;/span&gt;s to th&lt;span class="_ _7"&gt;&lt;/span&gt;e ma&lt;span class="_ _7"&gt;&lt;/span&gt;in ow&lt;span class="_ _7"&gt;&lt;/span&gt;ne&lt;span class="_ _7"&gt;&lt;/span&gt;r are r&lt;span class="_ _7"&gt;&lt;/span&gt;ec&lt;span class="_ _7"&gt;&lt;/span&gt;or&lt;span class="_ _7"&gt;&lt;/span&gt;de&lt;span class="_ _7"&gt;&lt;/span&gt;d in &lt;/span&gt;&lt;span style="display:inherit;clear:left;"&gt;eq&lt;span class="_ _7"&gt;&lt;/span&gt;uit&lt;span class="_ _7"&gt;&lt;/span&gt;y, alo&lt;span class="_ _7"&gt;&lt;/span&gt;ng wi&lt;span class="_ _7"&gt;&lt;/span&gt;th th&lt;span class="_ _7"&gt;&lt;/span&gt;e ta&lt;span class="_ _7"&gt;&lt;/span&gt;x e&lt;span class="_ _7"&gt;&lt;/span&gt;f&lt;span class="_ _7"&gt;&lt;/span&gt;fe&lt;span class="_ _7"&gt;&lt;/span&gt;c&lt;span class="_ _7"&gt;&lt;/span&gt;t. Gr&lt;span class="_ _7"&gt;&lt;/span&gt;ou&lt;span class="_ _7"&gt;&lt;/span&gt;p co&lt;span class="_ _7"&gt;&lt;/span&gt;ntr&lt;span class="_ _7"&gt;&lt;/span&gt;ib&lt;span class="_ _7"&gt;&lt;/span&gt;uti&lt;span class="_ _7"&gt;&lt;/span&gt;on&lt;span class="_ _7"&gt;&lt;/span&gt;s re&lt;span class="_ _7"&gt;&lt;/span&gt;ce&lt;span class="_ _7"&gt;&lt;/span&gt;ive&lt;span class="_ _7"&gt;&lt;/span&gt;d fr&lt;span class="_ _7"&gt;&lt;/span&gt;om &lt;/span&gt;&lt;span style="display:inherit;clear:left;"&gt;the m&lt;span class="_ _7"&gt;&lt;/span&gt;ai&lt;span class="_ _7"&gt;&lt;/span&gt;n own&lt;span class="_ _7"&gt;&lt;/span&gt;er a&lt;span class="_ _7"&gt;&lt;/span&gt;nd th&lt;span class="_ _7"&gt;&lt;/span&gt;e ta&lt;span class="_ _7"&gt;&lt;/span&gt;x e&lt;span class="_ _7"&gt;&lt;/span&gt;f&lt;span class="_ _7"&gt;&lt;/span&gt;fe&lt;span class="_ _7"&gt;&lt;/span&gt;ct o&lt;span class="_ _7"&gt;&lt;/span&gt;n th&lt;span class="_ _7"&gt;&lt;/span&gt;es&lt;span class="_ _7"&gt;&lt;/span&gt;e co&lt;span class="_ _7"&gt;&lt;/span&gt;nt&lt;span class="_ _7"&gt;&lt;/span&gt;rib&lt;span class="_ _7"&gt;&lt;/span&gt;ut&lt;span class="_ _7"&gt;&lt;/span&gt;ion&lt;span class="_ _7"&gt;&lt;/span&gt;s ar&lt;span class="_ _7"&gt;&lt;/span&gt;e re&lt;span class="_ _7"&gt;&lt;/span&gt;cog-&lt;/span&gt;&lt;span style="display:inherit;clear:left;"&gt;nised in equity in&lt;span class="_ _2"&gt;&lt;/span&gt; accordance with the&lt;span class="_ _2"&gt;&lt;/span&gt; principles for sharehol&lt;span class="_ _2"&gt;&lt;/span&gt;der&lt;span class="_ _7"&gt;&lt;/span&gt;s’ &lt;/span&gt;&lt;span style="display:inherit;clear:left;"&gt;contributions. &lt;/span&gt;&lt;span style="display:inherit;clear:left;"&gt;Unconditional shareholders’&lt;span class="_ _2"&gt;&lt;/span&gt; contributions received from&lt;span class="_ _2"&gt;&lt;/span&gt; the main &lt;/span&gt;&lt;span style="display:inherit;clear:left;"&gt;own&lt;span class="_ _7"&gt;&lt;/span&gt;er a&lt;span class="_ _7"&gt;&lt;/span&gt;re re&lt;span class="_ _7"&gt;&lt;/span&gt;co&lt;span class="_ _7"&gt;&lt;/span&gt;gn&lt;span class="_ _7"&gt;&lt;/span&gt;is&lt;span class="_ _7"&gt;&lt;/span&gt;ed i&lt;span class="_ _7"&gt;&lt;/span&gt;n eq&lt;span class="_ _7"&gt;&lt;/span&gt;ui&lt;span class="_ _7"&gt;&lt;/span&gt;t&lt;span class="_ _7"&gt;&lt;/span&gt;y.&lt;/span&gt;</t>
  </si>
  <si>
    <t>f1__s8__6__246</t>
  </si>
  <si>
    <t>ifrs-full:DisclosureOfIssuedCapitalExplanatory</t>
  </si>
  <si>
    <t>&lt;span style="display:inherit;clear:left;"&gt; &lt;/span&gt;&lt;span style="display:inherit;clear:left;"&gt;Th&lt;span class="_ _7"&gt;&lt;/span&gt;e sh&lt;span class="_ _7"&gt;&lt;/span&gt;are c&lt;span class="_ _7"&gt;&lt;/span&gt;a&lt;span class="_ _7"&gt;&lt;/span&gt;pit&lt;span class="_ _7"&gt;&lt;/span&gt;al &lt;span class="ffa3"&gt;c&lt;span class="_ _7"&gt;&lt;/span&gt;on&lt;span class="_ _7"&gt;&lt;/span&gt;si&lt;span class="_ _7"&gt;&lt;/span&gt;s&lt;span class="_ _7"&gt;&lt;/span&gt;ts o&lt;span class="_ _7"&gt;&lt;/span&gt;f 2,&lt;span class="_ _7"&gt;&lt;/span&gt;979,524,1&lt;span class="_ _2"&gt;&lt;/span&gt;79 c&lt;span class="_ _7"&gt;&lt;/span&gt;om&lt;span class="_ _7"&gt;&lt;/span&gt;mo&lt;span class="_ _7"&gt;&lt;/span&gt;n sh&lt;span class="_ _7"&gt;&lt;/span&gt;are&lt;span class="_ _7"&gt;&lt;/span&gt;s o&lt;span class="_ _7"&gt;&lt;/span&gt;f &lt;/span&gt;&lt;/span&gt;&lt;span style="display:inherit;clear:left;"&gt;cl&lt;span class="_ _7"&gt;&lt;/span&gt;as&lt;span class="_ _7"&gt;&lt;/span&gt;s B&lt;span class="_ _7"&gt;&lt;/span&gt;. Ea&lt;span class="_ _7"&gt;&lt;/span&gt;ch sh&lt;span class="_ _7"&gt;&lt;/span&gt;ar&lt;span class="_ _7"&gt;&lt;/span&gt;e ca&lt;span class="_ _7"&gt;&lt;/span&gt;rr&lt;span class="_ _7"&gt;&lt;/span&gt;ie&lt;span class="_ _7"&gt;&lt;/span&gt;s on&lt;span class="_ _7"&gt;&lt;/span&gt;e vote&lt;span class="_ _7"&gt;&lt;/span&gt;. A co&lt;span class="_ _7"&gt;&lt;/span&gt;mm&lt;span class="_ _7"&gt;&lt;/span&gt;on s&lt;span class="_ _7"&gt;&lt;/span&gt;har&lt;span class="_ _7"&gt;&lt;/span&gt;e of c&lt;span class="_ _7"&gt;&lt;/span&gt;la&lt;span class="_ _7"&gt;&lt;/span&gt;s&lt;span class="_ _7"&gt;&lt;/span&gt;s B &lt;/span&gt;&lt;span style="display:inherit;clear:left;"&gt;entitles&lt;span class="_ _2"&gt;&lt;/span&gt; it&lt;span class="_ _7"&gt;&lt;/span&gt;s holder&lt;span class="_ _2"&gt;&lt;/span&gt; to dividend as det&lt;span class="_ _2"&gt;&lt;/span&gt;ermined by the&lt;span class="_ _2"&gt;&lt;/span&gt; shareholders &lt;/span&gt;&lt;span style="display:inherit;clear:left;"&gt;me&lt;span class="_ _7"&gt;&lt;/span&gt;eti&lt;span class="_ _7"&gt;&lt;/span&gt;ng. Al&lt;span class="_ _7"&gt;&lt;/span&gt;l is&lt;span class="_ _7"&gt;&lt;/span&gt;s&lt;span class="_ _7"&gt;&lt;/span&gt;ue&lt;span class="_ _7"&gt;&lt;/span&gt;d sh&lt;span class="_ _7"&gt;&lt;/span&gt;ar&lt;span class="_ _7"&gt;&lt;/span&gt;es a&lt;span class="_ _7"&gt;&lt;/span&gt;re f&lt;span class="_ _7"&gt;&lt;/span&gt;ully p&lt;span class="_ _7"&gt;&lt;/span&gt;ai&lt;span class="_ _7"&gt;&lt;/span&gt;d. At 31 D&lt;span class="_ _7"&gt;&lt;/span&gt;ec&lt;span class="_ _7"&gt;&lt;/span&gt;emb&lt;span class="_ _7"&gt;&lt;/span&gt;er 2025, &lt;/span&gt;&lt;span style="display:inherit;clear:left;"&gt;Volvo Ca&lt;span class="_ _7"&gt;&lt;/span&gt;r Gro&lt;span class="_ _7"&gt;&lt;/span&gt;up h&lt;span class="_ _7"&gt;&lt;/span&gt;old&lt;span class="_ _7"&gt;&lt;/span&gt;s 14,&lt;span class="_ _7"&gt;&lt;/span&gt;894&lt;span class="_ _7"&gt;&lt;/span&gt;,8&lt;span class="_ _7"&gt;&lt;/span&gt;38&lt;span class="fc9"&gt; &lt;/span&gt;(5,020,&lt;span class="_ _2"&gt;&lt;/span&gt;19&lt;span class="_ _7"&gt;&lt;/span&gt;4) own cl&lt;span class="_ _7"&gt;&lt;/span&gt;as&lt;span class="_ _7"&gt;&lt;/span&gt;s B s&lt;span class="_ _7"&gt;&lt;/span&gt;ha&lt;span class="_ _7"&gt;&lt;/span&gt;re&lt;span class="_ _7"&gt;&lt;/span&gt;s&lt;span class="_ _7"&gt;&lt;/span&gt;.&lt;/span&gt;&lt;span style="display:inherit;clear:left;"&gt;In 2024, Volvo C&lt;span class="_ _7"&gt;&lt;/span&gt;ar AB (&lt;span class="_ _7"&gt;&lt;/span&gt;pub&lt;span class="_ _7"&gt;&lt;/span&gt;l&lt;span class="_ _7"&gt;&lt;/span&gt;.) dis&lt;span class="_ _7"&gt;&lt;/span&gt;t&lt;span class="_ _7"&gt;&lt;/span&gt;rib&lt;span class="_ _7"&gt;&lt;/span&gt;ute&lt;span class="_ _7"&gt;&lt;/span&gt;d 62&lt;span class="_ _7"&gt;&lt;/span&gt;.7 per ce&lt;span class="_ _7"&gt;&lt;/span&gt;nt of Volvo &lt;/span&gt;&lt;span style="display:inherit;clear:left;"&gt;Ca&lt;span class="_ _7"&gt;&lt;/span&gt;rs’ s&lt;span class="_ _7"&gt;&lt;/span&gt;h&lt;span class="_ _7"&gt;&lt;/span&gt;are&lt;span class="_ _7"&gt;&lt;/span&gt;ho&lt;span class="_ _7"&gt;&lt;/span&gt;ldi&lt;span class="_ _7"&gt;&lt;/span&gt;ng in P&lt;span class="_ _7"&gt;&lt;/span&gt;ole&lt;span class="_ _7"&gt;&lt;/span&gt;s&lt;span class="_ _7"&gt;&lt;/span&gt;ta&lt;span class="_ _7"&gt;&lt;/span&gt;r Auto&lt;span class="_ _7"&gt;&lt;/span&gt;mo&lt;span class="_ _7"&gt;&lt;/span&gt;tiv&lt;span class="_ _7"&gt;&lt;/span&gt;e Hol&lt;span class="_ _7"&gt;&lt;/span&gt;din&lt;span class="_ _7"&gt;&lt;/span&gt;g UK PLC to Volvo &lt;/span&gt;&lt;span style="display:inherit;clear:left;"&gt;Ca&lt;span class="_ _7"&gt;&lt;/span&gt;rs’ s&lt;span class="_ _7"&gt;&lt;/span&gt;h&lt;span class="_ _7"&gt;&lt;/span&gt;are&lt;span class="_ _7"&gt;&lt;/span&gt;ho&lt;span class="_ _7"&gt;&lt;/span&gt;lde&lt;span class="_ _7"&gt;&lt;/span&gt;r&lt;span class="_ _7"&gt;&lt;/span&gt;s by way o&lt;span class="_ _7"&gt;&lt;/span&gt;f a sh&lt;span class="_ _7"&gt;&lt;/span&gt;ar&lt;span class="_ _7"&gt;&lt;/span&gt;e sp&lt;span class="_ _7"&gt;&lt;/span&gt;lit (2:&lt;span class="_ _7"&gt;&lt;/span&gt;1), a redu&lt;span class="_ _7"&gt;&lt;/span&gt;cti&lt;span class="_ _7"&gt;&lt;/span&gt;on o&lt;span class="_ _7"&gt;&lt;/span&gt;f th&lt;span class="_ _7"&gt;&lt;/span&gt;e &lt;/span&gt;&lt;span style="display:inherit;clear:left;"&gt;sh&lt;span class="_ _7"&gt;&lt;/span&gt;are c&lt;span class="_ _7"&gt;&lt;/span&gt;ap&lt;span class="_ _7"&gt;&lt;/span&gt;it&lt;span class="_ _7"&gt;&lt;/span&gt;al t&lt;span class="_ _7"&gt;&lt;/span&gt;hro&lt;span class="_ _7"&gt;&lt;/span&gt;ug&lt;span class="_ _7"&gt;&lt;/span&gt;h re&lt;span class="_ _7"&gt;&lt;/span&gt;dem&lt;span class="_ _7"&gt;&lt;/span&gt;pti&lt;span class="_ _7"&gt;&lt;/span&gt;on o&lt;span class="_ _7"&gt;&lt;/span&gt;f sh&lt;span class="_ _7"&gt;&lt;/span&gt;ar&lt;span class="_ _7"&gt;&lt;/span&gt;es&lt;span class="_ _7"&gt;&lt;/span&gt;, an&lt;span class="_ _7"&gt;&lt;/span&gt;d an i&lt;span class="_ _7"&gt;&lt;/span&gt;ncr&lt;span class="_ _7"&gt;&lt;/span&gt;ea&lt;span class="_ _7"&gt;&lt;/span&gt;s&lt;span class="_ _7"&gt;&lt;/span&gt;e of th&lt;span class="_ _7"&gt;&lt;/span&gt;e &lt;/span&gt;&lt;span style="display:inherit;clear:left;"&gt;sh&lt;span class="_ _7"&gt;&lt;/span&gt;are c&lt;span class="_ _7"&gt;&lt;/span&gt;ap&lt;span class="_ _7"&gt;&lt;/span&gt;it&lt;span class="_ _7"&gt;&lt;/span&gt;al t&lt;span class="_ _7"&gt;&lt;/span&gt;hro&lt;span class="_ _7"&gt;&lt;/span&gt;ug&lt;span class="_ _7"&gt;&lt;/span&gt;h a bo&lt;span class="_ _7"&gt;&lt;/span&gt;nus i&lt;span class="_ _7"&gt;&lt;/span&gt;s&lt;span class="_ _7"&gt;&lt;/span&gt;s&lt;span class="_ _7"&gt;&lt;/span&gt;ue wi&lt;span class="_ _7"&gt;&lt;/span&gt;th&lt;span class="_ _7"&gt;&lt;/span&gt;out i&lt;span class="_ _7"&gt;&lt;/span&gt;s&lt;span class="_ _7"&gt;&lt;/span&gt;su&lt;span class="_ _7"&gt;&lt;/span&gt;an&lt;span class="_ _7"&gt;&lt;/span&gt;ce o&lt;span class="_ _7"&gt;&lt;/span&gt;f new s&lt;span class="_ _7"&gt;&lt;/span&gt;h&lt;span class="_ _7"&gt;&lt;/span&gt;are&lt;span class="_ _7"&gt;&lt;/span&gt;s&lt;span class="_ _7"&gt;&lt;/span&gt;. &lt;/span&gt;&lt;span style="display:inherit;clear:left;"&gt;Du&lt;span class="_ _7"&gt;&lt;/span&gt;e to the o&lt;span class="_ _7"&gt;&lt;/span&gt;wn&lt;span class="_ _7"&gt;&lt;/span&gt;er&lt;span class="_ _7"&gt;&lt;/span&gt;sh&lt;span class="_ _7"&gt;&lt;/span&gt;ip s&lt;span class="_ _7"&gt;&lt;/span&gt;tr&lt;span class="_ _7"&gt;&lt;/span&gt;uc&lt;span class="_ _7"&gt;&lt;/span&gt;tur&lt;span class="_ _7"&gt;&lt;/span&gt;e of Volvo C&lt;span class="_ _7"&gt;&lt;/span&gt;ar G&lt;span class="_ _7"&gt;&lt;/span&gt;rou&lt;span class="_ _7"&gt;&lt;/span&gt;p, th&lt;span class="_ _7"&gt;&lt;/span&gt;e di&lt;span class="_ _7"&gt;&lt;/span&gt;s&lt;span class="_ _7"&gt;&lt;/span&gt;tri&lt;span class="_ _7"&gt;&lt;/span&gt;bu&lt;span class="_ _7"&gt;&lt;/span&gt;tio&lt;span class="_ _7"&gt;&lt;/span&gt;n &lt;/span&gt;&lt;span style="display:inherit;clear:left;"&gt;of s&lt;span class="_ _7"&gt;&lt;/span&gt;har&lt;span class="_ _7"&gt;&lt;/span&gt;e&lt;span class="_ _7"&gt;&lt;/span&gt;s was a c&lt;span class="_ _7"&gt;&lt;/span&gt;om&lt;span class="_ _7"&gt;&lt;/span&gt;mo&lt;span class="_ _7"&gt;&lt;/span&gt;n con&lt;span class="_ _7"&gt;&lt;/span&gt;tro&lt;span class="_ _7"&gt;&lt;/span&gt;l tr&lt;span class="_ _7"&gt;&lt;/span&gt;an&lt;span class="_ _7"&gt;&lt;/span&gt;s&lt;span class="_ _7"&gt;&lt;/span&gt;ac&lt;span class="_ _7"&gt;&lt;/span&gt;tio&lt;span class="_ _7"&gt;&lt;/span&gt;n. C&lt;span class="_ _7"&gt;&lt;/span&gt;on&lt;span class="_ _7"&gt;&lt;/span&gt;s&lt;span class="_ _7"&gt;&lt;/span&gt;eq&lt;span class="_ _7"&gt;&lt;/span&gt;uen&lt;span class="_ _7"&gt;&lt;/span&gt;tly, the  &lt;/span&gt;&lt;span style="display:inherit;clear:left;"&gt;di&lt;span class="_ _7"&gt;&lt;/span&gt;st&lt;span class="_ _7"&gt;&lt;/span&gt;rib&lt;span class="_ _7"&gt;&lt;/span&gt;ut&lt;span class="_ _7"&gt;&lt;/span&gt;ion h&lt;span class="_ _7"&gt;&lt;/span&gt;as b&lt;span class="_ _7"&gt;&lt;/span&gt;e&lt;span class="_ _7"&gt;&lt;/span&gt;en ac&lt;span class="_ _7"&gt;&lt;/span&gt;co&lt;span class="_ _7"&gt;&lt;/span&gt;unt&lt;span class="_ _7"&gt;&lt;/span&gt;ed fo&lt;span class="_ _7"&gt;&lt;/span&gt;r at c&lt;span class="_ _7"&gt;&lt;/span&gt;ar&lt;span class="_ _7"&gt;&lt;/span&gt;r&lt;span class="_ _7"&gt;&lt;/span&gt;y&lt;span class="_ _7"&gt;&lt;/span&gt;ing v&lt;span class="_ _7"&gt;&lt;/span&gt;alue&lt;span class="_ _7"&gt;&lt;/span&gt;s&lt;span class="_ _7"&gt;&lt;/span&gt;, in&lt;span class="_ _7"&gt;&lt;/span&gt;clu&lt;span class="_ _7"&gt;&lt;/span&gt;di&lt;span class="_ _7"&gt;&lt;/span&gt;ng &lt;/span&gt;&lt;span style="display:inherit;clear:left;"&gt;tr&lt;span class="_ _7"&gt;&lt;/span&gt;ans&lt;span class="_ _7"&gt;&lt;/span&gt;a&lt;span class="_ _7"&gt;&lt;/span&gt;cti&lt;span class="_ _7"&gt;&lt;/span&gt;on c&lt;span class="_ _7"&gt;&lt;/span&gt;os&lt;span class="_ _7"&gt;&lt;/span&gt;t&lt;span class="_ _7"&gt;&lt;/span&gt;s re&lt;span class="_ _7"&gt;&lt;/span&gt;co&lt;span class="_ _7"&gt;&lt;/span&gt;gni&lt;span class="_ _7"&gt;&lt;/span&gt;s&lt;span class="_ _7"&gt;&lt;/span&gt;ed d&lt;span class="_ _7"&gt;&lt;/span&gt;ire&lt;span class="_ _7"&gt;&lt;/span&gt;ct&lt;span class="_ _7"&gt;&lt;/span&gt;ly in e&lt;span class="_ _7"&gt;&lt;/span&gt;qu&lt;span class="_ _7"&gt;&lt;/span&gt;it&lt;span class="_ _7"&gt;&lt;/span&gt;y. &lt;/span&gt;&lt;span style="display:inherit;clear:left;"&gt;Du&lt;span class="_ _7"&gt;&lt;/span&gt;rin&lt;span class="_ _7"&gt;&lt;/span&gt;g Ap&lt;span class="_ _7"&gt;&lt;/span&gt;ril 2024, t&lt;span class="_ _7"&gt;&lt;/span&gt;he s&lt;span class="_ _7"&gt;&lt;/span&gt;ha&lt;span class="_ _7"&gt;&lt;/span&gt;re sp&lt;span class="_ _7"&gt;&lt;/span&gt;li&lt;span class="_ _7"&gt;&lt;/span&gt;t tem&lt;span class="_ _7"&gt;&lt;/span&gt;po&lt;span class="_ _7"&gt;&lt;/span&gt;ra&lt;span class="_ _7"&gt;&lt;/span&gt;ril&lt;span class="_ _7"&gt;&lt;/span&gt;y inc&lt;span class="_ _7"&gt;&lt;/span&gt;re&lt;span class="_ _7"&gt;&lt;/span&gt;as&lt;span class="_ _7"&gt;&lt;/span&gt;ed t&lt;span class="_ _7"&gt;&lt;/span&gt;he nu&lt;span class="_ _7"&gt;&lt;/span&gt;mb&lt;span class="_ _7"&gt;&lt;/span&gt;er &lt;/span&gt;&lt;span style="display:inherit;clear:left;"&gt;of s&lt;span class="_ _7"&gt;&lt;/span&gt;har&lt;span class="_ _7"&gt;&lt;/span&gt;e&lt;span class="_ _7"&gt;&lt;/span&gt;s and v&lt;span class="_ _7"&gt;&lt;/span&gt;ote&lt;span class="_ _7"&gt;&lt;/span&gt;s by 2,&lt;span class="_ _7"&gt;&lt;/span&gt;979,524,179, to 5,959,04&lt;span class="_ _7"&gt;&lt;/span&gt;8,&lt;span class="_ _7"&gt;&lt;/span&gt;358&lt;span class="_ _7"&gt;&lt;/span&gt;. In M&lt;span class="_ _7"&gt;&lt;/span&gt;ay &lt;/span&gt;&lt;span style="display:inherit;clear:left;"&gt;2024, the 2&lt;span class="_ _7"&gt;&lt;/span&gt;,979,524&lt;span class="_ _7"&gt;&lt;/span&gt;,&lt;span class="_ _2"&gt;&lt;/span&gt;179 ne&lt;span class="_ _7"&gt;&lt;/span&gt;w re&lt;span class="_ _7"&gt;&lt;/span&gt;dem&lt;span class="_ _7"&gt;&lt;/span&gt;pti&lt;span class="_ _7"&gt;&lt;/span&gt;on s&lt;span class="_ _7"&gt;&lt;/span&gt;ha&lt;span class="_ _7"&gt;&lt;/span&gt;re&lt;span class="_ _7"&gt;&lt;/span&gt;s of c&lt;span class="_ _7"&gt;&lt;/span&gt;la&lt;span class="_ _7"&gt;&lt;/span&gt;s&lt;span class="_ _7"&gt;&lt;/span&gt;s B wer&lt;span class="_ _7"&gt;&lt;/span&gt;e &lt;/span&gt;&lt;span style="display:inherit;clear:left;"&gt;redeemed as part of t&lt;span class="_ _2"&gt;&lt;/span&gt;he automatic&lt;span class="_ _2"&gt;&lt;/span&gt; share redemption. Thereafter&lt;span class="_ _2"&gt;&lt;/span&gt;, &lt;/span&gt;&lt;span style="display:inherit;clear:left;"&gt;the to&lt;span class="_ _7"&gt;&lt;/span&gt;ta&lt;span class="_ _7"&gt;&lt;/span&gt;l nu&lt;span class="_ _7"&gt;&lt;/span&gt;mbe&lt;span class="_ _7"&gt;&lt;/span&gt;r of s&lt;span class="_ _7"&gt;&lt;/span&gt;ha&lt;span class="_ _7"&gt;&lt;/span&gt;re&lt;span class="_ _7"&gt;&lt;/span&gt;s an&lt;span class="_ _7"&gt;&lt;/span&gt;d vote&lt;span class="_ _7"&gt;&lt;/span&gt;s am&lt;span class="_ _7"&gt;&lt;/span&gt;ou&lt;span class="_ _7"&gt;&lt;/span&gt;nt&lt;span class="_ _7"&gt;&lt;/span&gt;s to 2,&lt;span class="_ _7"&gt;&lt;/span&gt;979,524,1&lt;span class="_ _2"&gt;&lt;/span&gt;79, &lt;/span&gt;&lt;span style="display:inherit;clear:left;"&gt;whi&lt;span class="_ _7"&gt;&lt;/span&gt;ch i&lt;span class="_ _7"&gt;&lt;/span&gt;s the s&lt;span class="_ _7"&gt;&lt;/span&gt;a&lt;span class="_ _7"&gt;&lt;/span&gt;me a&lt;span class="_ _7"&gt;&lt;/span&gt;s pri&lt;span class="_ _7"&gt;&lt;/span&gt;or to t&lt;span class="_ _7"&gt;&lt;/span&gt;he d&lt;span class="_ _7"&gt;&lt;/span&gt;is&lt;span class="_ _7"&gt;&lt;/span&gt;tr&lt;span class="_ _7"&gt;&lt;/span&gt;ib&lt;span class="_ _7"&gt;&lt;/span&gt;uti&lt;span class="_ _7"&gt;&lt;/span&gt;on&lt;span class="_ _7"&gt;&lt;/span&gt;. On 8 M&lt;span class="_ _7"&gt;&lt;/span&gt;ay 2024, th&lt;span class="_ _7"&gt;&lt;/span&gt;e &lt;/span&gt;&lt;span style="display:inherit;clear:left;"&gt;di&lt;span class="_ _7"&gt;&lt;/span&gt;st&lt;span class="_ _7"&gt;&lt;/span&gt;rib&lt;span class="_ _7"&gt;&lt;/span&gt;ut&lt;span class="_ _7"&gt;&lt;/span&gt;ion o&lt;span class="_ _7"&gt;&lt;/span&gt;f th&lt;span class="_ _7"&gt;&lt;/span&gt;e Pol&lt;span class="_ _7"&gt;&lt;/span&gt;es&lt;span class="_ _7"&gt;&lt;/span&gt;t&lt;span class="_ _7"&gt;&lt;/span&gt;ar s&lt;span class="_ _7"&gt;&lt;/span&gt;har&lt;span class="_ _7"&gt;&lt;/span&gt;e&lt;span class="_ _7"&gt;&lt;/span&gt;s was c&lt;span class="_ _7"&gt;&lt;/span&gt;om&lt;span class="_ _7"&gt;&lt;/span&gt;ple&lt;span class="_ _7"&gt;&lt;/span&gt;ted&lt;span class="_ _7"&gt;&lt;/span&gt;.&lt;span class="fc9"&gt; &lt;/span&gt;&lt;span class="lsc7 wsed"&gt;For further infor&lt;span class="_ _6"&gt;&lt;/span&gt;&lt;span class="ls3 ws3"&gt;-&lt;/span&gt;&lt;/span&gt;&lt;/span&gt;&lt;span style="display:inherit;clear:left;"&gt;mat&lt;span class="_ _7"&gt;&lt;/span&gt;io&lt;span class="_ _7"&gt;&lt;/span&gt;n, s&lt;span class="_ _7"&gt;&lt;/span&gt;ee N&lt;span class="_ _7"&gt;&lt;/span&gt;ote 12 – Inve&lt;span class="_ _7"&gt;&lt;/span&gt;s&lt;span class="_ _7"&gt;&lt;/span&gt;tm&lt;span class="_ _7"&gt;&lt;/span&gt;ent&lt;span class="_ _7"&gt;&lt;/span&gt;s in j&lt;span class="_ _7"&gt;&lt;/span&gt;oi&lt;span class="_ _7"&gt;&lt;/span&gt;nt ve&lt;span class="_ _7"&gt;&lt;/span&gt;ntu&lt;span class="_ _7"&gt;&lt;/span&gt;re&lt;span class="_ _7"&gt;&lt;/span&gt;s an&lt;span class="_ _7"&gt;&lt;/span&gt;d as&lt;span class="_ _7"&gt;&lt;/span&gt;s&lt;span class="_ _7"&gt;&lt;/span&gt;oci&lt;span class="_ _7"&gt;&lt;/span&gt;ate&lt;span class="_ _7"&gt;&lt;/span&gt;s&lt;span class="_ _7"&gt;&lt;/span&gt;.&lt;/span&gt;&lt;span style="display:inherit;clear:left;position:relative;height:135.556640625px;"&gt;&lt;span class="pp-font-color-override-1" style="position: absolute; display: inline-block; left: 0px; top: 0.0136718px; width: 135.393px; white-space: pre; word-spacing: -0.192px; letter-spacing: 0.192px; margin-left: 0px; font-size: 9.6px; font-family: ffa4; -webkit-text-stroke: 0.144px rgba(0, 0, 0, 0);"&gt;&lt;span style="display: inline-block;"&gt;Change in&lt;/span&gt;&lt;span style="word-spacing: -0.192px; letter-spacing: 0.192px; display: inline-block; margin-left: -0.684px; width: 0px; font-size: 9.6px; font-family: ffa4; -webkit-text-stroke: 0.144px rgba(0, 0, 0, 0);"&gt;&lt;/span&gt;&lt;span style="display: inline-block;"&gt; number of outstanding &lt;/span&gt;&lt;/span&gt;&lt;span class="pp-font-color-override-1" style="position: absolute; display: inline-block; left: 0px; top: 9.76953px; width: 321.902px; white-space: pre; word-spacing: -0.1824px; letter-spacing: 0.1824px; margin-left: 0px; font-size: 9.6px; font-family: ffa4; -webkit-text-stroke: 0.144px rgba(0, 0, 0, 0);"&gt;&lt;span style="display: inline-block;"&gt;shares&lt;/span&gt;&lt;span style="word-spacing: -0.1824px; letter-spacing: 0.1824px; display: inline-block; margin-left: 0px; width: 161.889px; font-size: 9.6px; font-family: ffa4; -webkit-text-stroke: 0.144px rgba(0, 0, 0, 0);"&gt;&lt;span style="display: inline-block;"&gt; &lt;/span&gt;&lt;/span&gt;&lt;span class="pp-font-color-override-1" style="word-spacing: 0px; letter-spacing: 0px; display: inline-block; margin-left: 0px; font-size: 9.6px; font-family: ffa4; -webkit-text-stroke: 0.144px rgba(0, 0, 0, 0);"&gt;&lt;span style="display: inline-block;"&gt;31 Dec 20&lt;/span&gt;&lt;span style="word-spacing: 0px; letter-spacing: 0px; display: inline-block; margin-left: 0px; width: 0.410156px; font-size: 9.6px; font-family: ffa4; -webkit-text-stroke: 0.144px rgba(0, 0, 0, 0);"&gt;&lt;/span&gt;&lt;span style="display: inline-block;"&gt;25&lt;/span&gt;&lt;span style="word-spacing: 0px; letter-spacing: 0px; display: inline-block; margin-left: 0px; width: 36.0176px; font-size: 9.6px; font-family: ffa4; -webkit-text-stroke: 0.144px rgba(0, 0, 0, 0);"&gt;&lt;span style="display: inline-block;"&gt; &lt;/span&gt;&lt;/span&gt;&lt;span class="pp-font-color-override-1" style="word-spacing: 0px; letter-spacing: 0px; display: inline-block; margin-left: 0px; font-size: 9.6px; font-family: ffa3; -webkit-text-stroke: 0.144px rgba(0, 0, 0, 0);"&gt;&lt;span style="display: inline-block;"&gt;31 De&lt;/span&gt;&lt;span style="word-spacing: 0px; letter-spacing: 0px; display: inline-block; margin-left: 0px; width: 0.410156px; font-size: 9.6px; font-family: ffa3; -webkit-text-stroke: 0.144px rgba(0, 0, 0, 0);"&gt;&lt;/span&gt;&lt;span style="display: inline-block;"&gt;c 2024&lt;/span&gt;&lt;/span&gt;&lt;/span&gt;&lt;/span&gt;&lt;span class="pp-font-color-override-1" style="position: absolute; display: inline-block; left: 0px; top: 32.1328px; width: 289.588px; white-space: pre; word-spacing: -0.168px; letter-spacing: 0.063px; margin-left: 0px; font-size: 10.5px; font-family: ffa4; -webkit-text-stroke: 0.1575px rgba(0, 0, 0, 0);"&gt;&lt;span style="display: inline-block;"&gt;Outst&lt;/span&gt;&lt;span style="word-spacing: -0.168px; letter-spacing: 0.063px; display: inline-block; margin-left: 0px; width: 0.410156px; font-size: 10.5px; font-family: ffa4; -webkit-text-stroke: 0.1575px rgba(0, 0, 0, 0);"&gt;&lt;/span&gt;&lt;span style="display: inline-block;"&gt;anding shares at 1&lt;/span&gt;&lt;span style="word-spacing: -0.168px; letter-spacing: 0.063px; display: inline-block; margin-left: -0.684px; width: 0px; font-size: 10.5px; font-family: ffa4; -webkit-text-stroke: 0.1575px rgba(0, 0, 0, 0);"&gt;&lt;/span&gt;&lt;span style="display: inline-block;"&gt; Januar&lt;/span&gt;&lt;span style="word-spacing: -0.168px; letter-spacing: 0.063px; display: inline-block; margin-left: 0px; width: 0.410156px; font-size: 10.5px; font-family: ffa4; -webkit-text-stroke: 0.1575px rgba(0, 0, 0, 0);"&gt;&lt;/span&gt;&lt;span style="display: inline-block;"&gt;y&lt;/span&gt;&lt;span style="word-spacing: -0.168px; letter-spacing: 0.063px; display: inline-block; margin-left: 0px; width: 10.1895px; font-size: 10.5px; font-family: ffa4; -webkit-text-stroke: 0.1575px rgba(0, 0, 0, 0);"&gt;&lt;span style="display: inline-block;"&gt; &lt;/span&gt;&lt;/span&gt;&lt;span class="pp-font-color-override-1" style="word-spacing: -0.3045px; letter-spacing: 0.3045px; display: inline-block; margin-left: 0px; font-size: 10.5px; font-family: ffa4; -webkit-text-stroke: 0.1575px rgba(0, 0, 0, 0);"&gt;&lt;span style="display: inline-block;"&gt;2&lt;/span&gt;&lt;span style="word-spacing: -0.3045px; letter-spacing: 0.3045px; display: inline-block; margin-left: 0px; width: 0.410156px; font-size: 10.5px; font-family: ffa4; -webkit-text-stroke: 0.1575px rgba(0, 0, 0, 0);"&gt;&lt;/span&gt;&lt;span style="display: inline-block;"&gt;,97&lt;/span&gt;&lt;span style="word-spacing: -0.3045px; letter-spacing: 0.3045px; display: inline-block; margin-left: -1.13625px; width: 0px; font-size: 10.5px; font-family: ffa4; -webkit-text-stroke: 0.1575px rgba(0, 0, 0, 0);"&gt;&lt;/span&gt;&lt;span style="display: inline-block;"&gt;4,503,98&lt;/span&gt;&lt;span style="word-spacing: -0.3045px; letter-spacing: 0.3045px; display: inline-block; margin-left: -0.684px; width: 0px; font-size: 10.5px; font-family: ffa4; -webkit-text-stroke: 0.1575px rgba(0, 0, 0, 0);"&gt;&lt;/span&gt;&lt;span style="display: inline-block;"&gt;5&lt;/span&gt;&lt;span style="word-spacing: -0.3045px; letter-spacing: 0.3045px; display: inline-block; margin-left: 0px; width: 19.0371px; font-size: 10.5px; font-family: ffa4; -webkit-text-stroke: 0.1575px rgba(0, 0, 0, 0);"&gt;&lt;span style="display: inline-block;"&gt; &lt;/span&gt;&lt;/span&gt;&lt;span class="pp-font-color-override-1" style="word-spacing: -0.231px; letter-spacing: 0.231px; display: inline-block; margin-left: 0px; font-size: 10.5px; font-family: ffa4; -webkit-text-stroke: 0.1575px rgba(0, 0, 0, 0);"&gt;&lt;span style="display: inline-block;"&gt;2,&lt;/span&gt;&lt;span style="word-spacing: -0.231px; letter-spacing: 0.231px; display: inline-block; margin-left: 0px; width: 0.410156px; font-size: 10.5px; font-family: ffa4; -webkit-text-stroke: 0.1575px rgba(0, 0, 0, 0);"&gt;&lt;/span&gt;&lt;span style="display: inline-block;"&gt;979,5&lt;/span&gt;&lt;span style="word-spacing: -0.231px; letter-spacing: 0.231px; display: inline-block; margin-left: -0.684px; width: 0px; font-size: 10.5px; font-family: ffa4; -webkit-text-stroke: 0.1575px rgba(0, 0, 0, 0);"&gt;&lt;/span&gt;&lt;span style="display: inline-block;"&gt;24,1&lt;/span&gt;&lt;span style="word-spacing: -0.231px; letter-spacing: 0.231px; display: inline-block; margin-left: -0.684px; width: 0px; font-size: 10.5px; font-family: ffa4; -webkit-text-stroke: 0.1575px rgba(0, 0, 0, 0);"&gt;&lt;/span&gt;&lt;span style="display: inline-block;"&gt;79&lt;/span&gt;&lt;/span&gt;&lt;/span&gt;&lt;/span&gt;&lt;span class="pp-font-color-override-1" style="position: absolute; display: inline-block; left: 0px; top: 48.3535px; width: 332.367px; white-space: pre; word-spacing: 0px; letter-spacing: 0.0315px; margin-left: 0px; font-size: 10.5px; font-family: ffa5; -webkit-text-stroke: 0.1575px rgba(0, 0, 0, 0);"&gt;&lt;span style="display: inline-block;"&gt;Sha&lt;/span&gt;&lt;span style="word-spacing: 0px; letter-spacing: 0.0315px; display: inline-block; margin-left: 0px; width: 0.410156px; font-size: 10.5px; font-family: ffa5; -webkit-text-stroke: 0.1575px rgba(0, 0, 0, 0);"&gt;&lt;/span&gt;&lt;span style="display: inline-block;"&gt;re sp&lt;/span&gt;&lt;span style="word-spacing: 0px; letter-spacing: 0.0315px; display: inline-block; margin-left: 0px; width: 0.410156px; font-size: 10.5px; font-family: ffa5; -webkit-text-stroke: 0.1575px rgba(0, 0, 0, 0);"&gt;&lt;/span&gt;&lt;span style="display: inline-block;"&gt;li&lt;/span&gt;&lt;span style="word-spacing: 0px; letter-spacing: 0.0315px; display: inline-block; margin-left: 0px; width: 0.410156px; font-size: 10.5px; font-family: ffa5; -webkit-text-stroke: 0.1575px rgba(0, 0, 0, 0);"&gt;&lt;/span&gt;&lt;span style="display: inline-block;"&gt;t (2:1)&lt;/span&gt;&lt;span style="word-spacing: 0px; letter-spacing: 0.0315px; display: inline-block; margin-left: 0px; width: 167.069px;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24.2988px;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inline-block;"&gt;2,979,524,&lt;/span&gt;&lt;span style="word-spacing: -0.105px; letter-spacing: 0.105px; display: inline-block; margin-left: -0.684px; width: 0px; font-size: 10.5px; font-family: ffa5; -webkit-text-stroke: 0.1575px rgba(0, 0, 0, 0);"&gt;&lt;/span&gt;&lt;span style="display: inline-block;"&gt;179&lt;/span&gt;&lt;/span&gt;&lt;/span&gt;&lt;/span&gt;&lt;span class="pp-font-color-override-1" style="position: absolute; display: inline-block; left: 0px; top: 64.3066px; width: 316.863px; white-space: pre; word-spacing: -0.084px; letter-spacing: 0.1155px; margin-left: 0px; font-size: 10.5px; font-family: ffa5; -webkit-text-stroke: 0.1575px rgba(0, 0, 0, 0);"&gt;&lt;span style="display: inline-block;"&gt;Redem&lt;/span&gt;&lt;span style="word-spacing: -0.084px; letter-spacing: 0.1155px; display: inline-block; margin-left: 0px; width: 0.410156px; font-size: 10.5px; font-family: ffa5; -webkit-text-stroke: 0.1575px rgba(0, 0, 0, 0);"&gt;&lt;/span&gt;&lt;span style="display: inline-block;"&gt;ption of redem&lt;/span&gt;&lt;span style="word-spacing: -0.084px; letter-spacing: 0.1155px; display: inline-block; margin-left: 0px; width: 0.410156px; font-size: 10.5px; font-family: ffa5; -webkit-text-stroke: 0.1575px rgba(0, 0, 0, 0);"&gt;&lt;/span&gt;&lt;span style="display: inline-block;"&gt;ption sha&lt;/span&gt;&lt;span style="word-spacing: -0.084px; letter-spacing: 0.1155px; display: inline-block; margin-left: 0px; width: 0.410156px; font-size: 10.5px; font-family: ffa5; -webkit-text-stroke: 0.1575px rgba(0, 0, 0, 0);"&gt;&lt;/span&gt;&lt;span style="display: inline-block;"&gt;res&lt;/span&gt;&lt;span style="word-spacing: -0.084px; letter-spacing: 0.1155px; display: inline-block; margin-left: 0px; width: 75.006px;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19.0371px; font-size: 10.5px; font-family: ffa5; -webkit-text-stroke: 0.1575px rgba(0, 0, 0, 0);"&gt;&lt;span style="display: inline-block;"&gt; &lt;/span&gt;&lt;/span&gt;&lt;span class="pp-font-color-override-1" style="word-spacing: -0.105px; letter-spacing: 0.105px; display: inline-block; margin-left: 0px; font-size: 10.5px; font-family: ffa5; -webkit-text-stroke: 0.1575px rgba(0, 0, 0, 0);"&gt;&lt;span style="display: inline-block;"&gt;–2,979,52&lt;/span&gt;&lt;span style="word-spacing: -0.105px; letter-spacing: 0.105px; display: inline-block; margin-left: -0.684px; width: 0px; font-size: 10.5px; font-family: ffa5; -webkit-text-stroke: 0.1575px rgba(0, 0, 0, 0);"&gt;&lt;/span&gt;&lt;span style="display: inline-block;"&gt;4,1&lt;/span&gt;&lt;span style="word-spacing: -0.105px; letter-spacing: 0.105px; display: inline-block; margin-left: -0.684px; width: 0px; font-size: 10.5px; font-family: ffa5; -webkit-text-stroke: 0.1575px rgba(0, 0, 0, 0);"&gt;&lt;/span&gt;&lt;span style="display: inline-block;"&gt;79&lt;/span&gt;&lt;/span&gt;&lt;/span&gt;&lt;/span&gt;&lt;span class="pp-font-color-override-1" style="position: absolute; display: inline-block; left: 0px; top: 80.2754px; width: 308.004px; white-space: pre; word-spacing: 0px; letter-spacing: 0.0315px; margin-left: 0px; font-size: 10.5px; font-family: ffa5; -webkit-text-stroke: 0.1575px rgba(0, 0, 0, 0);"&gt;&lt;span style="display: inline-block;"&gt;Acq&lt;/span&gt;&lt;span style="word-spacing: 0px; letter-spacing: 0.0315px; display: inline-block; margin-left: 0px; width: 0.410156px; font-size: 10.5px; font-family: ffa5; -webkit-text-stroke: 0.1575px rgba(0, 0, 0, 0);"&gt;&lt;/span&gt;&lt;span style="display: inline-block;"&gt;uis&lt;/span&gt;&lt;span style="word-spacing: 0px; letter-spacing: 0.0315px; display: inline-block; margin-left: 0px; width: 0.410156px; font-size: 10.5px; font-family: ffa5; -webkit-text-stroke: 0.1575px rgba(0, 0, 0, 0);"&gt;&lt;/span&gt;&lt;span style="display: inline-block;"&gt;iti&lt;/span&gt;&lt;span style="word-spacing: 0px; letter-spacing: 0.0315px; display: inline-block; margin-left: 0px; width: 0.410156px; font-size: 10.5px; font-family: ffa5; -webkit-text-stroke: 0.1575px rgba(0, 0, 0, 0);"&gt;&lt;/span&gt;&lt;span style="display: inline-block;"&gt;on of t&lt;/span&gt;&lt;span style="word-spacing: 0px; letter-spacing: 0.0315px; display: inline-block; margin-left: 0px; width: 0.410156px; font-size: 10.5px; font-family: ffa5; -webkit-text-stroke: 0.1575px rgba(0, 0, 0, 0);"&gt;&lt;/span&gt;&lt;span style="display: inline-block;"&gt;rea&lt;/span&gt;&lt;span style="word-spacing: 0px; letter-spacing: 0.0315px; display: inline-block; margin-left: 0px; width: 0.410156px; font-size: 10.5px; font-family: ffa5; -webkit-text-stroke: 0.1575px rgba(0, 0, 0, 0);"&gt;&lt;/span&gt;&lt;span style="display: inline-block;"&gt;su&lt;/span&gt;&lt;span style="word-spacing: 0px; letter-spacing: 0.0315px; display: inline-block; margin-left: 0px; width: 0.410156px; font-size: 10.5px; font-family: ffa5; -webkit-text-stroke: 0.1575px rgba(0, 0, 0, 0);"&gt;&lt;/span&gt;&lt;span style="display: inline-block;"&gt;r&lt;/span&gt;&lt;span style="word-spacing: 0px; letter-spacing: 0.0315px; display: inline-block; margin-left: 0px; width: 0.410156px; font-size: 10.5px; font-family: ffa5; -webkit-text-stroke: 0.1575px rgba(0, 0, 0, 0);"&gt;&lt;/span&gt;&lt;span style="display: inline-block;"&gt;y sh&lt;/span&gt;&lt;span style="word-spacing: 0px; letter-spacing: 0.0315px; display: inline-block; margin-left: 0px; width: 0.410156px; font-size: 10.5px; font-family: ffa5; -webkit-text-stroke: 0.1575px rgba(0, 0, 0, 0);"&gt;&lt;/span&gt;&lt;span style="display: inline-block;"&gt;are&lt;/span&gt;&lt;span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42.4864px; font-size: 10.5px; font-family: ffa5; -webkit-text-stroke: 0.1575px rgba(0, 0, 0, 0);"&gt;&lt;span style="display: inline-block;"&gt; &lt;/span&gt;&lt;/span&gt;&lt;span class="pp-font-color-override-1" style="word-spacing: -0.189px; letter-spacing: 0.189px; display: inline-block; margin-left: 0px; font-size: 10.5px; font-family: ffa5; -webkit-text-stroke: 0.1575px rgba(0, 0, 0, 0);"&gt;&lt;span style="display: inline-block;"&gt;–&lt;/span&gt;&lt;span style="word-spacing: -0.189px; letter-spacing: 0.189px; display: inline-block; margin-left: -0.684px; width: 0px; font-size: 10.5px; font-family: ffa5; -webkit-text-stroke: 0.1575px rgba(0, 0, 0, 0);"&gt;&lt;/span&gt;&lt;span style="display: inline-block;"&gt;12,500,&lt;/span&gt;&lt;span style="word-spacing: -0.189px; letter-spacing: 0.189px; display: inline-block; margin-left: -0.684px; width: 0px; font-size: 10.5px; font-family: ffa5; -webkit-text-stroke: 0.1575px rgba(0, 0, 0, 0);"&gt;&lt;/span&gt;&lt;span style="display: inline-block;"&gt;000&lt;/span&gt;&lt;span style="word-spacing: -0.189px; letter-spacing: 0.189px; display: inline-block; margin-left: 0px; width: 32.3906px; font-size: 10.5px; font-family: ffa5; -webkit-text-stroke: 0.1575px rgba(0, 0, 0, 0);"&gt;&lt;span style="display: inline-block;"&gt; &lt;/span&gt;&lt;/span&gt;&lt;span style="display: inline-block;"&gt;–&lt;/span&gt;&lt;span style="word-spacing: -0.189px; letter-spacing: 0.189px; display: inline-block; margin-left: 0px; width: 0.410156px; font-size: 10.5px; font-family: ffa5; -webkit-text-stroke: 0.1575px rgba(0, 0, 0, 0);"&gt;&lt;/span&gt;&lt;span style="display: inline-block;"&gt;6,500,000&lt;/span&gt;&lt;/span&gt;&lt;/span&gt;&lt;span class="pp-font-color-override-1" style="position: absolute; display: inline-block; left: 0px; top: 96.2285px; width: 316.289px; white-space: pre; word-spacing: 0px; letter-spacing: 0.0315px; margin-left: 0px; font-size: 10.5px; font-family: ffa5; -webkit-text-stroke: 0.1575px rgba(0, 0, 0, 0);"&gt;&lt;span style="display: inline-block;"&gt;Is&lt;/span&gt;&lt;span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0.410156px; font-size: 10.5px; font-family: ffa5; -webkit-text-stroke: 0.1575px rgba(0, 0, 0, 0);"&gt;&lt;/span&gt;&lt;span style="display: inline-block;"&gt;ue of t&lt;/span&gt;&lt;span style="word-spacing: 0px; letter-spacing: 0.0315px; display: inline-block; margin-left: 0px; width: 0.410156px; font-size: 10.5px; font-family: ffa5; -webkit-text-stroke: 0.1575px rgba(0, 0, 0, 0);"&gt;&lt;/span&gt;&lt;span style="display: inline-block;"&gt;rea&lt;/span&gt;&lt;span style="word-spacing: 0px; letter-spacing: 0.0315px; display: inline-block; margin-left: 0px; width: 0.410156px; font-size: 10.5px; font-family: ffa5; -webkit-text-stroke: 0.1575px rgba(0, 0, 0, 0);"&gt;&lt;/span&gt;&lt;span style="display: inline-block;"&gt;su&lt;/span&gt;&lt;span style="word-spacing: 0px; letter-spacing: 0.0315px; display: inline-block; margin-left: 0px; width: 0.410156px; font-size: 10.5px; font-family: ffa5; -webkit-text-stroke: 0.1575px rgba(0, 0, 0, 0);"&gt;&lt;/span&gt;&lt;span style="display: inline-block;"&gt;r&lt;/span&gt;&lt;span style="word-spacing: 0px; letter-spacing: 0.0315px; display: inline-block; margin-left: 0px; width: 0.410156px; font-size: 10.5px; font-family: ffa5; -webkit-text-stroke: 0.1575px rgba(0, 0, 0, 0);"&gt;&lt;/span&gt;&lt;span style="display: inline-block;"&gt;y sh&lt;/span&gt;&lt;span style="word-spacing: 0px; letter-spacing: 0.0315px; display: inline-block; margin-left: 0px; width: 0.410156px; font-size: 10.5px; font-family: ffa5; -webkit-text-stroke: 0.1575px rgba(0, 0, 0, 0);"&gt;&lt;/span&gt;&lt;span style="display: inline-block;"&gt;are&lt;/span&gt;&lt;span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85.0252px; font-size: 10.5px; font-family: ffa5; -webkit-text-stroke: 0.1575px rgba(0, 0, 0, 0);"&gt;&lt;span style="display: inline-block;"&gt; &lt;/span&gt;&lt;/span&gt;&lt;span class="pp-font-color-override-1" style="word-spacing: 0.063px; letter-spacing: -0.063px; display: inline-block; margin-left: 0px; font-size: 10.5px; font-family: ffa5; -webkit-text-stroke: 0.1575px rgba(0, 0, 0, 0);"&gt;&lt;span style="display: inline-block;"&gt;2,6&lt;/span&gt;&lt;span style="word-spacing: 0.063px; letter-spacing: -0.063px; display: inline-block; margin-left: 0px; width: 0.410156px; font-size: 10.5px; font-family: ffa5; -webkit-text-stroke: 0.1575px rgba(0, 0, 0, 0);"&gt;&lt;/span&gt;&lt;span style="display: inline-block;"&gt;25&lt;/span&gt;&lt;span style="word-spacing: 0.063px; letter-spacing: -0.063px; display: inline-block; margin-left: 0px; width: 0.410156px; font-size: 10.5px; font-family: ffa5; -webkit-text-stroke: 0.1575px rgba(0, 0, 0, 0);"&gt;&lt;/span&gt;&lt;span style="display: inline-block;"&gt;,3&lt;/span&gt;&lt;span style="word-spacing: 0.063px; letter-spacing: -0.063px; display: inline-block; margin-left: 0px; width: 0.410156px; font-size: 10.5px; font-family: ffa5; -webkit-text-stroke: 0.1575px rgba(0, 0, 0, 0);"&gt;&lt;/span&gt;&lt;span style="display: inline-block;"&gt;56&lt;/span&gt;&lt;span style="word-spacing: 0.063px; letter-spacing: -0.063px; display: inline-block; margin-left: 0px; width: 43.869px; font-size: 10.5px; font-family: ffa5; -webkit-text-stroke: 0.1575px rgba(0, 0, 0, 0);"&gt;&lt;span style="display: inline-block;"&gt;&lt;span style="width: 2.625px; display: inline-block;"&gt; &lt;/span&gt;&lt;/span&gt;&lt;/span&gt;&lt;span class="pp-font-color-override-1" style="word-spacing: 0.231px; letter-spacing: -0.231px; display: inline-block; margin-left: 0px; font-size: 10.5px; font-family: ffa5; -webkit-text-stroke: 0.1575px rgba(0, 0, 0, 0);"&gt;&lt;span style="display: inline-block;"&gt;1,&lt;/span&gt;&lt;span style="word-spacing: 0.231px; letter-spacing: -0.231px; display: inline-block; margin-left: 0px; width: 0.410156px; font-size: 10.5px; font-family: ffa5; -webkit-text-stroke: 0.1575px rgba(0, 0, 0, 0);"&gt;&lt;/span&gt;&lt;span style="display: inline-block;"&gt;47&lt;/span&gt;&lt;span style="word-spacing: 0.231px; letter-spacing: -0.231px; display: inline-block; margin-left: 0px; width: 0.410156px; font-size: 10.5px; font-family: ffa5; -webkit-text-stroke: 0.1575px rgba(0, 0, 0, 0);"&gt;&lt;/span&gt;&lt;span style="display: inline-block;"&gt;9&lt;/span&gt;&lt;span style="word-spacing: 0.231px; letter-spacing: -0.231px; display: inline-block; margin-left: 0px; width: 0.410156px; font-size: 10.5px; font-family: ffa5; -webkit-text-stroke: 0.1575px rgba(0, 0, 0, 0);"&gt;&lt;/span&gt;&lt;span style="display: inline-block;"&gt;,&lt;/span&gt;&lt;span style="word-spacing: 0.231px; letter-spacing: -0.231px; display: inline-block; margin-left: 0px; width: 0.410156px; font-size: 10.5px; font-family: ffa5; -webkit-text-stroke: 0.1575px r</t>
  </si>
  <si>
    <t>f1__s8__6__247</t>
  </si>
  <si>
    <t>ifrs-full:DisclosureOfReservesAndOtherEquityInterestExplanatory</t>
  </si>
  <si>
    <t>&lt;span style="display:inherit;clear:left;"&gt;The share p&lt;span class="_ _2"&gt;&lt;/span&gt;remium&lt;span class="ffa3 ls3 ws3"&gt; re&lt;span class="_ _7"&gt;&lt;/span&gt;lat&lt;span class="_ _7"&gt;&lt;/span&gt;es to i&lt;span class="_ _7"&gt;&lt;/span&gt;s&lt;span class="_ _7"&gt;&lt;/span&gt;s&lt;span class="_ _7"&gt;&lt;/span&gt;ue in k&lt;span class="_ _7"&gt;&lt;/span&gt;in&lt;span class="_ _7"&gt;&lt;/span&gt;d at&lt;span class="_ _7"&gt;&lt;/span&gt;tr&lt;span class="_ _7"&gt;&lt;/span&gt;ib&lt;span class="_ _7"&gt;&lt;/span&gt;ut&lt;span class="_ _7"&gt;&lt;/span&gt;abl&lt;span class="_ _7"&gt;&lt;/span&gt;e to Zh&lt;span class="_ _7"&gt;&lt;/span&gt;eji&lt;span class="_ _7"&gt;&lt;/span&gt;ang &lt;/span&gt;&lt;/span&gt;&lt;span style="display:inherit;clear:left;"&gt;Ge&lt;span class="_ _7"&gt;&lt;/span&gt;ely H&lt;span class="_ _7"&gt;&lt;/span&gt;old&lt;span class="_ _7"&gt;&lt;/span&gt;ing G&lt;span class="_ _7"&gt;&lt;/span&gt;ro&lt;span class="_ _7"&gt;&lt;/span&gt;up C&lt;span class="_ _7"&gt;&lt;/span&gt;o., Ltd&lt;span class="_ _7"&gt;&lt;/span&gt;’s acq&lt;span class="_ _7"&gt;&lt;/span&gt;ui&lt;span class="_ _7"&gt;&lt;/span&gt;sit&lt;span class="_ _7"&gt;&lt;/span&gt;io&lt;span class="_ _7"&gt;&lt;/span&gt;n in ye&lt;span class="_ _7"&gt;&lt;/span&gt;ar 2010. Sha&lt;span class="_ _7"&gt;&lt;/span&gt;re p&lt;span class="_ _7"&gt;&lt;/span&gt;re-&lt;/span&gt;&lt;span style="display:inherit;clear:left;"&gt;miu&lt;span class="_ _7"&gt;&lt;/span&gt;m al&lt;span class="_ _7"&gt;&lt;/span&gt;s&lt;span class="_ _7"&gt;&lt;/span&gt;o inc&lt;span class="_ _7"&gt;&lt;/span&gt;lud&lt;span class="_ _7"&gt;&lt;/span&gt;e ca&lt;span class="_ _7"&gt;&lt;/span&gt;pi&lt;span class="_ _7"&gt;&lt;/span&gt;ta&lt;span class="_ _7"&gt;&lt;/span&gt;l re&lt;span class="_ _7"&gt;&lt;/span&gt;cei&lt;span class="_ _7"&gt;&lt;/span&gt;ve&lt;span class="_ _7"&gt;&lt;/span&gt;d (red&lt;span class="_ _7"&gt;&lt;/span&gt;uc&lt;span class="_ _7"&gt;&lt;/span&gt;ed by t&lt;span class="_ _7"&gt;&lt;/span&gt;ra&lt;span class="_ _7"&gt;&lt;/span&gt;ns&lt;span class="_ _7"&gt;&lt;/span&gt;ac&lt;span class="_ _7"&gt;&lt;/span&gt;ti&lt;span class="_ _7"&gt;&lt;/span&gt;on co&lt;span class="_ _7"&gt;&lt;/span&gt;s&lt;span class="_ _7"&gt;&lt;/span&gt;ts) in &lt;/span&gt;&lt;span style="display:inherit;clear:left;"&gt;exce&lt;span class="_ _7"&gt;&lt;/span&gt;s&lt;span class="_ _7"&gt;&lt;/span&gt;s of p&lt;span class="_ _7"&gt;&lt;/span&gt;ar v&lt;span class="_ _7"&gt;&lt;/span&gt;alu&lt;span class="_ _7"&gt;&lt;/span&gt;e of i&lt;span class="_ _7"&gt;&lt;/span&gt;s&lt;span class="_ _7"&gt;&lt;/span&gt;sue&lt;span class="_ _7"&gt;&lt;/span&gt;d c&lt;span class="_ _7"&gt;&lt;/span&gt;api&lt;span class="_ _7"&gt;&lt;/span&gt;t&lt;span class="_ _7"&gt;&lt;/span&gt;al&lt;span class="_ _7"&gt;&lt;/span&gt;. &lt;/span&gt;&lt;span style="display:inherit;clear:left;"&gt;Other contributed capital&lt;span class="ffa3 lsc7 wsed"&gt; consists of Group con&lt;span class="_ _2"&gt;&lt;/span&gt;tributions from &lt;/span&gt;&lt;/span&gt;&lt;span style="display:inherit;clear:left;"&gt;Geely Sw&lt;span class="_ _2"&gt;&lt;/span&gt;eden Holding Group&lt;span class="_ _2"&gt;&lt;/span&gt; and unconditional sharehol&lt;span class="_ _2"&gt;&lt;/span&gt;der&lt;span class="_ _7"&gt;&lt;/span&gt;s’ con&lt;span class="_ _2"&gt;&lt;/span&gt;&lt;span class="ls3 ws3"&gt;-&lt;/span&gt;&lt;/span&gt;&lt;span style="display:inherit;clear:left;"&gt;tributi&lt;span class="_ _2"&gt;&lt;/span&gt;on from Shan&lt;span class="_ _2"&gt;&lt;/span&gt;ghai Geely&lt;span class="_ _2"&gt;&lt;/span&gt; Zhaoyuan I&lt;span class="_ _2"&gt;&lt;/span&gt;nternationa&lt;span class="_ _2"&gt;&lt;/span&gt;l Investmen&lt;span class="_ _2"&gt;&lt;/span&gt;t &lt;/span&gt;&lt;span style="display:inherit;clear:left;"&gt;Co.,&lt;span class="_ _2"&gt;&lt;/span&gt; Ltd.&lt;/span&gt;&lt;span style="display:inherit;clear:left;"&gt;The currenc&lt;span class="_ _2"&gt;&lt;/span&gt;y translation&lt;span class="ffa3 ls3 ws3"&gt; &lt;/span&gt;&lt;span class="ls18e ws1dd"&gt;reserv&lt;span class="_ _2"&gt;&lt;/span&gt;e&lt;span class="ffa3 ls3 ws3"&gt; co&lt;span class="_ _7"&gt;&lt;/span&gt;mpr&lt;span class="_ _7"&gt;&lt;/span&gt;is&lt;span class="_ _7"&gt;&lt;/span&gt;e&lt;span class="_ _7"&gt;&lt;/span&gt;s exch&lt;span class="_ _7"&gt;&lt;/span&gt;ang&lt;span class="_ _7"&gt;&lt;/span&gt;e ra&lt;span class="_ _7"&gt;&lt;/span&gt;te di&lt;span class="_ _7"&gt;&lt;/span&gt;f&lt;span class="_ _7"&gt;&lt;/span&gt;fe&lt;span class="_ _7"&gt;&lt;/span&gt;r&lt;span class="_ _2"&gt;&lt;/span&gt;-&lt;/span&gt;&lt;/span&gt;&lt;/span&gt;&lt;span style="display:inherit;clear:left;"&gt;en&lt;span class="_ _7"&gt;&lt;/span&gt;ce&lt;span class="_ _7"&gt;&lt;/span&gt;s of h&lt;span class="_ _7"&gt;&lt;/span&gt;edg&lt;span class="_ _7"&gt;&lt;/span&gt;e in&lt;span class="_ _7"&gt;&lt;/span&gt;st&lt;span class="_ _7"&gt;&lt;/span&gt;ru&lt;span class="_ _7"&gt;&lt;/span&gt;me&lt;span class="_ _7"&gt;&lt;/span&gt;nt&lt;span class="_ _7"&gt;&lt;/span&gt;s of n&lt;span class="_ _7"&gt;&lt;/span&gt;et inv&lt;span class="_ _7"&gt;&lt;/span&gt;es&lt;span class="_ _7"&gt;&lt;/span&gt;tm&lt;span class="_ _7"&gt;&lt;/span&gt;ent&lt;span class="_ _7"&gt;&lt;/span&gt;s in f&lt;span class="_ _7"&gt;&lt;/span&gt;or&lt;span class="_ _7"&gt;&lt;/span&gt;eig&lt;span class="_ _7"&gt;&lt;/span&gt;n op&lt;span class="_ _7"&gt;&lt;/span&gt;er&lt;span class="_ _7"&gt;&lt;/span&gt;at&lt;span class="_ _7"&gt;&lt;/span&gt;ion&lt;span class="_ _7"&gt;&lt;/span&gt;s &lt;/span&gt;&lt;span style="display:inherit;clear:left;"&gt;and e&lt;span class="_ _7"&gt;&lt;/span&gt;xcha&lt;span class="_ _7"&gt;&lt;/span&gt;nge r&lt;span class="_ _7"&gt;&lt;/span&gt;ate d&lt;span class="_ _7"&gt;&lt;/span&gt;if&lt;span class="_ _9"&gt;&lt;/span&gt;fer&lt;span class="_ _7"&gt;&lt;/span&gt;en&lt;span class="_ _7"&gt;&lt;/span&gt;ce&lt;span class="_ _7"&gt;&lt;/span&gt;s re&lt;span class="_ _7"&gt;&lt;/span&gt;su&lt;span class="_ _7"&gt;&lt;/span&gt;ltin&lt;span class="_ _7"&gt;&lt;/span&gt;g fr&lt;span class="_ _7"&gt;&lt;/span&gt;om th&lt;span class="_ _7"&gt;&lt;/span&gt;e tr&lt;span class="_ _7"&gt;&lt;/span&gt;an&lt;span class="_ _7"&gt;&lt;/span&gt;sl&lt;span class="_ _7"&gt;&lt;/span&gt;ati&lt;span class="_ _7"&gt;&lt;/span&gt;on o&lt;span class="_ _7"&gt;&lt;/span&gt;f &lt;/span&gt;&lt;span style="display:inherit;clear:left;"&gt;financial reports of foreign&lt;span class="_ _2"&gt;&lt;/span&gt; operations that ha&lt;span class="_ _2"&gt;&lt;/span&gt;ve prepared their&lt;span class="_ _2"&gt;&lt;/span&gt; &lt;/span&gt;&lt;span style="display:inherit;clear:left;"&gt;fi&lt;span class="_ _7"&gt;&lt;/span&gt;nan&lt;span class="_ _7"&gt;&lt;/span&gt;ci&lt;span class="_ _7"&gt;&lt;/span&gt;al re&lt;span class="_ _7"&gt;&lt;/span&gt;po&lt;span class="_ _7"&gt;&lt;/span&gt;r&lt;span class="_ _7"&gt;&lt;/span&gt;t&lt;span class="_ _7"&gt;&lt;/span&gt;s in a cu&lt;span class="_ _7"&gt;&lt;/span&gt;rr&lt;span class="_ _7"&gt;&lt;/span&gt;en&lt;span class="_ _7"&gt;&lt;/span&gt;cy oth&lt;span class="_ _7"&gt;&lt;/span&gt;er t&lt;span class="_ _7"&gt;&lt;/span&gt;han Volvo C&lt;span class="_ _7"&gt;&lt;/span&gt;ar G&lt;span class="_ _7"&gt;&lt;/span&gt;ro&lt;span class="_ _7"&gt;&lt;/span&gt;up’s rep&lt;span class="_ _7"&gt;&lt;/span&gt;or&lt;span class="_ _9"&gt;&lt;/span&gt;t&lt;span class="_ _2"&gt;&lt;/span&gt;-&lt;/span&gt;&lt;span style="display:inherit;clear:left;"&gt;ing  &lt;span class="_ _b3"&gt;&lt;/span&gt;cur&lt;span class="_ _7"&gt;&lt;/span&gt;re&lt;span class="_ _7"&gt;&lt;/span&gt;nc&lt;span class="_ _7"&gt;&lt;/span&gt;y. The pa&lt;span class="_ _7"&gt;&lt;/span&gt;re&lt;span class="_ _7"&gt;&lt;/span&gt;nt co&lt;span class="_ _7"&gt;&lt;/span&gt;mp&lt;span class="_ _7"&gt;&lt;/span&gt;any an&lt;span class="_ _7"&gt;&lt;/span&gt;d Volvo C&lt;span class="_ _7"&gt;&lt;/span&gt;ar Gr&lt;span class="_ _7"&gt;&lt;/span&gt;ou&lt;span class="_ _7"&gt;&lt;/span&gt;p pre&lt;span class="_ _7"&gt;&lt;/span&gt;s&lt;span class="_ _7"&gt;&lt;/span&gt;en&lt;span class="_ _7"&gt;&lt;/span&gt;t &lt;/span&gt;&lt;span style="display:inherit;clear:left;"&gt;the&lt;span class="_ _7"&gt;&lt;/span&gt;ir f&lt;span class="_ _7"&gt;&lt;/span&gt;in&lt;span class="_ _7"&gt;&lt;/span&gt;anc&lt;span class="_ _7"&gt;&lt;/span&gt;ia&lt;span class="_ _7"&gt;&lt;/span&gt;l rep&lt;span class="_ _7"&gt;&lt;/span&gt;or&lt;span class="_ _9"&gt;&lt;/span&gt;ts in S&lt;span class="_ _7"&gt;&lt;/span&gt;EK&lt;span class="_ _7"&gt;&lt;/span&gt;.&lt;/span&gt;&lt;span style="display:inherit;clear:left;position:relative;height:91.87109375px;"&gt;&lt;span class="pp-font-color-override-1" style="position: absolute; display: inline-block; left: 260.375px; top: 0.248047px; width: 73.3008px; white-space: pre; word-spacing: 0px; letter-spacing: 0px; margin-left: 0px; font-size: 9.6px; font-family: ffa5; -webkit-text-stroke: 0.144px rgba(0, 0, 0, 0);"&gt;&lt;span style="display: inline-block;"&gt;Change in number &lt;/span&gt;&lt;/span&gt;&lt;span class="pp-font-color-override-1" style="position: absolute; display: inline-block; left: 373.531px; top: 0.248047px; width: 64.0957px; white-space: pre; word-spacing: 0px; letter-spacing: 0px; margin-left: 0px; font-size: 9.6px; font-family: ffa5; -webkit-text-stroke: 0.144px rgba(0, 0, 0, 0);"&gt;&lt;span style="display: inline-block;"&gt;Total number of &lt;/span&gt;&lt;/span&gt;&lt;span class="pp-font-color-override-1" style="position: absolute; display: inline-block; left: 468.406px; top: 0.248047px; width: 63.6973px; white-space: pre; word-spacing: 0px; letter-spacing: 0px; margin-left: 0px; font-size: 9.6px; font-family: ffa5; -webkit-text-stroke: 0.144px rgba(0, 0, 0, 0);"&gt;&lt;span style="display: inline-block;"&gt;Quota value per &lt;/span&gt;&lt;/span&gt;&lt;span class="pp-font-color-override-1" style="position: absolute; display: inline-block; left: 563.344px; top: 0.248047px; width: 64.2363px; white-space: pre; word-spacing: 0px; letter-spacing: 0px; margin-left: 0px; font-size: 9.6px; font-family: ffa5; -webkit-text-stroke: 0.144px rgba(0, 0, 0, 0);"&gt;&lt;span style="display: inline-block;"&gt;Change in share &lt;/span&gt;&lt;/span&gt;&lt;span class="pp-font-color-override-1" style="position: absolute; display: inline-block; left: 656.016px; top: 0.0136718px; width: 80.3496px; white-space: pre; word-spacing: -0.183px; letter-spacing: 0.183px; margin-left: 0px; font-size: 9.6px; font-family: ffa4; -webkit-text-stroke: 0.144px rgba(0, 0, 0, 0);"&gt;&lt;span style="display: inline-block;"&gt;Total&lt;/span&gt;&lt;span class="pp-font-color-override-1" style="word-spacing: -0.366px; letter-spacing: 0.183px; display: inline-block; margin-left: 0px; font-size: 9.6px; font-family: ffa4; -webkit-text-stroke: 0.144px rgba(0, 0, 0, 0);"&gt;&lt;span style="display: inline-block;"&gt; s&lt;/span&gt;&lt;/span&gt;&lt;span style="display: inline-block;"&gt;hare&lt;/span&gt;&lt;span class="pp-font-color-override-1" style="word-spacing: -0.3645px; letter-spacing: 0.183px; display: inline-block; margin-left: 0px; font-size: 9.6px; font-family: ffa4; -webkit-text-stroke: 0.144px rgba(0, 0, 0, 0);"&gt;&lt;span style="display: inline-block;"&gt; c&lt;/span&gt;&lt;/span&gt;&lt;span style="display: inline-block;"&gt;apital,  &lt;/span&gt;&lt;/span&gt;&lt;span class="pp-font-color-override-1" style="position: absolute; display: inline-block; left: 3.84375px; top: 10.748px; width: 93.7734px; white-space: pre; word-spacing: 17.274px; letter-spacing: 0.105px; margin-left: 0px; font-size: 9.6px; font-family: ffa5; -webkit-text-stroke: 0.144px rgba(0, 0, 0, 0);"&gt;&lt;span style="display: inline-block;"&gt;Month&lt;/span&gt;&lt;span class="pp-font-color-override-1" style="word-spacing: 17.274px; letter-spacing: 0.105px; display: inline-block; margin-left: 0px; font-size: 9.6px; font-family: ffa9; -webkit-text-stroke: 0.144px rgba(0, 0, 0, 0);"&gt;&lt;span style="display: inline-block;"&gt;&lt;span style="width: 19.7812px; display: inline-block;"&gt; &lt;/span&gt;&lt;/span&gt;&lt;/span&gt;&lt;span class="pp-font-color-override-1" style="word-spacing: 7.6425px; letter-spacing: -0.471px; display: inline-block; margin-left: 0px; font-size: 9.6px; font-family: ffa5; -webkit-text-stroke: 0.144px rgba(0, 0, 0, 0);"&gt;&lt;span style="display: inline-block;"&gt;Year&lt;/span&gt;&lt;span class="pp-font-color-override-1" style="word-spacing: 7.6425px; letter-spacing: -0.471px; display: inline-block; margin-left: 0px; font-size: 9.6px; font-family: ffa9; -webkit-text-stroke: 0.144px rgba(0, 0, 0, 0);"&gt;&lt;span style="display: inline-block;"&gt;&lt;span style="width: 9.57422px; display: inline-block;"&gt; &lt;/span&gt;&lt;/span&gt;&lt;/span&gt;&lt;span class="pp-font-color-override-1" style="word-spacing: -0.0195px; letter-spacing: 0.0195px; display: inline-block; margin-left: 0px; font-size: 9.6px; font-family: ffa5; -webkit-text-stroke: 0.144px rgba(0, 0, 0, 0);"&gt;&lt;span style="display: inline-block;"&gt;Event&lt;/span&gt;&lt;/span&gt;&lt;/span&gt;&lt;/span&gt;&lt;span class="pp-font-color-override-1" style="position: absolute; display: inline-block; left: 301.312px; top: 10.748px; width: 34.3828px; white-space: pre; word-spacing: 0px; letter-spacing: 0px; margin-left: 0px; font-size: 9.6px; font-family: ffa5; -webkit-text-stroke: 0.144px rgba(0, 0, 0, 0);"&gt;&lt;span style="display: inline-block;"&gt;of shares&lt;/span&gt;&lt;/span&gt;&lt;span class="pp-font-color-override-1" style="position: absolute; display: inline-block; left: 414.172px; top: 10.748px; width: 24.5098px; white-space: pre; word-spacing: -0.087px; letter-spacing: 0.087px; margin-left: 0px; font-size: 9.6px; font-family: ffa5; -webkit-text-stroke: 0.144px rgba(0, 0, 0, 0);"&gt;&lt;span style="display: inline-block;"&gt;shares&lt;/span&gt;&lt;/span&gt;&lt;span class="pp-font-color-override-1" style="position: absolute; display: inline-block; left: 490.453px; top: 10.748px; width: 43.1836px; white-space: pre; word-spacing: 0px; letter-spacing: 0px; margin-left: 0px; font-size: 9.6px; font-family: ffa5; -webkit-text-stroke: 0.144px rgba(0, 0, 0, 0);"&gt;&lt;span style="display: inline-block;"&gt;share, SEK&lt;/span&gt;&lt;/span&gt;&lt;span class="pp-font-color-override-1" style="position: absolute; display: inline-block; left: 582.078px; top: 10.748px; width: 16.6758px; white-space: pre; word-spacing: -0.1725px; letter-spacing: 0.1725px; margin-left: 0px; font-size: 9.6px; font-family: ffa5; -webkit-text-stroke: 0.144px rgba(0, 0, 0, 0);"&gt;&lt;span style="display: inline-block;"&gt;capi&lt;/span&gt;&lt;/span&gt;&lt;span class="pp-font-color-override-1" style="position: absolute; display: inline-block; left: 600.734px; top: 10.748px; width: 33.5684px; white-space: pre; word-spacing: -0.1725px; letter-spacing: 0.1725px; margin-left: 0px; font-size: 9.6px; font-family: ffa5; -webkit-text-stroke: 0.144px rgba(0, 0, 0, 0);"&gt;&lt;span style="display: inline-block;"&gt;tal,&lt;/span&gt;&lt;span class="pp-font-color-override-1" style="word-spacing: -0.345px; letter-spacing: 0.1725px; display: inline-block; margin-left: 0px; font-size: 9.6px; font-family: ffa5; -webkit-text-stroke: 0.144px rgba(0, 0, 0, 0);"&gt;&lt;span style="display: inline-block;"&gt; S&lt;/span&gt;&lt;/span&gt;&lt;span style="display: inline-block;"&gt;EK&lt;/span&gt;&lt;/span&gt;&lt;span class="pp-font-color-override-1" style="position: absolute; display: inline-block; left: 728.422px; top: 10.5137px; width: 18.5098px; white-space: pre; word-spacing: -0.1245px; letter-spacing: 0.1245px; margin-left: 0px; font-size: 9.6px; font-family: ffa4; -webkit-text-stroke: 0.144px rgba(0, 0, 0, 0);"&gt;&lt;span style="display: inline-block;"&gt;SEK&lt;/span&gt;&lt;/span&gt;&lt;span class="pp-font-color-override-1" style="position: absolute; display: inline-block; left: 0px; top: 32.5137px; width: 50.0391px; white-space: pre; word-spacing: 0.231px; letter-spacing: -0.231px; margin-left: 0px; font-size: 10.5px; font-family: ffaa; -webkit-text-stroke: 0.1575px rgba(0, 0, 0, 0);"&gt;&lt;span style="display: inline-block;"&gt;01&lt;/span&gt;&lt;span style="word-spacing: 0.231px; letter-spacing: -0.231px; display: inline-block; margin-left: 0px; width: 35.0918px; font-size: 10.5px; font-family: ffaa; -webkit-text-stroke: 0.1575px rgba(0, 0, 0, 0);"&gt;&lt;span style="display: inline-block;"&gt;&lt;span style="width: 2.625px; display: inline-block;"&gt; &lt;/span&gt;&lt;/span&gt;&lt;/span&gt;&lt;span class="pp-font-color-override-1" style="word-spacing: 7.3185px; letter-spacing: -0.3465px; display: inline-block; margin-left: 0px; font-size: 10.5px; font-family: ffaa; -webkit-text-stroke: 0.1575px rgba(0, 0, 0, 0);"&gt;&lt;span style="display: inline-block;"&gt;2&lt;/span&gt;&lt;/span&gt;&lt;/span&gt;&lt;span class="pp-font-color-override-1" style="position: absolute; display: inline-block; left: 52.5625px; top: 32.5137px; width: 143.285px; white-space: pre; word-spacing: 7.3185px; letter-spacing: -0.3465px; margin-left: 0px; font-size: 10.5px; font-family: ffaa; -webkit-text-stroke: 0.1575px rgba(0, 0, 0, 0);"&gt;&lt;span style="display: inline-block;"&gt;024&lt;/span&gt;&lt;span class="pp-font-color-override-1" style="word-spacing: 7.3185px; letter-spacing: -0.3465px; display: inline-block; margin-left: 0px; font-size: 10.5px; font-family: ffa9; -webkit-text-stroke: 0.1575px rgba(0, 0, 0, 0);"&gt;&lt;span style="display: inline-block;"&gt;&lt;span style="width: 9.59766px; display: inline-block;"&gt; &lt;/span&gt;&lt;/span&gt;&lt;/span&gt;&lt;span class="pp-font-color-override-1" style="word-spacing: 0px; letter-spacing: 0.0315px; display: inline-block; margin-left: 0px; font-size: 10.5px; font-family: ffaa; -webkit-text-stroke: 0.1575px rgba(0, 0, 0, 0);"&gt;&lt;span style="display: inline-block;"&gt;At the beginning of the year&lt;/span&gt;&lt;/span&gt;&lt;/span&gt;&lt;span class="pp-font-color-override-1" style="position: absolute; display: inline-block; left: 330.906px; top: 32.5137px; width: 49.3242px; white-space: pre; word-spacing: 0px; letter-spacing: 0px; margin-left: 0px; font-size: 10.5px; font-family: ffaa; -webkit-text-stroke: 0.1575px rgba(0, 0, 0, 0);"&gt;&lt;span style="display: inline-block;"&gt;—&lt;/span&gt;&lt;span style="word-spacing: 0px; letter-spacing: 0px; display: inline-block; margin-left: 0px; width: 33.5273px; font-size: 10.5px; font-family: ffaa; -webkit-text-stroke: 0.1575px rgba(0, 0, 0, 0);"&gt;&lt;span style="display: inline-block;"&gt; &lt;/span&gt;&lt;/span&gt;&lt;span class="pp-font-color-override-1" style="word-spacing: -0.042px; letter-spacing: 0.042px; display: inline-block; margin-left: 0px; font-size: 10.5px; font-family: ffaa; -webkit-text-stroke: 0.1575px rgba(0, 0, 0, 0);"&gt;&lt;span style="display: inline-block;"&gt;2&lt;/span&gt;&lt;/span&gt;&lt;/span&gt;&lt;span class="pp-font-color-override-1" style="position: absolute; display: inline-block; left: 381.375px; top: 32.5137px; width: 55.6348px; white-space: pre; word-spacing: -0.042px; letter-spacing: 0.042px; margin-left: 0px; font-size: 10.5px; font-family: ffaa; -webkit-text-stroke: 0.1575px rgba(0, 0, 0, 0);"&gt;&lt;span style="display: inline-block;"&gt;,979,524,179&lt;/span&gt;&lt;/span&gt;&lt;span class="pp-font-color-override-1" style="position: absolute; display: inline-block; left: 514.531px; top: 32.5137px; width: 7.79297px; white-space: pre; word-spacing: 0.042px; letter-spacing: -0.042px; margin-left: 0px; font-size: 10.5px; font-family: ffaa; -webkit-text-stroke: 0.1575px rgba(0, 0, 0, 0);"&gt;&lt;span style="display: inline-block;"&gt;0.&lt;/span&gt;&lt;/span&gt;&lt;span class="pp-font-color-override-1" style="position: absolute; display: inline-block; left: 524.891px; top: 32.5137px; width: 10.418px; white-space: pre; word-spacing: 0.042px; letter-spacing: -0.042px; margin-left: 0px; font-size: 10.5px; font-family: ffaa; -webkit-text-stroke: 0.1575px rgba(0, 0, 0, 0);"&gt;&lt;span style="display: inline-block;"&gt;02&lt;/span&gt;&lt;/span&gt;&lt;span class="pp-font-color-override-1" style="position: absolute; display: inline-block; left: 623.797px; top: 32.5137px; width: 68.9062px; white-space: pre; word-spacing: 0px; letter-spacing: 0px; margin-left: 0px; font-size: 10.5px; font-family: ffaa; -webkit-text-stroke: 0.1575px rgba(0, 0, 0, 0);"&gt;&lt;span style="display: inline-block;"&gt;—&lt;/span&gt;&lt;span style="word-spacing: 0px; letter-spacing: 0px; display: inline-block; margin-left: 0px; width: 53.6659px; font-size: 10.5px; font-family: ffaa; -webkit-text-stroke: 0.1575px rgba(0, 0, 0, 0);"&gt;&lt;span style="display: inline-block;"&gt; &lt;/span&gt;&lt;/span&gt;&lt;span class="pp-font-color-override-1" style="word-spacing: 0.5145px; letter-spacing: -0.5145px; display: inline-block; margin-left: 0px; font-size: 10.5px; font-family: ffaa; -webkit-text-stroke: 0.1575px rgba(0, 0, 0, 0);"&gt;&lt;span style="display: inline-block;"&gt;6&lt;/span&gt;&lt;/span&gt;&lt;/span&gt;&lt;span class="pp-font-color-override-1" style="position: absolute; display: inline-block; left: 695.234px; top: 32.5137px; width: 37.3711px; white-space: pre; word-spacing: 0.5145px; letter-spacing: -0.5145px; margin-left: 0px; font-size: 10.5px; font-family: ffaa; -webkit-text-stroke: 0.1575px rgba(0, 0, 0, 0);"&gt;&lt;span style="display: inline-block;"&gt;0,947,709&lt;/span&gt;&lt;/span&gt;&lt;span class="pp-font-color-override-1" style="position: absolute; display: inline-block; left: 0px; top: 48.3535px; width: 47.7246px; white-space: pre; word-spacing: -0.1995px; letter-spacing: 0.1995px; margin-left: 0px; font-size: 10.5px; font-family: ffa5; -webkit-text-stroke: 0.1575px rgba(0, 0, 0, 0);"&gt;&lt;span style="display: inline-block;"&gt;04&lt;/span&gt;&lt;span style="word-spacing: -0.1995px; letter-spacing: 0.1995px; display: inline-block; margin-left: 0px; width: 31.7754px; font-size: 10.5px; font-family: ffa5; -webkit-text-stroke: 0.1575px rgba(0, 0, 0, 0);"&gt;&lt;span style="display: inline-block;"&gt; &lt;/span&gt;&lt;/span&gt;&lt;span class="pp-font-color-override-1" style="word-spacing: 7.185px; letter-spacing: -0.21px; display: inline-block; margin-left: 0px; font-size: 10.5px; font-family: ffa5; -webkit-text-stroke: 0.1575px rgba(0, 0, 0, 0);"&gt;&lt;span style="display: inline-block;"&gt;2&lt;/span&gt;&lt;/span&gt;&lt;/span&gt;&lt;span class="pp-font-color-override-1" style="position: absolute; display: inline-block; left: 52.5625px; top: 48.3535px; width: 92.918px; white-space: pre; word-spacing: 7.185px; letter-spacing: -0.21px; margin-left: 0px; font-size: 10.5px; font-family: ffa5; -webkit-text-stroke: 0.1575px rgba(0, 0, 0, 0);"&gt;&lt;span style="display: inline-block;"&gt;024&lt;/span&gt;&lt;span class="pp-font-color-override-1" style="word-spacing: 7.185px; letter-spacing: -0.21px; display: inline-block; margin-left: 0px; font-size: 10.5px; font-family: ffa9; -webkit-text-stroke: 0.1575px rgba(0, 0, 0, 0);"&gt;&lt;span style="display: inline-block;"&gt;&lt;span style="width: 9.60352px; display: inline-block;"&gt; &lt;/span&gt;&lt;/span&gt;&lt;/span&gt;&lt;span class="pp-font-color-override-1" style="word-spacing: 0px; letter-spacing: 0.0315px; display: inline-block; margin-left: 0px; font-size: 10.5px; font-family: ffa5; -webkit-text-stroke: 0.1575px rgba(0, 0, 0, 0);"&gt;&lt;span style="display: inline-block;"&gt;Share split (2:1)&lt;/span&gt;&lt;/span&gt;&lt;/span&gt;&lt;span class="pp-font-color-override-1" style="position: absolute; display: inline-block; left: 272.984px; top: 48.3535px; width: 5.35547px; white-space: pre; word-spacing: -0.105px; letter-spacing: 0.105px; margin-left: 0px; font-size: 10.5px; font-family: ffa5; -webkit-text-stroke: 0.1575px rgba(0, 0, 0, 0);"&gt;&lt;span style="display: inline-block;"&gt;2&lt;/span&gt;&lt;/span&gt;&lt;span class="pp-font-color-override-1" style="position: absolute; display: inline-block; left: 279.328px; top: 48.3535px; width: 56.3906px; white-space: pre; word-spacing: -0.105px; letter-spacing: 0.105px; margin-left: 0px; font-size: 10.5px; font-family: ffa5; -webkit-text-stroke: 0.1575px rgba(0, 0, 0, 0);"&gt;&lt;span style="display: inline-block;"&gt;,979,524,179&lt;/span&gt;&lt;/span&gt;&lt;span class="pp-font-color-override-1" style="position: absolute; display: inline-block; left: 367.656px; top: 48.1016px; width: 135.287px; white-space: pre; word-spacing: -0.0735px; letter-spacing: 0.0735px; margin-left: 0px; font-size: 10.5px; font-family: ffa5; -webkit-text-stroke: 0.1575px rgba(0, 0, 0, 0);"&gt;&lt;span style="display: inline-block;"&gt;5,959,048,358&lt;/span&gt;&lt;span style="word-spacing: -0.0735px; letter-spacing: 0.0735px; display: inline-block; margin-left: 0px; width: 73.9511px; font-size: 10.5px; font-family: ffa5; -webkit-text-stroke: 0.1575px rgba(0, 0, 0, 0);"&gt;&lt;span style="display: inline-block;"&gt; &lt;/span&gt;&lt;/span&gt;&lt;/span&gt;&lt;span class="pp-font-color-override-1" style="position: absolute; display: inline-block; left: 502.943px; top: 48.1016px; width: 214.934px; white-space: pre; word-spacing: -0.063px; letter-spacing: 0.063px; margin-left: 0px; font-size: 10.5px; font-family: ffa5; -webkit-text-stroke: 0.1575px rgba(0, 0, 0, 0);"&gt;&lt;span style="display: inline-block;"&gt;0.01&lt;/span&gt;&lt;span style="word-spacing: -0.063px; letter-spacing: 0.063px; display: inline-block; margin-left: 0px; width: 85.6642px;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inline-block;"&gt;—&lt;/span&gt;&lt;span style="word-spacing: 0px; letter-spacing: 0px; display: inline-block; margin-left: 0px; width: 51.0998px; font-size: 10.5px; font-family: ffa5; -webkit-text-stroke: 0.1575px rgba(0, 0, 0, 0);"&gt;&lt;span style="display: inline-block;"&gt; &lt;/span&gt;&lt;/span&gt;&lt;span class="pp-font-color-override-1" style="word-spacing: -0.1785px; letter-spacing: 0.1785px; display: inline-block; margin-left: 0px; font-size: 10.5px; font-family: ffa4; -webkit-text-stroke: 0.1575px rgba(0, 0, 0, 0);"&gt;&lt;span style="display: inline-block;"&gt;60,947,709&lt;/span&gt;&lt;/span&gt;&lt;/span&gt;&lt;/span&gt;&lt;span class="pp-font-color-override-1" style="position: absolute; display: inline-block; left: 0px; top: 64.3066px; width: 48.0879px; white-space: pre; word-spacing: -0.0735px; letter-spacing: 0.0735px; margin-left: 0px; font-size: 10.5px; font-family: ffa5; -webkit-text-stroke: 0.1575px rgba(0, 0, 0, 0);"&gt;&lt;span style="display: inline-block;"&gt;05&lt;/span&gt;&lt;span style="word-spacing: -0.0735px; letter-spacing: 0.0735px; display: inline-block; margin-left: 0px; width: 32.3906px; font-size: 10.5px; font-family: ffa5; -webkit-text-stroke: 0.1575px rgba(0, 0, 0, 0);"&gt;&lt;span style="display: inline-block;"&gt; &lt;/span&gt;&lt;/span&gt;&lt;span class="pp-font-color-override-1" style="word-spacing: 7.185px; letter-spacing: -0.21px; display: inline-block; margin-left: 0px; font-size: 10.5px; font-family: ffa5; -webkit-text-stroke: 0.1575px rgba(0, 0, 0, 0);"&gt;&lt;span style="display: inline-block;"&gt;2&lt;/span&gt;&lt;/span&gt;&lt;/span&gt;&lt;span class="pp-font-color-override-1" style="position: absolute; display: inline-block; left: 52.5625px; top: 64.3066px; width: 255.434px; white-space: pre; word-spacing: 7.185px; letter-spacing: -0.21px; margin-left: 0px; font-size: 10.5px; font-family: ffa5; -webkit-text-stroke: 0.1575px rgba(0, 0, 0, 0);"&gt;&lt;span style="display: inline-block;"&gt;024&lt;/span&gt;&lt;span class="pp-font-color-override-1" style="word-spacing: 7.185px; letter-spacing: -0.21px; display: inline-block; margin-left: 0px; font-size: 10.5px; font-family: ffa9; -webkit-text-stroke: 0.1575px rgba(0, 0, 0, 0);"&gt;&lt;span style="display: inline-block;"&gt;&lt;span style="width: 9.60352px; display: inline-block;"&gt; &lt;/span&gt;&lt;/span&gt;&lt;/span&gt;&lt;span class="pp-font-color-override-1" style="word-spacing: -0.084px; letter-spacing: 0.1155px; display: inline-block; margin-left: 0px; font-size: 10.5px; font-family: ffa5; -webkit-text-stroke: 0.1575px rgba(0, 0, 0, 0);"&gt;&lt;span style="display: inline-block;"&gt;Redemption&lt;/span&gt;&lt;span class="pp-font-color-override-1" style="word-spacing: -0.168px; letter-spacing: 0.1155px; display: inline-block; margin-left: 0px; font-size: 10.5px; font-family: ffa5; -webkit-text-stroke: 0.1575px rgba(0, 0, 0, 0);"&gt;&lt;span style="display: inline-block;"&gt; o&lt;/span&gt;&lt;/span&gt;&lt;span style="display: inline-block;"&gt;f&lt;/span&gt;&lt;span class="pp-font-color-override-1" style="word-spacing: -0.168px; letter-spacing: 0.1155px; display: inline-block; margin-left: 0px; font-size: 10.5px; font-family: ffa5; -webkit-text-stroke: 0.1575px rgba(0, 0, 0, 0);"&gt;&lt;span style="display: inline-block;"&gt; r&lt;/span&gt;&lt;/span&gt;&lt;span style="display: inline-block;"&gt;edemption&lt;/span&gt;&lt;span class="pp-font-color-override-1" style="word-spacing: -0.168px; letter-spacing: 0.1155px; display: inline-block; margin-left: 0px; font-size: 10.5px; font-family: ffa5; -webkit-text-stroke: 0.1575px rgba(0, 0, 0, 0);"&gt;&lt;span style="display: inline-block;"&gt; s&lt;/span&gt;&lt;span class="pp-font-color-override-1" style="word-spacing: 15.768px; letter-spacing: 0.1155px; display: inline-block; margin-left: 0px; font-size: 10.5px; font-family: ffa5; -webkit-text-stroke: 0.1575px rgba(0, 0, 0, 0);"&gt;&lt;span style="display: inline-block;"&gt;hares&lt;/span&gt;&lt;span class="pp-font-color-override-1" style="word-spacing: 15.768px; letter-spacing: 0.1155px; display: inline-block; margin-left: 0px; font-size: 10.5px; font-family: ffa9; -webkit-text-stroke: 0.1575px rgba(0, 0, 0, 0);"&gt;&lt;span style="display: inline-block;"&gt;&lt;span style="width: 18.5098px; display: inline-block;"&gt; &lt;/span&gt;&lt;/span&gt;&lt;/span&gt;&lt;span class="pp-font-color-override-1" style="word-spacing: -0.105px; letter-spacing: 0.105px; display: inline-block; margin-left: 0px; font-size: 10.5px; font-family: ffa5; -webkit-text-stroke: 0.1575px rgba(0, 0, 0, 0);"&gt;&lt;span style="display: inline-block;"&gt;–2,979,524,179&lt;/span&gt;&lt;/span&gt;&lt;/span&gt;&lt;/span&gt;&lt;/span&gt;&lt;/span&gt;&lt;span class="pp-font-color-override-1" style="position: absolute; display: inline-block; left: 374.906px; top: 64.3066px; width: 189.873px; white-space: pre; word-spacing: -0.105px; letter-spacing: 0.105px; margin-left: 0px; font-size: 10.5px; font-family: ffa5; -webkit-text-stroke: 0.1575px rgba(0, 0, 0, 0);"&gt;&lt;span style="display: inline-block;"&gt;2,979,524,179&lt;/span&gt;&lt;span style="word-spacing: -0.105px; letter-spacing: 0.105px; display: inline-block; margin-left: 0px; width: 71.6134px; font-size: 10.5px; font-family: ffa5; -webkit-text-stroke: 0.1575px rgba(0, 0, 0, 0);"&gt;&lt;span style="display: inline-block;"&gt; &lt;/span&gt;&lt;/span&gt;&lt;span class="pp-font-color-override-1" style="word-spacing: -0.063px; letter-spacing: 0.063px; display: inline-block; margin-left: 0px; font-size: 10.5px; font-family: ffa5; -webkit-text-stroke: 0.1575px rgba(0, 0, 0, 0);"&gt;&lt;span style="display: inline-block;"&gt;0.01&lt;/span&gt;&lt;span style="word-spacing: -0.063px; letter-spacing: 0.063px; display: inline-block; margin-left: 0px; width: 32.3906px; font-size: 10.5px; font-family: ffa5; -webkit-text-stroke: 0.1575px rgba(0, 0, 0, 0);"&gt;&lt;span style="display: inline-block;"&gt; &lt;/span&gt;&lt;/span&gt;&lt;span class="pp-font-color-override-1" style="word-spacing: -0.2415px; letter-spacing: 0.2415px; display: inline-block; margin-left: 0px; font-size: 10.5px; font-family: ffa5; -webkit-text-stroke: 0.1575px rgba(0, 0, 0, 0);"&gt;&lt;span style="display: inline-block;"&gt;–&lt;/span&gt;&lt;/span&gt;&lt;/span&gt;&lt;/span&gt;&lt;span class="pp-font-color-override-1" style="position: absolute; display: inline-block; left: 576.578px; top: 64.3066px; width: 49.6699px; white-space: pre; word-spacing: -0.2415px; letter-spacing: 0.2415px; margin-left: 0px; font-size: 10.5px; font-family: ffa5; -webkit-text-stroke: 0.1575px rgba(0, 0, 0, 0);"&gt;&lt;span style="display: inline-block;"&gt;30,473,855&lt;/span&gt;&lt;/span&gt;&lt;span class="pp-font-color-override-1" style="position: absolute; display: inline-block; left: 683.609px; top: 64.0547px; width: 5.05078px; white-space: pre; word-spacing: 0.1995px; letter-spacing: -0.1995px; margin-left: 0px; font-size: 10.5px; font-family: ffa4; -webkit-text-stroke: 0.1575px rgba(0, 0, 0, 0);"&gt;&lt;span style="display: inline-block;"&gt;3&lt;/span&gt;&lt;/span&gt;&lt;span class="pp-font-color-override-1" style="position: absolute; display: inline-block; left: 690.812px; top: 64.0547px; width: 40.207px; white-space: pre; word-spacing: 0.1995px; letter-spacing: -0.1995px; margin-left: 0px; font-size: 10.5px; font-family: ffa4; -webkit-text-stroke: 0.1575px rgba(0, 0, 0, 0);"&gt;&lt;span style="display: inline-block;"&gt;0,473,855&lt;/span&gt;&lt;/span&gt;&lt;span class="pp-font-color-override-1" style="position: absolute; display: inline-block; left: 0px; top: 80.2598px; width: 48.0879px; white-space: pre; word-spacing: -0.0735px; letter-spacing: 0.0735px; margin-left: 0px; font-size: 10.5px; font-family: ffa5; -webkit-text-stroke: 0.1575px rgba(0, 0, 0, 0);"&gt;&lt;span style="display: inline-block;"&gt;05&lt;/span&gt;&lt;span style="word-spacing: -0.0735px; letter-spacing: 0.0735px; display: inline-block; margin-left: 0px; width: 32.3906px; font-size: 10.5px; font-family: ffa5; -webkit-text-stroke: 0.1575px rgba(0, 0, 0, 0);"&gt;&lt;span style="display: inline-block;"&gt; &lt;/span&gt;&lt;/span&gt;&lt;span class="pp-font-color-override-1" style="word-spacing: 7.185px; letter-spacing: -0.21px; display: inline-block; margin-left: 0px; font-size: 10.5px; font-family: ffa5; -webkit-text-stroke: 0.1575px rgba(0, 0, 0, 0);"&gt;&lt;span style="display: inline-block;"&gt;2&lt;/span&gt;&lt;/span&gt;&lt;/span&gt;&lt;span class="pp-font-color-override-1" style="position: absolute; display: inline-block; left: 52.5625px; top: 80.2598px; width: 77.1504px; white-space: pre; word-spacing: 7.185px; letter-spacing: -0.21px; margin-left: 0px; font-size: 10.5px; font-family: ffa5; -webkit-text-stroke: 0.1575px rgba(0, 0, 0, 0);"&gt;&lt;span style="display: inline-block;"&gt;024&lt;/span&gt;&lt;span class="pp-font-color-override-1" style="word-spacing: 7.185px; letter-spacing: -0.21px; display: inline-block; margin-left: 0px; font-size: 10.5px; font-family: ffa9; -webkit-text-stroke: 0.1575px rgba(0, 0, 0, 0);"&gt;&lt;span style="display: inline-block;"&gt;&lt;span style="width: 9.60352px; display: inline-block;"&gt; &lt;/span&gt;&lt;/span&gt;&lt;/span&gt;&lt;span class="pp-font-color-override-1" style="word-spacing: -0.1785px; letter-spacing: 0.21px; display: inline-block; margin-left: 0px; font-size: 10.5px; font-family: ffa5; -webkit-text-stroke: 0.1575px rgba(0, 0, 0, 0);"&gt;&lt;span style="display: inline-block;"&gt;Bonus&lt;/span&gt;&lt;span class="pp-font-color-override-1" style="word-spacing: -0.357px; letter-spacing: 0.21px; display: inline-block; margin-left: 0px; font-size: 10.5px; font-family: ffa5; -webkit-text-stroke: 0.1575px rgba(0, 0, 0, 0);"&gt;&lt;span style="display: inline-block;"&gt; i&lt;/span&gt;&lt;/span&gt;&lt;span style="display: inline-block;"&gt;ssue&lt;/span&gt;&lt;/span&gt;&lt;/span&gt;&lt;span class="pp-font-color-override-1" style="position: absolute; display: inline-block; left: 330.906px; top: 80.2598px; width: 42.8906px; white-space: pre; word-spacing: 0px; letter-spacing: 0px; margin-left: 0px; font-size: 10.5px; font-family: ffa5; -webkit-text-stroke: 0.1575px rgba(0, 0, 0, 0);"&gt;&lt;span style="display: inline-block;"&gt;—&lt;/span&gt;&lt;span style="word-spacing: 0px; letter-spacing: 0px; display: inline-block; margin-left: 0px; width: 32.3906px; font-size: 10.5px; font-family: ffa5; -webkit-text-stroke: 0.1575px rgba(0, 0, 0, 0);"&gt;&lt;span style="display: inline-block;"&gt; &lt;/span&gt;&lt;/span&gt;&lt;/span&gt;&lt;span class="pp-font-color-override-1" style="position: absolute; display: inline-block; left: 373.797px; top: 80.2598px; width: 61.7402px; white-space: pre; word-spacing: -0.105px; letter-spacing: 0.105px; margin-left: 0px; font-size: 10.5px; font-family: ffa5; -webkit-text-stroke: 0.1575px rgba(0, 0, 0, 0);"&gt;&lt;span style="display: inline-block;"&gt;2,979,524,179&lt;/span&gt;&lt;/span&gt;&lt;span class="pp-font-color-override-1" style="position: absolute; display: inline-block; left: 435.537px; top: 80.2598px; width: 132px; white-space: pre; word-spacing: -0.105px; letter-spacing: 0.105px; margin-left: 0px; font-size: 10.5px; font-family: ffa5; -webkit-text-stroke: 0.1575px rgba(0, 0, 0, 0);"&gt;&lt;span style="word-spacing: -0.105px; letter-spacing: 0.105px; display: inline-block; margin-left: 0px; width: 70.2071px; font-size: 10.5px; font-family: ffa5; -webkit-text-stro</t>
  </si>
  <si>
    <t>f1__s8__6__248</t>
  </si>
  <si>
    <t>ifrs-full:DisclosureOfNoncontrollingInterestsExplanatory</t>
  </si>
  <si>
    <t>&lt;span style="display:inherit;clear:left;"&gt;Non-controlling&lt;span class="_ _2"&gt;&lt;/span&gt; interest&lt;span class="_ _7"&gt;&lt;/span&gt;s&lt;span class="ffa3 ls3 ws3"&gt; main&lt;span class="_ _7"&gt;&lt;/span&gt;ly re&lt;span class="_ _7"&gt;&lt;/span&gt;fe&lt;span class="_ _7"&gt;&lt;/span&gt;rs t&lt;span class="_ _7"&gt;&lt;/span&gt;o the s&lt;span class="_ _7"&gt;&lt;/span&gt;ha&lt;span class="_ _7"&gt;&lt;/span&gt;re o&lt;span class="_ _7"&gt;&lt;/span&gt;f eq&lt;span class="_ _7"&gt;&lt;/span&gt;uit&lt;span class="_ _7"&gt;&lt;/span&gt;y t&lt;span class="_ _7"&gt;&lt;/span&gt;hat &lt;/span&gt;&lt;/span&gt;&lt;span style="display:inherit;clear:left;"&gt;be&lt;span class="_ _7"&gt;&lt;/span&gt;lon&lt;span class="_ _7"&gt;&lt;/span&gt;gs t&lt;span class="_ _7"&gt;&lt;/span&gt;o Zhe&lt;span class="_ _7"&gt;&lt;/span&gt;ji&lt;span class="_ _7"&gt;&lt;/span&gt;ang G&lt;span class="_ _7"&gt;&lt;/span&gt;ee&lt;span class="_ _7"&gt;&lt;/span&gt;ly Ho&lt;span class="_ _7"&gt;&lt;/span&gt;ldi&lt;span class="_ _7"&gt;&lt;/span&gt;ng Gr&lt;span class="_ _7"&gt;&lt;/span&gt;ou&lt;span class="_ _7"&gt;&lt;/span&gt;p Co.&lt;span class="_ _7"&gt;&lt;/span&gt;, Ltd wi&lt;span class="_ _7"&gt;&lt;/span&gt;th&lt;span class="_ _7"&gt;&lt;/span&gt;ou&lt;span class="_ _7"&gt;&lt;/span&gt;t a con-&lt;/span&gt;&lt;span style="display:inherit;clear:left;"&gt;tro&lt;span class="_ _7"&gt;&lt;/span&gt;lli&lt;span class="_ _7"&gt;&lt;/span&gt;ng in&lt;span class="_ _7"&gt;&lt;/span&gt;f&lt;span class="_ _7"&gt;&lt;/span&gt;lue&lt;span class="_ _7"&gt;&lt;/span&gt;nce&lt;span class="_ _7"&gt;&lt;/span&gt;. Volvo Ca&lt;span class="_ _7"&gt;&lt;/span&gt;r Gr&lt;span class="_ _7"&gt;&lt;/span&gt;oup h&lt;span class="_ _7"&gt;&lt;/span&gt;ol&lt;span class="_ _7"&gt;&lt;/span&gt;ds 50 p&lt;span class="_ _7"&gt;&lt;/span&gt;er c&lt;span class="_ _7"&gt;&lt;/span&gt;en&lt;span class="_ _7"&gt;&lt;/span&gt;t of th&lt;span class="_ _7"&gt;&lt;/span&gt;e eq&lt;span class="_ _7"&gt;&lt;/span&gt;ui&lt;span class="_ _7"&gt;&lt;/span&gt;t&lt;span class="_ _7"&gt;&lt;/span&gt;y in &lt;/span&gt;&lt;span style="display:inherit;clear:left;"&gt;Da&lt;span class="_ _7"&gt;&lt;/span&gt;qin&lt;span class="_ _7"&gt;&lt;/span&gt;g Volvo Ca&lt;span class="_ _7"&gt;&lt;/span&gt;r Man&lt;span class="_ _7"&gt;&lt;/span&gt;uf&lt;span class="_ _7"&gt;&lt;/span&gt;ac&lt;span class="_ _7"&gt;&lt;/span&gt;tur&lt;span class="_ _7"&gt;&lt;/span&gt;in&lt;span class="_ _7"&gt;&lt;/span&gt;g Co.&lt;span class="_ _7"&gt;&lt;/span&gt;, Ltd an&lt;span class="_ _7"&gt;&lt;/span&gt;d Sh&lt;span class="_ _7"&gt;&lt;/span&gt;ang&lt;span class="_ _7"&gt;&lt;/span&gt;ha&lt;span class="_ _7"&gt;&lt;/span&gt;i Volvo Ca&lt;span class="_ _7"&gt;&lt;/span&gt;r &lt;/span&gt;&lt;span style="display:inherit;clear:left;"&gt;Res&lt;span class="_ _7"&gt;&lt;/span&gt;e&lt;span class="_ _7"&gt;&lt;/span&gt;arc&lt;span class="_ _7"&gt;&lt;/span&gt;h an&lt;span class="_ _7"&gt;&lt;/span&gt;d Dev&lt;span class="_ _7"&gt;&lt;/span&gt;elo&lt;span class="_ _7"&gt;&lt;/span&gt;pm&lt;span class="_ _7"&gt;&lt;/span&gt;ent C&lt;span class="_ _7"&gt;&lt;/span&gt;o.&lt;span class="_ _7"&gt;&lt;/span&gt;, Ltd an&lt;span class="_ _7"&gt;&lt;/span&gt;d ha&lt;span class="_ _7"&gt;&lt;/span&gt;s the d&lt;span class="_ _7"&gt;&lt;/span&gt;ec&lt;span class="_ _7"&gt;&lt;/span&gt;is&lt;span class="_ _7"&gt;&lt;/span&gt;io&lt;span class="_ _7"&gt;&lt;/span&gt;n-mak&lt;span class="_ _7"&gt;&lt;/span&gt;ing &lt;/span&gt;&lt;span style="display:inherit;clear:left;"&gt;power o&lt;span class="_ _2"&gt;&lt;/span&gt;ver the operations. In&lt;span class="_ _2"&gt;&lt;/span&gt; the consolidated financial&lt;span class="_ _2"&gt;&lt;/span&gt; statements, &lt;/span&gt;&lt;span style="display:inherit;clear:left;"&gt;the&lt;span class="_ _7"&gt;&lt;/span&gt;s&lt;span class="_ _7"&gt;&lt;/span&gt;e co&lt;span class="_ _7"&gt;&lt;/span&gt;mp&lt;span class="_ _7"&gt;&lt;/span&gt;ani&lt;span class="_ _7"&gt;&lt;/span&gt;es a&lt;span class="_ _7"&gt;&lt;/span&gt;re cl&lt;span class="_ _7"&gt;&lt;/span&gt;a&lt;span class="_ _7"&gt;&lt;/span&gt;s&lt;span class="_ _7"&gt;&lt;/span&gt;si&lt;span class="_ _7"&gt;&lt;/span&gt;fi&lt;span class="_ _7"&gt;&lt;/span&gt;ed a&lt;span class="_ _7"&gt;&lt;/span&gt;s su&lt;span class="_ _7"&gt;&lt;/span&gt;bs&lt;span class="_ _7"&gt;&lt;/span&gt;id&lt;span class="_ _7"&gt;&lt;/span&gt;ia&lt;span class="_ _7"&gt;&lt;/span&gt;rie&lt;span class="_ _7"&gt;&lt;/span&gt;s an&lt;span class="_ _7"&gt;&lt;/span&gt;d f&lt;span class="_ _7"&gt;&lt;/span&gt;ully c&lt;span class="_ _7"&gt;&lt;/span&gt;on&lt;span class="_ _7"&gt;&lt;/span&gt;s&lt;span class="_ _7"&gt;&lt;/span&gt;oli-&lt;/span&gt;&lt;span style="display:inherit;clear:left;"&gt;dat&lt;span class="_ _7"&gt;&lt;/span&gt;ed w&lt;span class="_ _7"&gt;&lt;/span&gt;ith a n&lt;span class="_ _7"&gt;&lt;/span&gt;on-c&lt;span class="_ _7"&gt;&lt;/span&gt;ont&lt;span class="_ _7"&gt;&lt;/span&gt;rol&lt;span class="_ _7"&gt;&lt;/span&gt;lin&lt;span class="_ _7"&gt;&lt;/span&gt;g int&lt;span class="_ _7"&gt;&lt;/span&gt;ere&lt;span class="_ _7"&gt;&lt;/span&gt;s&lt;span class="_ _7"&gt;&lt;/span&gt;t of 50 p&lt;span class="_ _7"&gt;&lt;/span&gt;er c&lt;span class="_ _7"&gt;&lt;/span&gt;en&lt;span class="_ _7"&gt;&lt;/span&gt;t. &lt;/span&gt;&lt;span style="display:inherit;clear:left;"&gt;In Ju&lt;span class="_ _7"&gt;&lt;/span&gt;ly 2025, Volvo Ca&lt;span class="_ _7"&gt;&lt;/span&gt;r Co&lt;span class="_ _7"&gt;&lt;/span&gt;rp&lt;span class="_ _7"&gt;&lt;/span&gt;or&lt;span class="_ _7"&gt;&lt;/span&gt;ati&lt;span class="_ _7"&gt;&lt;/span&gt;on a&lt;span class="_ _7"&gt;&lt;/span&gt;cq&lt;span class="_ _7"&gt;&lt;/span&gt;uir&lt;span class="_ _7"&gt;&lt;/span&gt;ed t&lt;span class="_ _7"&gt;&lt;/span&gt;he re&lt;span class="_ _7"&gt;&lt;/span&gt;ma&lt;span class="_ _7"&gt;&lt;/span&gt;ini&lt;span class="_ _7"&gt;&lt;/span&gt;ng 50 &lt;/span&gt;&lt;span style="display:inherit;clear:left;"&gt;pe&lt;span class="_ _7"&gt;&lt;/span&gt;r cen&lt;span class="_ _7"&gt;&lt;/span&gt;t sh&lt;span class="_ _7"&gt;&lt;/span&gt;ar&lt;span class="_ _7"&gt;&lt;/span&gt;es i&lt;span class="_ _7"&gt;&lt;/span&gt;n Novo E&lt;span class="_ _7"&gt;&lt;/span&gt;ner&lt;span class="_ _7"&gt;&lt;/span&gt;g&lt;span class="_ _7"&gt;&lt;/span&gt;y AB&lt;span class="_ _7"&gt;&lt;/span&gt;, re&lt;span class="_ _7"&gt;&lt;/span&gt;s&lt;span class="_ _7"&gt;&lt;/span&gt;ulti&lt;span class="_ _7"&gt;&lt;/span&gt;ng in d&lt;span class="_ _7"&gt;&lt;/span&gt;ive&lt;span class="_ _7"&gt;&lt;/span&gt;s&lt;span class="_ _7"&gt;&lt;/span&gt;tm&lt;span class="_ _7"&gt;&lt;/span&gt;ent o&lt;span class="_ _7"&gt;&lt;/span&gt;f &lt;/span&gt;&lt;span style="display:inherit;clear:left;"&gt;no&lt;span class="_ _7"&gt;&lt;/span&gt;n-con&lt;span class="_ _7"&gt;&lt;/span&gt;tro&lt;span class="_ _7"&gt;&lt;/span&gt;lli&lt;span class="_ _7"&gt;&lt;/span&gt;ng in&lt;span class="_ _7"&gt;&lt;/span&gt;ter&lt;span class="_ _7"&gt;&lt;/span&gt;es&lt;span class="_ _7"&gt;&lt;/span&gt;t o&lt;span class="_ _7"&gt;&lt;/span&gt;f SEK 249 m&lt;span class="_ _7"&gt;&lt;/span&gt;. For f&lt;span class="_ _7"&gt;&lt;/span&gt;ur&lt;span class="_ _7"&gt;&lt;/span&gt;th&lt;span class="_ _7"&gt;&lt;/span&gt;er i&lt;span class="_ _7"&gt;&lt;/span&gt;nf&lt;span class="_ _7"&gt;&lt;/span&gt;or&lt;span class="_ _7"&gt;&lt;/span&gt;mat&lt;span class="_ _7"&gt;&lt;/span&gt;ion&lt;span class="_ _7"&gt;&lt;/span&gt;, s&lt;span class="_ _7"&gt;&lt;/span&gt;ee &lt;/span&gt;&lt;span style="display:inherit;clear:left;"&gt;Note 27 – B&lt;span class="_ _7"&gt;&lt;/span&gt;us&lt;span class="_ _7"&gt;&lt;/span&gt;in&lt;span class="_ _7"&gt;&lt;/span&gt;es&lt;span class="_ _7"&gt;&lt;/span&gt;s c&lt;span class="_ _7"&gt;&lt;/span&gt;om&lt;span class="_ _7"&gt;&lt;/span&gt;bi&lt;span class="_ _7"&gt;&lt;/span&gt;nat&lt;span class="_ _7"&gt;&lt;/span&gt;ion&lt;span class="_ _7"&gt;&lt;/span&gt;s an&lt;span class="_ _7"&gt;&lt;/span&gt;d di&lt;span class="_ _7"&gt;&lt;/span&gt;ve&lt;span class="_ _7"&gt;&lt;/span&gt;st&lt;span class="_ _7"&gt;&lt;/span&gt;me&lt;span class="_ _7"&gt;&lt;/span&gt;nt&lt;span class="_ _7"&gt;&lt;/span&gt;s.&lt;/span&gt;&lt;span style="display:inherit;clear:left;"&gt;In Aug&lt;span class="_ _7"&gt;&lt;/span&gt;us&lt;span class="_ _7"&gt;&lt;/span&gt;t 2024, Volvo C&lt;span class="_ _7"&gt;&lt;/span&gt;ar C&lt;span class="_ _7"&gt;&lt;/span&gt;orp&lt;span class="_ _7"&gt;&lt;/span&gt;o&lt;span class="_ _7"&gt;&lt;/span&gt;rat&lt;span class="_ _7"&gt;&lt;/span&gt;io&lt;span class="_ _7"&gt;&lt;/span&gt;n acq&lt;span class="_ _7"&gt;&lt;/span&gt;ui&lt;span class="_ _7"&gt;&lt;/span&gt;re&lt;span class="_ _7"&gt;&lt;/span&gt;d the r&lt;span class="_ _7"&gt;&lt;/span&gt;em&lt;span class="_ _7"&gt;&lt;/span&gt;ain&lt;span class="_ _7"&gt;&lt;/span&gt;ing  &lt;/span&gt;&lt;span style="display:inherit;clear:left;"&gt;40 p&lt;span class="_ _7"&gt;&lt;/span&gt;er c&lt;span class="_ _7"&gt;&lt;/span&gt;ent s&lt;span class="_ _7"&gt;&lt;/span&gt;ha&lt;span class="_ _7"&gt;&lt;/span&gt;re&lt;span class="_ _7"&gt;&lt;/span&gt;s in H&lt;span class="_ _7"&gt;&lt;/span&gt;aleyT&lt;span class="_ _6"&gt;&lt;/span&gt;ek AB f&lt;span class="_ _7"&gt;&lt;/span&gt;ro&lt;span class="_ _7"&gt;&lt;/span&gt;m ECAR&lt;span class="_ _7"&gt;&lt;/span&gt;X T&lt;span class="_ _2"&gt;&lt;/span&gt;e&lt;span class="_ _7"&gt;&lt;/span&gt;chn&lt;span class="_ _7"&gt;&lt;/span&gt;olo&lt;span class="_ _7"&gt;&lt;/span&gt;g&lt;span class="_ _7"&gt;&lt;/span&gt;y C&lt;span class="_ _7"&gt;&lt;/span&gt;o., Ltd&lt;span class="_ _7"&gt;&lt;/span&gt;, &lt;/span&gt;&lt;span style="display:inherit;clear:left;"&gt;re&lt;span class="_ _7"&gt;&lt;/span&gt;su&lt;span class="_ _7"&gt;&lt;/span&gt;lting i&lt;span class="_ _7"&gt;&lt;/span&gt;n di&lt;span class="_ _7"&gt;&lt;/span&gt;ve&lt;span class="_ _7"&gt;&lt;/span&gt;st&lt;span class="_ _7"&gt;&lt;/span&gt;me&lt;span class="_ _7"&gt;&lt;/span&gt;nt of n&lt;span class="_ _7"&gt;&lt;/span&gt;on-c&lt;span class="_ _7"&gt;&lt;/span&gt;ont&lt;span class="_ _7"&gt;&lt;/span&gt;ro&lt;span class="_ _7"&gt;&lt;/span&gt;lli&lt;span class="_ _7"&gt;&lt;/span&gt;ng in&lt;span class="_ _7"&gt;&lt;/span&gt;ter&lt;span class="_ _7"&gt;&lt;/span&gt;es&lt;span class="_ _7"&gt;&lt;/span&gt;t of S&lt;span class="_ _7"&gt;&lt;/span&gt;EK &lt;span class="ffa5 fsb"&gt;–&lt;/span&gt;21&lt;span class="_ _2"&gt;&lt;/span&gt;1 m. &lt;/span&gt;&lt;span style="display:inherit;clear:left;"&gt;In O&lt;span class="_ _7"&gt;&lt;/span&gt;cto&lt;span class="_ _7"&gt;&lt;/span&gt;be&lt;span class="_ _7"&gt;&lt;/span&gt;r 2024, the n&lt;span class="_ _7"&gt;&lt;/span&gt;on-c&lt;span class="_ _7"&gt;&lt;/span&gt;ont&lt;span class="_ _7"&gt;&lt;/span&gt;ro&lt;span class="_ _7"&gt;&lt;/span&gt;lli&lt;span class="_ _7"&gt;&lt;/span&gt;ng in&lt;span class="_ _7"&gt;&lt;/span&gt;ter&lt;span class="_ _7"&gt;&lt;/span&gt;es&lt;span class="_ _7"&gt;&lt;/span&gt;t in&lt;span class="_ _7"&gt;&lt;/span&gt;cre&lt;span class="_ _7"&gt;&lt;/span&gt;as&lt;span class="_ _7"&gt;&lt;/span&gt;e&lt;span class="_ _7"&gt;&lt;/span&gt;d thr&lt;span class="_ _7"&gt;&lt;/span&gt;oug&lt;span class="_ _7"&gt;&lt;/span&gt;h a &lt;/span&gt;&lt;span style="display:inherit;clear:left;"&gt;ca&lt;span class="_ _7"&gt;&lt;/span&gt;pit&lt;span class="_ _7"&gt;&lt;/span&gt;al c&lt;span class="_ _7"&gt;&lt;/span&gt;on&lt;span class="_ _7"&gt;&lt;/span&gt;tri&lt;span class="_ _7"&gt;&lt;/span&gt;bu&lt;span class="_ _7"&gt;&lt;/span&gt;tio&lt;span class="_ _7"&gt;&lt;/span&gt;n to VCLC Se&lt;span class="_ _7"&gt;&lt;/span&gt;r&lt;span class="_ _7"&gt;&lt;/span&gt;v&lt;span class="_ _7"&gt;&lt;/span&gt;ic&lt;span class="_ _7"&gt;&lt;/span&gt;es A&lt;span class="_ _7"&gt;&lt;/span&gt;B of SEK 3 m f&lt;span class="_ _7"&gt;&lt;/span&gt;ro&lt;span class="_ _7"&gt;&lt;/span&gt;m Lynk &amp;amp; Co &lt;/span&gt;&lt;span style="display:inherit;clear:left;"&gt;International&lt;span class="_ _2"&gt;&lt;/span&gt; AB. &lt;/span&gt;&lt;span style="display:inherit;clear:left;"&gt;At year e&lt;span class="_ _7"&gt;&lt;/span&gt;nd 2025, n&lt;span class="_ _7"&gt;&lt;/span&gt;on-co&lt;span class="_ _7"&gt;&lt;/span&gt;nt&lt;span class="_ _7"&gt;&lt;/span&gt;rol&lt;span class="_ _7"&gt;&lt;/span&gt;lin&lt;span class="_ _7"&gt;&lt;/span&gt;g inte&lt;span class="_ _7"&gt;&lt;/span&gt;re&lt;span class="_ _7"&gt;&lt;/span&gt;s&lt;span class="_ _7"&gt;&lt;/span&gt;ts a&lt;span class="_ _7"&gt;&lt;/span&gt;mo&lt;span class="_ _7"&gt;&lt;/span&gt;unte&lt;span class="_ _7"&gt;&lt;/span&gt;d to S&lt;span class="_ _7"&gt;&lt;/span&gt;EK &lt;/span&gt;&lt;span style="display:inherit;clear:left;"&gt;1,&lt;span class="_ _7"&gt;&lt;/span&gt;299 (4,738) m. Sum&lt;span class="_ _7"&gt;&lt;/span&gt;ma&lt;span class="_ _7"&gt;&lt;/span&gt;ri&lt;span class="_ _7"&gt;&lt;/span&gt;se&lt;span class="_ _7"&gt;&lt;/span&gt;d f&lt;span class="_ _7"&gt;&lt;/span&gt;ina&lt;span class="_ _7"&gt;&lt;/span&gt;nc&lt;span class="_ _7"&gt;&lt;/span&gt;ial i&lt;span class="_ _7"&gt;&lt;/span&gt;nf&lt;span class="_ _7"&gt;&lt;/span&gt;or&lt;span class="_ _7"&gt;&lt;/span&gt;mat&lt;span class="_ _7"&gt;&lt;/span&gt;io&lt;span class="_ _7"&gt;&lt;/span&gt;n on su&lt;span class="_ _7"&gt;&lt;/span&gt;b&lt;span class="_ _7"&gt;&lt;/span&gt;sid&lt;span class="_ _7"&gt;&lt;/span&gt;ia&lt;span class="_ _7"&gt;&lt;/span&gt;ri&lt;span class="_ _7"&gt;&lt;/span&gt;es &lt;/span&gt;&lt;span style="display:inherit;clear:left;"&gt;wit&lt;span class="_ _7"&gt;&lt;/span&gt;h no&lt;span class="_ _7"&gt;&lt;/span&gt;n-con&lt;span class="_ _7"&gt;&lt;/span&gt;tro&lt;span class="_ _7"&gt;&lt;/span&gt;ll&lt;span class="_ _7"&gt;&lt;/span&gt;ing i&lt;span class="_ _7"&gt;&lt;/span&gt;nter&lt;span class="_ _7"&gt;&lt;/span&gt;e&lt;span class="_ _7"&gt;&lt;/span&gt;st i&lt;span class="_ _7"&gt;&lt;/span&gt;s pr&lt;span class="_ _7"&gt;&lt;/span&gt;es&lt;span class="_ _7"&gt;&lt;/span&gt;en&lt;span class="_ _7"&gt;&lt;/span&gt;ted i&lt;span class="_ _7"&gt;&lt;/span&gt;n No&lt;span class="_ _7"&gt;&lt;/span&gt;te 8 – Par&lt;span class="_ _9"&gt;&lt;/span&gt;tici&lt;span class="_ _7"&gt;&lt;/span&gt;pat&lt;span class="_ _7"&gt;&lt;/span&gt;io&lt;span class="_ _7"&gt;&lt;/span&gt;n &lt;/span&gt;&lt;span style="display:inherit;clear:left;"&gt;in subsidiaries (&lt;span class="_ _2"&gt;&lt;/span&gt;Parent company&lt;span class="_ _2"&gt;&lt;/span&gt;).&lt;/span&gt;</t>
  </si>
  <si>
    <t>f1__s8__6__249</t>
  </si>
  <si>
    <t>ifrs-full:DisclosureOfTreasurySharesExplanatory</t>
  </si>
  <si>
    <t>f1__s8__6__25-1</t>
  </si>
  <si>
    <t>ifrs-full:DisclosureOfEffectOfChangesInForeignExchangeRatesExplanatory</t>
  </si>
  <si>
    <t>&lt;span style="display:inherit;clear:left;"&gt;Foreig&lt;span class="_ _7"&gt;&lt;/span&gt;n cur&lt;span class="_ _7"&gt;&lt;/span&gt;ren&lt;span class="_ _7"&gt;&lt;/span&gt;cy&lt;/span&gt;&lt;span style="display:inherit;clear:left;"&gt;Th&lt;span class="_ _7"&gt;&lt;/span&gt;e Gro&lt;span class="_ _7"&gt;&lt;/span&gt;up’s Co&lt;span class="_ _7"&gt;&lt;/span&gt;ns&lt;span class="_ _7"&gt;&lt;/span&gt;ol&lt;span class="_ _7"&gt;&lt;/span&gt;id&lt;span class="_ _7"&gt;&lt;/span&gt;ate&lt;span class="_ _7"&gt;&lt;/span&gt;d Fin&lt;span class="_ _7"&gt;&lt;/span&gt;an&lt;span class="_ _7"&gt;&lt;/span&gt;ci&lt;span class="_ _7"&gt;&lt;/span&gt;al St&lt;span class="_ _7"&gt;&lt;/span&gt;ate&lt;span class="_ _7"&gt;&lt;/span&gt;me&lt;span class="_ _7"&gt;&lt;/span&gt;nt&lt;span class="_ _7"&gt;&lt;/span&gt;s are p&lt;span class="_ _7"&gt;&lt;/span&gt;re&lt;span class="_ _7"&gt;&lt;/span&gt;s&lt;span class="_ _7"&gt;&lt;/span&gt;ente&lt;span class="_ _7"&gt;&lt;/span&gt;d in &lt;/span&gt;&lt;span style="display:inherit;clear:left;"&gt;Swe&lt;span class="_ _7"&gt;&lt;/span&gt;di&lt;span class="_ _7"&gt;&lt;/span&gt;sh K&lt;span class="_ _7"&gt;&lt;/span&gt;ro&lt;span class="_ _7"&gt;&lt;/span&gt;na (SEK&lt;span class="_ _7"&gt;&lt;/span&gt;), whi&lt;span class="_ _7"&gt;&lt;/span&gt;ch is a&lt;span class="_ _7"&gt;&lt;/span&gt;l&lt;span class="_ _7"&gt;&lt;/span&gt;so t&lt;span class="_ _7"&gt;&lt;/span&gt;he Pa&lt;span class="_ _7"&gt;&lt;/span&gt;re&lt;span class="_ _7"&gt;&lt;/span&gt;nt Co&lt;span class="_ _7"&gt;&lt;/span&gt;mp&lt;span class="_ _7"&gt;&lt;/span&gt;any&lt;span class="_ _7"&gt;&lt;/span&gt;’s fu&lt;span class="_ _7"&gt;&lt;/span&gt;nc&lt;span class="_ _7"&gt;&lt;/span&gt;tio&lt;span class="_ _7"&gt;&lt;/span&gt;na&lt;span class="_ _7"&gt;&lt;/span&gt;l &lt;/span&gt;&lt;span style="display:inherit;clear:left;"&gt;c&lt;span class="_ _7"&gt;&lt;/span&gt;u&lt;span class="_ _7"&gt;&lt;/span&gt;r&lt;span class="_ _7"&gt;&lt;/span&gt;r&lt;span class="_ _7"&gt;&lt;/span&gt;e&lt;span class="_ _7"&gt;&lt;/span&gt;n&lt;span class="_ _7"&gt;&lt;/span&gt;c&lt;span class="_ _7"&gt;&lt;/span&gt;y.&lt;span class="_ _7"&gt;&lt;/span&gt; &lt;/span&gt;&lt;span style="display:inherit;clear:left;"&gt;Asset&lt;span class="_ _7"&gt;&lt;/span&gt;s and&lt;span class="_ _2"&gt;&lt;/span&gt; liabilities denominated&lt;span class="_ _2"&gt;&lt;/span&gt; in foreign currenc&lt;span class="_ _2"&gt;&lt;/span&gt;ie&lt;span class="_ _7"&gt;&lt;/span&gt;s other&lt;span class="_ _2"&gt;&lt;/span&gt; &lt;/span&gt;&lt;span style="display:inherit;clear:left;"&gt;tha&lt;span class="_ _7"&gt;&lt;/span&gt;n the f&lt;span class="_ _7"&gt;&lt;/span&gt;un&lt;span class="_ _7"&gt;&lt;/span&gt;ct&lt;span class="_ _7"&gt;&lt;/span&gt;io&lt;span class="_ _7"&gt;&lt;/span&gt;na&lt;span class="_ _7"&gt;&lt;/span&gt;l cur&lt;span class="_ _7"&gt;&lt;/span&gt;re&lt;span class="_ _7"&gt;&lt;/span&gt;ncy a&lt;span class="_ _7"&gt;&lt;/span&gt;re tr&lt;span class="_ _7"&gt;&lt;/span&gt;an&lt;span class="_ _7"&gt;&lt;/span&gt;s&lt;span class="_ _7"&gt;&lt;/span&gt;lat&lt;span class="_ _7"&gt;&lt;/span&gt;ed to t&lt;span class="_ _7"&gt;&lt;/span&gt;he f&lt;span class="_ _7"&gt;&lt;/span&gt;un&lt;span class="_ _7"&gt;&lt;/span&gt;cti&lt;span class="_ _7"&gt;&lt;/span&gt;on&lt;span class="_ _7"&gt;&lt;/span&gt;al  &lt;/span&gt;&lt;span style="display:inherit;clear:left;"&gt;cur&lt;span class="_ _7"&gt;&lt;/span&gt;re&lt;span class="_ _7"&gt;&lt;/span&gt;ncy u&lt;span class="_ _7"&gt;&lt;/span&gt;si&lt;span class="_ _7"&gt;&lt;/span&gt;ng th&lt;span class="_ _7"&gt;&lt;/span&gt;e ba&lt;span class="_ _7"&gt;&lt;/span&gt;la&lt;span class="_ _7"&gt;&lt;/span&gt;nc&lt;span class="_ _7"&gt;&lt;/span&gt;e sh&lt;span class="_ _7"&gt;&lt;/span&gt;ee&lt;span class="_ _7"&gt;&lt;/span&gt;t clo&lt;span class="_ _7"&gt;&lt;/span&gt;si&lt;span class="_ _7"&gt;&lt;/span&gt;ng r&lt;span class="_ _7"&gt;&lt;/span&gt;ate. E&lt;span class="_ _7"&gt;&lt;/span&gt;xch&lt;span class="_ _7"&gt;&lt;/span&gt;an&lt;span class="_ _7"&gt;&lt;/span&gt;ge r&lt;span class="_ _7"&gt;&lt;/span&gt;ate di&lt;span class="_ _7"&gt;&lt;/span&gt;f&lt;span class="_ _7"&gt;&lt;/span&gt;f&lt;span class="_ _7"&gt;&lt;/span&gt;er-&lt;/span&gt;&lt;span style="display:inherit;clear:left;"&gt;en&lt;span class="_ _7"&gt;&lt;/span&gt;ce&lt;span class="_ _7"&gt;&lt;/span&gt;s are r&lt;span class="_ _7"&gt;&lt;/span&gt;ec&lt;span class="_ _7"&gt;&lt;/span&gt;og&lt;span class="_ _7"&gt;&lt;/span&gt;ni&lt;span class="_ _7"&gt;&lt;/span&gt;se&lt;span class="_ _7"&gt;&lt;/span&gt;d in th&lt;span class="_ _7"&gt;&lt;/span&gt;e in&lt;span class="_ _7"&gt;&lt;/span&gt;co&lt;span class="_ _7"&gt;&lt;/span&gt;me s&lt;span class="_ _7"&gt;&lt;/span&gt;ta&lt;span class="_ _7"&gt;&lt;/span&gt;tem&lt;span class="_ _7"&gt;&lt;/span&gt;en&lt;span class="_ _7"&gt;&lt;/span&gt;t. &lt;/span&gt;&lt;span style="display:inherit;clear:left;"&gt;Exc&lt;span class="_ _7"&gt;&lt;/span&gt;ha&lt;span class="_ _7"&gt;&lt;/span&gt;nge r&lt;span class="_ _7"&gt;&lt;/span&gt;ate d&lt;span class="_ _7"&gt;&lt;/span&gt;if&lt;span class="_ _9"&gt;&lt;/span&gt;fer&lt;span class="_ _7"&gt;&lt;/span&gt;enc&lt;span class="_ _7"&gt;&lt;/span&gt;e&lt;span class="_ _7"&gt;&lt;/span&gt;s on op&lt;span class="_ _7"&gt;&lt;/span&gt;er&lt;span class="_ _7"&gt;&lt;/span&gt;at&lt;span class="_ _7"&gt;&lt;/span&gt;ing a&lt;span class="_ _7"&gt;&lt;/span&gt;s&lt;span class="_ _7"&gt;&lt;/span&gt;se&lt;span class="_ _7"&gt;&lt;/span&gt;ts a&lt;span class="_ _7"&gt;&lt;/span&gt;nd l&lt;span class="_ _7"&gt;&lt;/span&gt;iab&lt;span class="_ _7"&gt;&lt;/span&gt;il&lt;span class="_ _7"&gt;&lt;/span&gt;iti&lt;span class="_ _7"&gt;&lt;/span&gt;es a&lt;span class="_ _7"&gt;&lt;/span&gt;re &lt;/span&gt;&lt;span style="display:inherit;clear:left;"&gt;re&lt;span class="_ _7"&gt;&lt;/span&gt;cog&lt;span class="_ _7"&gt;&lt;/span&gt;ni&lt;span class="_ _7"&gt;&lt;/span&gt;s&lt;span class="_ _7"&gt;&lt;/span&gt;ed in o&lt;span class="_ _7"&gt;&lt;/span&gt;the&lt;span class="_ _7"&gt;&lt;/span&gt;r op&lt;span class="_ _7"&gt;&lt;/span&gt;er&lt;span class="_ _7"&gt;&lt;/span&gt;at&lt;span class="_ _7"&gt;&lt;/span&gt;ing i&lt;span class="_ _7"&gt;&lt;/span&gt;nco&lt;span class="_ _7"&gt;&lt;/span&gt;me a&lt;span class="_ _7"&gt;&lt;/span&gt;nd ex&lt;span class="_ _7"&gt;&lt;/span&gt;pe&lt;span class="_ _7"&gt;&lt;/span&gt;ns&lt;span class="_ _7"&gt;&lt;/span&gt;e&lt;span class="_ _7"&gt;&lt;/span&gt;s&lt;span class="_ _7"&gt;&lt;/span&gt;, whi&lt;span class="_ _7"&gt;&lt;/span&gt;le exch&lt;span class="_ _7"&gt;&lt;/span&gt;ang&lt;span class="_ _7"&gt;&lt;/span&gt;e &lt;/span&gt;&lt;span style="display:inherit;clear:left;"&gt;ra&lt;span class="_ _7"&gt;&lt;/span&gt;te di&lt;span class="_ _7"&gt;&lt;/span&gt;f&lt;span class="_ _7"&gt;&lt;/span&gt;fe&lt;span class="_ _7"&gt;&lt;/span&gt;re&lt;span class="_ _7"&gt;&lt;/span&gt;nc&lt;span class="_ _7"&gt;&lt;/span&gt;es a&lt;span class="_ _7"&gt;&lt;/span&gt;ri&lt;span class="_ _7"&gt;&lt;/span&gt;sin&lt;span class="_ _7"&gt;&lt;/span&gt;g on f&lt;span class="_ _7"&gt;&lt;/span&gt;in&lt;span class="_ _7"&gt;&lt;/span&gt;an&lt;span class="_ _7"&gt;&lt;/span&gt;cia&lt;span class="_ _7"&gt;&lt;/span&gt;l as&lt;span class="_ _7"&gt;&lt;/span&gt;s&lt;span class="_ _7"&gt;&lt;/span&gt;et&lt;span class="_ _7"&gt;&lt;/span&gt;s an&lt;span class="_ _7"&gt;&lt;/span&gt;d lia&lt;span class="_ _7"&gt;&lt;/span&gt;bi&lt;span class="_ _7"&gt;&lt;/span&gt;lit&lt;span class="_ _7"&gt;&lt;/span&gt;ie&lt;span class="_ _7"&gt;&lt;/span&gt;s are r&lt;span class="_ _7"&gt;&lt;/span&gt;ec&lt;span class="_ _7"&gt;&lt;/span&gt;og-&lt;/span&gt;&lt;span style="display:inherit;clear:left;"&gt;nis&lt;span class="_ _7"&gt;&lt;/span&gt;e&lt;span class="_ _7"&gt;&lt;/span&gt;d in f&lt;span class="_ _7"&gt;&lt;/span&gt;in&lt;span class="_ _7"&gt;&lt;/span&gt;anc&lt;span class="_ _7"&gt;&lt;/span&gt;ia&lt;span class="_ _7"&gt;&lt;/span&gt;l inc&lt;span class="_ _7"&gt;&lt;/span&gt;om&lt;span class="_ _7"&gt;&lt;/span&gt;e an&lt;span class="_ _7"&gt;&lt;/span&gt;d exp&lt;span class="_ _7"&gt;&lt;/span&gt;en&lt;span class="_ _7"&gt;&lt;/span&gt;s&lt;span class="_ _7"&gt;&lt;/span&gt;es&lt;span class="_ _7"&gt;&lt;/span&gt;. &lt;/span&gt;&lt;span style="display:inherit;clear:left;"&gt;When preparing&lt;span class="_ _2"&gt;&lt;/span&gt; the consolidated financial&lt;span class="_ _2"&gt;&lt;/span&gt; statements, items in &lt;/span&gt;&lt;span style="display:inherit;clear:left;"&gt;the i&lt;span class="_ _7"&gt;&lt;/span&gt;nc&lt;span class="_ _7"&gt;&lt;/span&gt;om&lt;span class="_ _7"&gt;&lt;/span&gt;e st&lt;span class="_ _7"&gt;&lt;/span&gt;ate&lt;span class="_ _7"&gt;&lt;/span&gt;me&lt;span class="_ _7"&gt;&lt;/span&gt;nt&lt;span class="_ _7"&gt;&lt;/span&gt;s of fo&lt;span class="_ _7"&gt;&lt;/span&gt;re&lt;span class="_ _7"&gt;&lt;/span&gt;ig&lt;span class="_ _7"&gt;&lt;/span&gt;n sub&lt;span class="_ _7"&gt;&lt;/span&gt;s&lt;span class="_ _7"&gt;&lt;/span&gt;idi&lt;span class="_ _7"&gt;&lt;/span&gt;ar&lt;span class="_ _7"&gt;&lt;/span&gt;ie&lt;span class="_ _7"&gt;&lt;/span&gt;s ar&lt;span class="_ _7"&gt;&lt;/span&gt;e tr&lt;span class="_ _7"&gt;&lt;/span&gt;ans&lt;span class="_ _7"&gt;&lt;/span&gt;l&lt;span class="_ _7"&gt;&lt;/span&gt;ate&lt;span class="_ _7"&gt;&lt;/span&gt;d to SEK &lt;/span&gt;&lt;span style="display:inherit;clear:left;"&gt;us&lt;span class="_ _7"&gt;&lt;/span&gt;ing m&lt;span class="_ _7"&gt;&lt;/span&gt;ont&lt;span class="_ _7"&gt;&lt;/span&gt;hly av&lt;span class="_ _7"&gt;&lt;/span&gt;er&lt;span class="_ _7"&gt;&lt;/span&gt;age exc&lt;span class="_ _7"&gt;&lt;/span&gt;han&lt;span class="_ _7"&gt;&lt;/span&gt;ge r&lt;span class="_ _7"&gt;&lt;/span&gt;ate&lt;span class="_ _7"&gt;&lt;/span&gt;s&lt;span class="_ _7"&gt;&lt;/span&gt;. Ba&lt;span class="_ _7"&gt;&lt;/span&gt;la&lt;span class="_ _7"&gt;&lt;/span&gt;nc&lt;span class="_ _7"&gt;&lt;/span&gt;e sh&lt;span class="_ _7"&gt;&lt;/span&gt;ee&lt;span class="_ _7"&gt;&lt;/span&gt;t ite&lt;span class="_ _7"&gt;&lt;/span&gt;ms ar&lt;span class="_ _7"&gt;&lt;/span&gt;e &lt;/span&gt;&lt;span style="display:inherit;clear:left;"&gt;tr&lt;span class="_ _7"&gt;&lt;/span&gt;ans&lt;span class="_ _7"&gt;&lt;/span&gt;l&lt;span class="_ _7"&gt;&lt;/span&gt;ate&lt;span class="_ _7"&gt;&lt;/span&gt;d into S&lt;span class="_ _7"&gt;&lt;/span&gt;EK us&lt;span class="_ _7"&gt;&lt;/span&gt;ing exc&lt;span class="_ _7"&gt;&lt;/span&gt;ha&lt;span class="_ _7"&gt;&lt;/span&gt;nge r&lt;span class="_ _7"&gt;&lt;/span&gt;ate&lt;span class="_ _7"&gt;&lt;/span&gt;s at ye&lt;span class="_ _7"&gt;&lt;/span&gt;ar-end (clo&lt;span class="_ _7"&gt;&lt;/span&gt;si&lt;span class="_ _7"&gt;&lt;/span&gt;ng ra&lt;span class="_ _7"&gt;&lt;/span&gt;te). &lt;/span&gt;&lt;span style="display:inherit;clear:left;"&gt;Exc&lt;span class="_ _7"&gt;&lt;/span&gt;ha&lt;span class="_ _7"&gt;&lt;/span&gt;nge r&lt;span class="_ _7"&gt;&lt;/span&gt;ate d&lt;span class="_ _7"&gt;&lt;/span&gt;if&lt;span class="_ _9"&gt;&lt;/span&gt;fer&lt;span class="_ _7"&gt;&lt;/span&gt;enc&lt;span class="_ _7"&gt;&lt;/span&gt;e&lt;span class="_ _7"&gt;&lt;/span&gt;s ari&lt;span class="_ _7"&gt;&lt;/span&gt;si&lt;span class="_ _7"&gt;&lt;/span&gt;ng o&lt;span class="_ _7"&gt;&lt;/span&gt;n tra&lt;span class="_ _7"&gt;&lt;/span&gt;ns&lt;span class="_ _7"&gt;&lt;/span&gt;l&lt;span class="_ _7"&gt;&lt;/span&gt;ati&lt;span class="_ _7"&gt;&lt;/span&gt;on ar&lt;span class="_ _7"&gt;&lt;/span&gt;e re&lt;span class="_ _7"&gt;&lt;/span&gt;cog&lt;span class="_ _7"&gt;&lt;/span&gt;ni&lt;span class="_ _7"&gt;&lt;/span&gt;s&lt;span class="_ _7"&gt;&lt;/span&gt;ed i&lt;span class="_ _7"&gt;&lt;/span&gt;n &lt;/span&gt;&lt;span style="display:inherit;clear:left;"&gt;other comprehensive&lt;span class="_ _2"&gt;&lt;/span&gt; income and accu&lt;span class="_ _2"&gt;&lt;/span&gt;mulated in equity&lt;span class="_ _2"&gt;&lt;/span&gt;. The accu&lt;span class="_ _2"&gt;&lt;/span&gt;&lt;span class="ls3 ws3"&gt;-&lt;/span&gt;&lt;/span&gt;&lt;span style="display:inherit;clear:left;"&gt;mulated translation&lt;span class="_ _2"&gt;&lt;/span&gt; dif&lt;span class="_ _7"&gt;&lt;/span&gt;ferences related to&lt;span class="_ _2"&gt;&lt;/span&gt; subsidiarie&lt;span class="_ _7"&gt;&lt;/span&gt;s, joint v&lt;span class="_ _2"&gt;&lt;/span&gt;en&lt;span class="ls3 ws3"&gt;-&lt;/span&gt;&lt;/span&gt;&lt;span style="display:inherit;clear:left;"&gt;tur&lt;span class="_ _7"&gt;&lt;/span&gt;es o&lt;span class="_ _7"&gt;&lt;/span&gt;r as&lt;span class="_ _7"&gt;&lt;/span&gt;s&lt;span class="_ _7"&gt;&lt;/span&gt;o&lt;span class="_ _7"&gt;&lt;/span&gt;cia&lt;span class="_ _7"&gt;&lt;/span&gt;tes a&lt;span class="_ _7"&gt;&lt;/span&gt;re r&lt;span class="_ _7"&gt;&lt;/span&gt;ever&lt;span class="_ _7"&gt;&lt;/span&gt;s&lt;span class="_ _7"&gt;&lt;/span&gt;ed t&lt;span class="_ _7"&gt;&lt;/span&gt;o the i&lt;span class="_ _7"&gt;&lt;/span&gt;nc&lt;span class="_ _7"&gt;&lt;/span&gt;om&lt;span class="_ _7"&gt;&lt;/span&gt;e st&lt;span class="_ _7"&gt;&lt;/span&gt;ate&lt;span class="_ _7"&gt;&lt;/span&gt;me&lt;span class="_ _7"&gt;&lt;/span&gt;nt as a p&lt;span class="_ _7"&gt;&lt;/span&gt;ar&lt;span class="_ _7"&gt;&lt;/span&gt;t &lt;/span&gt;&lt;span style="display:inherit;clear:left;"&gt;of th&lt;span class="_ _7"&gt;&lt;/span&gt;e ga&lt;span class="_ _7"&gt;&lt;/span&gt;in/&lt;span class="_ _7"&gt;&lt;/span&gt;lo&lt;span class="_ _7"&gt;&lt;/span&gt;s&lt;span class="_ _7"&gt;&lt;/span&gt;s ar&lt;span class="_ _7"&gt;&lt;/span&gt;is&lt;span class="_ _7"&gt;&lt;/span&gt;ing f&lt;span class="_ _7"&gt;&lt;/span&gt;ro&lt;span class="_ _7"&gt;&lt;/span&gt;m di&lt;span class="_ _7"&gt;&lt;/span&gt;sp&lt;span class="_ _7"&gt;&lt;/span&gt;os&lt;span class="_ _7"&gt;&lt;/span&gt;a&lt;span class="_ _7"&gt;&lt;/span&gt;l of s&lt;span class="_ _7"&gt;&lt;/span&gt;uch a c&lt;span class="_ _7"&gt;&lt;/span&gt;om&lt;span class="_ _7"&gt;&lt;/span&gt;pa&lt;span class="_ _7"&gt;&lt;/span&gt;ny.&lt;/span&gt;&lt;span style="display:inherit;clear:left;position:relative;height:131.970703125px;"&gt;&lt;span class="pp-font-color-override-1" style="position: absolute; display: inline-block; left: 0px; top: 0.0078125px; width: 295.764px; white-space: pre; word-spacing: 0px; letter-spacing: 0px; margin-left: 0px; font-size: 10.95px; font-family: ff6c; -webkit-text-stroke: 0.16425px rgba(0, 0, 0, 0);"&gt;&lt;span style="display: inline-block;"&gt;Th&lt;/span&gt;&lt;span style="word-spacing: 0px; letter-spacing: 0px; display: inline-block; margin-left: 0px; width: 0.410156px; font-size: 10.95px; font-family: ff6c; -webkit-text-stroke: 0.16425px rgba(0, 0, 0, 0);"&gt;&lt;/span&gt;&lt;span style="display: inline-block;"&gt;e mai&lt;/span&gt;&lt;span style="word-spacing: 0px; letter-spacing: 0px; display: inline-block; margin-left: 0px; width: 0.410156px; font-size: 10.95px; font-family: ff6c; -webkit-text-stroke: 0.16425px rgba(0, 0, 0, 0);"&gt;&lt;/span&gt;&lt;span style="display: inline-block;"&gt;n exch&lt;/span&gt;&lt;span style="word-spacing: 0px; letter-spacing: 0px; display: inline-block; margin-left: 0px; width: 0.410156px; font-size: 10.95px; font-family: ff6c; -webkit-text-stroke: 0.16425px rgba(0, 0, 0, 0);"&gt;&lt;/span&gt;&lt;span style="display: inline-block;"&gt;ang&lt;/span&gt;&lt;span style="word-spacing: 0px; letter-spacing: 0px; display: inline-block; margin-left: 0px; width: 0.410156px; font-size: 10.95px; font-family: ff6c; -webkit-text-stroke: 0.16425px rgba(0, 0, 0, 0);"&gt;&lt;/span&gt;&lt;span style="display: inline-block;"&gt;e ra&lt;/span&gt;&lt;span style="word-spacing: 0px; letter-spacing: 0px; display: inline-block; margin-left: 0px; width: 0.410156px; font-size: 10.95px; font-family: ff6c; -webkit-text-stroke: 0.16425px rgba(0, 0, 0, 0);"&gt;&lt;/span&gt;&lt;span style="display: inline-block;"&gt;tes a&lt;/span&gt;&lt;span style="word-spacing: 0px; letter-spacing: 0px; display: inline-block; margin-left: 0px; width: 0.410156px; font-size: 10.95px; font-family: ff6c; -webkit-text-stroke: 0.16425px rgba(0, 0, 0, 0);"&gt;&lt;/span&gt;&lt;span style="display: inline-block;"&gt;pp&lt;/span&gt;&lt;span style="word-spacing: 0px; letter-spacing: 0px; display: inline-block; margin-left: 0px; width: 0.410156px; font-size: 10.95px; font-family: ff6c; -webkit-text-stroke: 0.16425px rgba(0, 0, 0, 0);"&gt;&lt;/span&gt;&lt;span style="display: inline-block;"&gt;lie&lt;/span&gt;&lt;span style="word-spacing: 0px; letter-spacing: 0px; display: inline-block; margin-left: 0px; width: 0.410156px; font-size: 10.95px; font-family: ff6c; -webkit-text-stroke: 0.16425px rgba(0, 0, 0, 0);"&gt;&lt;/span&gt;&lt;span style="display: inline-block;"&gt;d ar&lt;/span&gt;&lt;span style="word-spacing: 0px; letter-spacing: 0px; display: inline-block; margin-left: 0px; width: 0.410156px; font-size: 10.95px; font-family: ff6c; -webkit-text-stroke: 0.16425px rgba(0, 0, 0, 0);"&gt;&lt;/span&gt;&lt;span style="display: inline-block;"&gt;e pr&lt;/span&gt;&lt;span style="word-spacing: 0px; letter-spacing: 0px; display: inline-block; margin-left: 0px; width: 0.410156px; font-size: 10.95px; font-family: ff6c; -webkit-text-stroke: 0.16425px rgba(0, 0, 0, 0);"&gt;&lt;/span&gt;&lt;span style="display: inline-block;"&gt;es&lt;/span&gt;&lt;span style="word-spacing: 0px; letter-spacing: 0px; display: inline-block; margin-left: 0px; width: 0.410156px; font-size: 10.95px; font-family: ff6c; -webkit-text-stroke: 0.16425px rgba(0, 0, 0, 0);"&gt;&lt;/span&gt;&lt;span style="display: inline-block;"&gt;en&lt;/span&gt;&lt;span style="word-spacing: 0px; letter-spacing: 0px; display: inline-block; margin-left: 0px; width: 0.410156px; font-size: 10.95px; font-family: ff6c; -webkit-text-stroke: 0.16425px rgba(0, 0, 0, 0);"&gt;&lt;/span&gt;&lt;span style="display: inline-block;"&gt;ted i&lt;/span&gt;&lt;span style="word-spacing: 0px; letter-spacing: 0px; display: inline-block; margin-left: 0px; width: 0.410156px; font-size: 10.95px; font-family: ff6c; -webkit-text-stroke: 0.16425px rgba(0, 0, 0, 0);"&gt;&lt;/span&gt;&lt;span style="display: inline-block;"&gt;n the t&lt;/span&gt;&lt;span style="word-spacing: 0px; letter-spacing: 0px; display: inline-block; margin-left: 0px; width: 0.410156px; font-size: 10.95px; font-family: ff6c; -webkit-text-stroke: 0.16425px rgba(0, 0, 0, 0);"&gt;&lt;/span&gt;&lt;span style="display: inline-block;"&gt;ab&lt;/span&gt;&lt;span style="word-spacing: 0px; letter-spacing: 0px; display: inline-block; margin-left: 0px; width: 0.410156px; font-size: 10.95px; font-family: ff6c; -webkit-text-stroke: 0.16425px rgba(0, 0, 0, 0);"&gt;&lt;/span&gt;&lt;span style="display: inline-block;"&gt;le b&lt;/span&gt;&lt;span style="word-spacing: 0px; letter-spacing: 0px; display: inline-block; margin-left: 0px; width: 0.410156px; font-size: 10.95px; font-family: ff6c; -webkit-text-stroke: 0.16425px rgba(0, 0, 0, 0);"&gt;&lt;/span&gt;&lt;span style="display: inline-block;"&gt;elo&lt;/span&gt;&lt;span style="word-spacing: 0px; letter-spacing: 0px; display: inline-block; margin-left: 0px; width: 0.410156px; font-size: 10.95px; font-family: ff6c; -webkit-text-stroke: 0.16425px rgba(0, 0, 0, 0);"&gt;&lt;/span&gt;&lt;span style="display: inline-block;"&gt;w:&lt;/span&gt;&lt;/span&gt;&lt;span class="pp-font-color-override-1" style="position: absolute; display: inline-block; left: 181.812px; top: 18.7168px; width: 130.611px; white-space: pre; word-spacing: -0.1152px; letter-spacing: 0.1152px; margin-left: 0px; font-size: 9.6px; font-family: ff6f; -webkit-text-stroke: 0.144px rgba(0, 0, 0, 0);"&gt;&lt;span style="display: inline-block;"&gt;Average rate&lt;/span&gt;&lt;span style="word-spacing: -0.1152px; letter-spacing: 0.1152px; display: inline-block; margin-left: 0px; width: 40.5469px; font-size: 9.6px; font-family: ff6f; -webkit-text-stroke: 0.144px rgba(0, 0, 0, 0);"&gt;&lt;span style="display: inline-block;"&gt; &lt;/span&gt;&lt;/span&gt;&lt;span class="pp-font-color-override-1" style="word-spacing: -0.2496px; letter-spacing: 0.2496px; display: inline-block; margin-left: 0px; font-size: 9.6px; font-family: ff6f; -webkit-text-stroke: 0.144px rgba(0, 0, 0, 0);"&gt;&lt;span style="display: inline-block;"&gt;Close&lt;/span&gt;&lt;span style="word-spacing: -0.2496px; letter-spacing: 0.2496px; display: inline-block; margin-left: -0.684px; width: 0px; font-size: 9.6px; font-family: ff6f; -webkit-text-stroke: 0.144px rgba(0, 0, 0, 0);"&gt;&lt;/span&gt;&lt;span style="display: inline-block;"&gt; rate&lt;/span&gt;&lt;/span&gt;&lt;/span&gt;&lt;span class="pp-font-color-override-1" style="position: absolute; display: inline-block; left: 1.28125px; top: 33.2852px; width: 83.1445px; white-space: pre; word-spacing: -0.1824px; letter-spacing: 0.1824px; margin-left: 0px; font-size: 9.6px; font-family: ff6f; -webkit-text-stroke: 0.144px rgba(0, 0, 0, 0);"&gt;&lt;span style="display: inline-block;"&gt;Country&lt;/span&gt;&lt;span style="word-spacing: -0.1824px; letter-spacing: 0.1824px; display: inline-block; margin-left: 0px; width: 50.4082px; font-size: 9.6px; font-family: ff6f; -webkit-text-stroke: 0.144px rgba(0, 0, 0, 0);"&gt;&lt;span style="display: inline-block;"&gt; &lt;/span&gt;&lt;/span&gt;&lt;/span&gt;&lt;span class="pp-font-color-override-1" style="position: absolute; display: inline-block; left: 84.4258px; top: 33.2852px; width: 224.438px; white-space: pre; word-spacing: -0.2112px; letter-spacing: 0.2112px; margin-left: 0px; font-size: 9.6px; font-family: ff6f; -webkit-text-stroke: 0.144px rgba(0, 0, 0, 0);"&gt;&lt;span style="display: inline-block;"&gt;Currency&lt;/span&gt;&lt;span style="word-spacing: -0.2112px; letter-spacing: 0.2112px; display: inline-block; margin-left: 0px; width: 44.3554px;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21.8145px;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inline-block;"&gt;20&lt;/span&gt;&lt;span style="word-spacing: 0.0576px; letter-spacing: -0.0576px; display: inline-block; margin-left: 0px; width: 0.410156px; font-size: 9.6px; font-family: ff6c; -webkit-text-stroke: 0.144px rgba(0, 0, 0, 0);"&gt;&lt;/span&gt;&lt;span style="display: inline-block;"&gt;24&lt;/span&gt;&lt;span style="word-spacing: 0.0576px; letter-spacing: -0.0576px; display: inline-block; margin-left: 0px; width: 21.375px; font-size: 9.6px; font-family: ff6c; -webkit-text-stroke: 0.144px rgba(0, 0, 0, 0);"&gt;&lt;span style="display: inline-block;"&gt;&lt;span style="width: 2.40234px; display: inline-block;"&gt; &lt;/span&gt;&lt;/span&gt;&lt;/span&gt;&lt;/span&gt;&lt;span style="display: inline-block;"&gt;2025&lt;/span&gt;&lt;span style="word-spacing: -0.0384px; letter-spacing: 0.0384px; display: inline-block; margin-left: 0px; width: 22.4355px;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1.28125px; top: 55.916px; width: 86.5664px; white-space: pre; word-spacing: -0.1365px; letter-spacing: 0.1365px; margin-left: 0px; font-size: 10.5px; font-family: ff70; -webkit-text-stroke: 0.1575px rgba(0, 0, 0, 0);"&gt;&lt;span style="display: inline-block;"&gt;China&lt;/span&gt;&lt;span style="word-spacing: -0.1365px; letter-spacing: 0.1365px; display: inline-block; margin-left: 0px; width: 60.8029px; font-size: 10.5px; font-family: ff70; -webkit-text-stroke: 0.1575px rgba(0, 0, 0, 0);"&gt;&lt;span style="display: inline-block;"&gt; &lt;/span&gt;&lt;/span&gt;&lt;/span&gt;&lt;span class="pp-font-color-override-1" style="position: absolute; display: inline-block; left: 87.8477px; top: 55.916px; width: 251.256px; white-space: pre; word-spacing: -0.1155px; letter-spacing: 0.1155px; margin-left: 0px; font-size: 10.5px; font-family: ff70; -webkit-text-stroke: 0.1575px rgba(0, 0, 0, 0);"&gt;&lt;span style="display: inline-block;"&gt;CNY&lt;/span&gt;&lt;span style="word-spacing: -0.1155px; letter-spacing: 0.1155px; display: inline-block; margin-left: 0px; width: 71.6134px; font-size: 10.5px; font-family: ff70; -webkit-text-stroke: 0.1575px rgba(0, 0, 0, 0);"&gt;&lt;span style="display: inline-block;"&gt; &lt;/span&gt;&lt;/span&gt;&lt;span class="pp-font-color-override-1" style="word-spacing: -0.105px; letter-spacing: 0.105px; display: inline-block; margin-left: 0px; font-size: 10.5px; font-family: ff70; -webkit-text-stroke: 0.1575px rgba(0, 0, 0, 0);"&gt;&lt;span style="display: inline-block;"&gt;1.34&lt;/span&gt;&lt;span style="word-spacing: -0.105px; letter-spacing: 0.105px; display: inline-block; margin-left: 0px; width: 27.6035px; font-size: 10.5px; font-family: ff70; -webkit-text-stroke: 0.1575px rgba(0, 0, 0, 0);"&gt;&lt;span style="display: inline-block;"&gt; &lt;/span&gt;&lt;/span&gt;&lt;span class="pp-font-color-override-1" style="word-spacing: 0.231px; letter-spacing: -0.231px; display: inline-block; margin-left: 0px; font-size: 10.5px; font-family: ff70; -webkit-text-stroke: 0.1575px rgba(0, 0, 0, 0);"&gt;&lt;span style="display: inline-block;"&gt;1.&lt;/span&gt;&lt;span style="word-spacing: 0.231px; letter-spacing: -0.231px; display: inline-block; margin-left: 0px; width: 0.410156px; font-size: 10.5px; font-family: ff70; -webkit-text-stroke: 0.1575px rgba(0, 0, 0, 0);"&gt;&lt;/span&gt;&lt;span style="display: inline-block;"&gt;47&lt;/span&gt;&lt;span style="word-spacing: 0.231px; letter-spacing: -0.231px; display: inline-block; margin-left: 0px; width: 27.0469px; font-size: 10.5px; font-family: ff70; -webkit-text-stroke: 0.1575px rgba(0, 0, 0, 0);"&gt;&lt;span style="display: inline-block;"&gt;&lt;span style="width: 2.625px; display: inline-block;"&gt; &lt;/span&gt;&lt;/span&gt;&lt;/span&gt;&lt;/span&gt;&lt;span style="display: inline-block;"&gt;1.&lt;/span&gt;&lt;span style="word-spacing: -0.105px; letter-spacing: 0.105px; display: inline-block; margin-left: 0px; width: 0.410156px; font-size: 10.5px; font-family: ff70; -webkit-text-stroke: 0.1575px rgba(0, 0, 0, 0);"&gt;&lt;/span&gt;&lt;span style="display: inline-block;"&gt;32&lt;/span&gt;&lt;span style="word-spacing: -0.105px; letter-spacing: 0.105px; display: inline-block; margin-left: 0px; width: 28.6465px; font-size: 10.5px; font-family: ff70; -webkit-text-stroke: 0.1575px rgba(0, 0, 0, 0);"&gt;&lt;span style="display: inline-block;"&gt; &lt;/span&gt;&lt;/span&gt;&lt;span class="pp-font-color-override-1" style="word-spacing: 0.21px; letter-spacing: -0.21px; display: inline-block; margin-left: 0px; font-size: 10.5px; font-family: ff70; -webkit-text-stroke: 0.1575px rgba(0, 0, 0, 0);"&gt;&lt;span style="display: inline-block;"&gt;1.&lt;/span&gt;&lt;span style="word-spacing: 0.21px; letter-spacing: -0.21px; display: inline-block; margin-left: 0px; width: 0.410156px; font-size: 10.5px; font-family: ff70; -webkit-text-stroke: 0.1575px rgba(0, 0, 0, 0);"&gt;&lt;/span&gt;&lt;span style="display: inline-block;"&gt;51&lt;/span&gt;&lt;/span&gt;&lt;/span&gt;&lt;/span&gt;&lt;span class="pp-font-color-override-1" style="position: absolute; display: inline-block; left: 1.28125px; top: 72.4785px; width: 84.7148px; white-space: pre; word-spacing: 0.0105px; letter-spacing: 0.021px; margin-left: 0px; font-size: 10.5px; font-family: ff70; -webkit-text-stroke: 0.1575px rgba(0, 0, 0, 0);"&gt;&lt;span style="display: inline-block;"&gt;Euro zo&lt;/span&gt;&lt;span style="word-spacing: 0.0105px; letter-spacing: 0.021px; display: inline-block; margin-left: 0px; width: 0.410156px; font-size: 10.5px; font-family: ff70; -webkit-text-stroke: 0.1575px rgba(0, 0, 0, 0);"&gt;&lt;/span&gt;&lt;span style="display: inline-block;"&gt;ne&lt;/span&gt;&lt;span style="word-spacing: 0.0105px; letter-spacing: 0.021px; display: inline-block; margin-left: 0px; width: 41.244px; font-size: 10.5px; font-family: ff70; -webkit-text-stroke: 0.1575px rgba(0, 0, 0, 0);"&gt;&lt;span style="display: inline-block;"&gt;&lt;span style="width: 2.66016px; display: inline-block;"&gt; &lt;/span&gt;&lt;/span&gt;&lt;/span&gt;&lt;/span&gt;&lt;span class="pp-font-color-override-1" style="position: absolute; display: inline-block; left: 85.9961px; top: 72.4785px; width: 87.8555px; white-space: pre; word-spacing: -0.084px; letter-spacing: 0.084px; margin-left: 0px; font-size: 10.5px; font-family: ff70; -webkit-text-stroke: 0.1575px rgba(0, 0, 0, 0);"&gt;&lt;span style="display: inline-block;"&gt;EUR&lt;/span&gt;&lt;span style="word-spacing: -0.084px; letter-spacing: 0.084px; display: inline-block; margin-left: 0px; width: 66.5977px; font-size: 10.5px; font-family: ff70; -webkit-text-stroke: 0.1575px rgba(0, 0, 0, 0);"&gt;&lt;span style="display: inline-block;"&gt; &lt;/span&gt;&lt;/span&gt;&lt;/span&gt;&lt;span class="pp-font-color-override-1" style="position: absolute; display: inline-block; left: 173.852px; top: 72.4785px; width: 46.7051px; white-space: pre; word-spacing: 0.147px; letter-spacing: -0.147px; margin-left: 0px; font-size: 10.5px; font-family: ff70; -webkit-text-stroke: 0.1575px rgba(0, 0, 0, 0);"&gt;&lt;span style="display: inline-block;"&gt;1&lt;/span&gt;&lt;span style="word-spacing: 0.147px; letter-spacing: -0.147px; display: inline-block; margin-left: 0px; width: 0.410156px; font-size: 10.5px; font-family: ff70; -webkit-text-stroke: 0.1575px rgba(0, 0, 0, 0);"&gt;&lt;/span&gt;&lt;span style="display: inline-block;"&gt;0.&lt;/span&gt;&lt;span style="word-spacing: 0.147px; letter-spacing: -0.147px; display: inline-block; margin-left: 0px; width: 0.410156px; font-size: 10.5px; font-family: ff70; -webkit-text-stroke: 0.1575px rgba(0, 0, 0, 0);"&gt;&lt;/span&gt;&lt;span style="display: inline-block;"&gt;97&lt;/span&gt;&lt;span style="word-spacing: 0.147px; letter-spacing: -0.147px; display: inline-block; margin-left: 0px; width: 22.9922px; font-size: 10.5px; font-family: ff70; -webkit-text-stroke: 0.1575px rgba(0, 0, 0, 0);"&gt;&lt;span style="display: inline-block;"&gt;&lt;span style="width: 2.625px; display: inline-block;"&gt; &lt;/span&gt;&lt;/span&gt;&lt;/span&gt;&lt;/span&gt;&lt;span class="pp-font-color-override-1" style="position: absolute; display: inline-block; left: 220.557px; top: 72.4785px; width: 111.896px; white-space: pre; word-spacing: 0.2415px; letter-spacing: -0.2415px; margin-left: 0px; font-size: 10.5px; font-family: ff70; -webkit-text-stroke: 0.1575px rgba(0, 0, 0, 0);"&gt;&lt;span style="display: inline-block;"&gt;11&lt;/span&gt;&lt;span style="word-spacing: 0.2415px; letter-spacing: -0.2415px; display: inline-block; margin-left: 0px; width: 0.410156px; font-size: 10.5px; font-family: ff70; -webkit-text-stroke: 0.1575px rgba(0, 0, 0, 0);"&gt;&lt;/span&gt;&lt;span style="display: inline-block;"&gt;.4&lt;/span&gt;&lt;span style="word-spacing: 0.2415px; letter-spacing: -0.2415px; display: inline-block; margin-left: 0px; width: 0.410156px; font-size: 10.5px; font-family: ff70; -webkit-text-stroke: 0.1575px rgba(0, 0, 0, 0);"&gt;&lt;/span&gt;&lt;span style="display: inline-block;"&gt;2&lt;/span&gt;&lt;span style="word-spacing: 0.2415px; letter-spacing: -0.2415px; display: inline-block; margin-left: 0px; width: 19.4238px; font-size: 10.5px; font-family: ff70; -webkit-text-stroke: 0.1575px rgba(0, 0, 0, 0);"&gt;&lt;span style="display: inline-block;"&gt;&lt;span style="width: 2.625px; display: inline-block;"&gt; &lt;/span&gt;&lt;/span&gt;&lt;/span&gt;&lt;span class="pp-font-color-override-1" style="word-spacing: 0px; letter-spacing: 0px; display: inline-block; margin-left: 0px; font-size: 10.5px; font-family: ff70; -webkit-text-stroke: 0.1575px rgba(0, 0, 0, 0);"&gt;&lt;span style="display: inline-block;"&gt;10.&lt;/span&gt;&lt;span style="word-spacing: 0px; letter-spacing: 0px; display: inline-block; margin-left: 0px; width: 0.410156px; font-size: 10.5px; font-family: ff70; -webkit-text-stroke: 0.1575px rgba(0, 0, 0, 0);"&gt;&lt;/span&gt;&lt;span style="display: inline-block;"&gt;82&lt;/span&gt;&lt;span style="word-spacing: 0px; letter-spacing: 0px; display: inline-block; margin-left: 0px; width: 21.8145px; font-size: 10.5px; font-family: ff70; -webkit-text-stroke: 0.1575px rgba(0, 0, 0, 0);"&gt;&lt;span style="display: inline-block;"&gt; &lt;/span&gt;&lt;/span&gt;&lt;span class="pp-font-color-override-1" style="word-spacing: -0.105px; letter-spacing: 0.105px; display: inline-block; margin-left: 0px; font-size: 10.5px; font-family: ff70; -webkit-text-stroke: 0.1575px rgba(0, 0, 0, 0);"&gt;&lt;span style="display: inline-block;"&gt;11.45&lt;/span&gt;&lt;/span&gt;&lt;/span&gt;&lt;/span&gt;&lt;span class="pp-font-color-override-1" style="position: absolute; display: inline-block; left: 1.28125px; top: 88.4316px; width: 83.8359px; white-space: pre; word-spacing: -0.1365px; letter-spacing: 0.168px; margin-left: 0px; font-size: 10.5px; font-family: ff70; -webkit-text-stroke: 0.1575px rgba(0, 0, 0, 0);"&gt;&lt;span style="display: inline-block;"&gt;United Kingdom&lt;/span&gt;&lt;span style="word-spacing: -0.1365px; letter-spacing: 0.168px; display: inline-block; margin-left: 0px; width: 10.7461px; font-size: 10.5px; font-family: ff70; -webkit-text-stroke: 0.1575px rgba(0, 0, 0, 0);"&gt;&lt;span style="display: inline-block;"&gt; &lt;/span&gt;&lt;/span&gt;&lt;/span&gt;&lt;span class="pp-font-color-override-1" style="position: absolute; display: inline-block; left: 85.1172px; top: 88.4316px; width: 86.4434px; white-space: pre; word-spacing: -0.126px; letter-spacing: 0.126px; margin-left: 0px; font-size: 10.5px; font-family: ff70; -webkit-text-stroke: 0.1575px rgba(0, 0, 0, 0);"&gt;&lt;span style="display: inline-block;"&gt;GBP&lt;/span&gt;&lt;span style="word-spacing: -0.126px; letter-spacing: 0.126px; display: inline-block; margin-left: 0px; width: 65.6366px; font-size: 10.5px; font-family: ff70; -webkit-text-stroke: 0.1575px rgba(0, 0, 0, 0);"&gt;&lt;span style="display: inline-block;"&gt; &lt;/span&gt;&lt;/span&gt;&lt;/span&gt;&lt;span class="pp-font-color-override-1" style="position: absolute; display: inline-block; left: 171.561px; top: 88.4316px; width: 43.3242px; white-space: pre; word-spacing: -0.189px; letter-spacing: 0.189px; margin-left: 0px; font-size: 10.5px; font-family: ff70; -webkit-text-stroke: 0.1575px rgba(0, 0, 0, 0);"&gt;&lt;span style="display: inline-block;"&gt;1&lt;/span&gt;&lt;span style="word-spacing: -0.189px; letter-spacing: 0.189px; display: inline-block; margin-left: -0.684px; width: 0px; font-size: 10.5px; font-family: ff70; -webkit-text-stroke: 0.1575px rgba(0, 0, 0, 0);"&gt;&lt;/span&gt;&lt;span style="display: inline-block;"&gt;2.53&lt;/span&gt;&lt;span style="word-spacing: -0.189px; letter-spacing: 0.189px; display: inline-block; margin-left: 0px; width: 19.4238px; font-size: 10.5px; font-family: ff70; -webkit-text-stroke: 0.1575px rgba(0, 0, 0, 0);"&gt;&lt;span style="display: inline-block;"&gt; &lt;/span&gt;&lt;/span&gt;&lt;/span&gt;&lt;span class="pp-font-color-override-1" style="position: absolute; display: inline-block; left: 214.885px; top: 88.4316px; width: 112.559px; white-space: pre; word-spacing: 0.147px; letter-spacing: -0.147px; margin-left: 0px; font-size: 10.5px; font-family: ff70; -webkit-text-stroke: 0.1575px rgba(0, 0, 0, 0);"&gt;&lt;span style="display: inline-block;"&gt;13.&lt;/span&gt;&lt;span style="word-spacing: 0.147px; letter-spacing: -0.147px; display: inline-block; margin-left: 0px; width: 0.410156px; font-size: 10.5px; font-family: ff70; -webkit-text-stroke: 0.1575px rgba(0, 0, 0, 0);"&gt;&lt;/span&gt;&lt;span style="display: inline-block;"&gt;4&lt;/span&gt;&lt;span style="word-spacing: 0.147px; letter-spacing: -0.147px; display: inline-block; margin-left: 0px; width: 0.410156px; font-size: 10.5px; font-family: ff70; -webkit-text-stroke: 0.1575px rgba(0, 0, 0, 0);"&gt;&lt;/span&gt;&lt;span style="display: inline-block;"&gt;6&lt;/span&gt;&lt;span style="word-spacing: 0.147px; letter-spacing: -0.147px; display: inline-block; margin-left: 0px; width: 20.3086px; font-size: 10.5px; font-family: ff70; -webkit-text-stroke: 0.1575px rgba(0, 0, 0, 0);"&gt;&lt;span style="display: inline-block;"&gt;&lt;span style="width: 2.625px; display: inline-block;"&gt; &lt;/span&gt;&lt;/span&gt;&lt;/span&gt;&lt;span class="pp-font-color-override-1" style="word-spacing: 0.1155px; letter-spacing: -0.1155px; display: inline-block; margin-left: 0px; font-size: 10.5px; font-family: ff70; -webkit-text-stroke: 0.1575px rgba(0, 0, 0, 0);"&gt;&lt;span style="display: inline-block;"&gt;12.&lt;/span&gt;&lt;span style="word-spacing: 0.1155px; letter-spacing: -0.1155px; display: inline-block; margin-left: 0px; width: 0.410156px; font-size: 10.5px; font-family: ff70; -webkit-text-stroke: 0.1575px rgba(0, 0, 0, 0);"&gt;&lt;/span&gt;&lt;span style="display: inline-block;"&gt;3&lt;/span&gt;&lt;span style="word-spacing: 0.1155px; letter-spacing: -0.1155px; display: inline-block; margin-left: 0px; width: 0.410156px; font-size: 10.5px; font-family: ff70; -webkit-text-stroke: 0.1575px rgba(0, 0, 0, 0);"&gt;&lt;/span&gt;&lt;span style="display: inline-block;"&gt;9&lt;/span&gt;&lt;span style="word-spacing: 0.1155px; letter-spacing: -0.1155px; display: inline-block; margin-left: 0px; width: 19.8223px; font-size: 10.5px; font-family: ff70; -webkit-text-stroke: 0.1575px rgba(0, 0, 0, 0);"&gt;&lt;span style="display: inline-block;"&gt;&lt;span style="width: 2.625px; display: inline-block;"&gt; &lt;/span&gt;&lt;/span&gt;&lt;/span&gt;&lt;span class="pp-font-color-override-1" style="word-spacing: -0.2415px; letter-spacing: 0.2415px; display: inline-block; margin-left: 0px; font-size: 1</t>
  </si>
  <si>
    <t>f1__s8__6__252</t>
  </si>
  <si>
    <t>ifrs-full:DisclosureOfClaimsAndBenefitsPaidExplanatory</t>
  </si>
  <si>
    <t xml:space="preserve">&lt;span style="display:inherit;clear:left;"&gt;NOT&lt;span class="_ _7"&gt;&lt;/span&gt;E 22&lt;/span&gt;&lt;span style="display:inherit;clear:left;"&gt;POST&lt;span class="_ _2"&gt;&lt;/span&gt;-EMPLOYMENT BENEFITS&lt;/span&gt;&lt;span style="display:inherit;clear:left;"&gt;ACCOUNTING&lt;span class="_ _2"&gt;&lt;/span&gt; POLICIES&lt;/span&gt;&lt;span style="display:inherit;clear:left;"&gt;Pension benefits&lt;/span&gt;&lt;span style="display:inherit;clear:left;"&gt;Volvo Ca&lt;span class="_ _7"&gt;&lt;/span&gt;r Gro&lt;span class="_ _7"&gt;&lt;/span&gt;up h&lt;span class="_ _7"&gt;&lt;/span&gt;as v&lt;span class="_ _7"&gt;&lt;/span&gt;ari&lt;span class="_ _7"&gt;&lt;/span&gt;ou&lt;span class="_ _7"&gt;&lt;/span&gt;s s&lt;span class="_ _7"&gt;&lt;/span&gt;che&lt;span class="_ _7"&gt;&lt;/span&gt;me&lt;span class="_ _7"&gt;&lt;/span&gt;s fo&lt;span class="_ _7"&gt;&lt;/span&gt;r po&lt;span class="_ _7"&gt;&lt;/span&gt;s&lt;span class="_ _7"&gt;&lt;/span&gt;t&lt;span class="_ _2"&gt;&lt;/span&gt;-em&lt;span class="_ _7"&gt;&lt;/span&gt;plo&lt;span class="_ _7"&gt;&lt;/span&gt;ym&lt;span class="_ _7"&gt;&lt;/span&gt;ent b&lt;span class="_ _7"&gt;&lt;/span&gt;en&lt;span class="_ _7"&gt;&lt;/span&gt;e-&lt;/span&gt;&lt;span style="display:inherit;clear:left;"&gt;fi&lt;span class="_ _7"&gt;&lt;/span&gt;ts&lt;span class="_ _7"&gt;&lt;/span&gt;, m&lt;span class="_ _7"&gt;&lt;/span&gt;ain&lt;span class="_ _7"&gt;&lt;/span&gt;ly re&lt;span class="_ _7"&gt;&lt;/span&gt;l&lt;span class="_ _7"&gt;&lt;/span&gt;atin&lt;span class="_ _7"&gt;&lt;/span&gt;g to pe&lt;span class="_ _7"&gt;&lt;/span&gt;ns&lt;span class="_ _7"&gt;&lt;/span&gt;io&lt;span class="_ _7"&gt;&lt;/span&gt;n pl&lt;span class="_ _7"&gt;&lt;/span&gt;an&lt;span class="_ _7"&gt;&lt;/span&gt;s&lt;span class="_ _7"&gt;&lt;/span&gt;. Ot&lt;span class="_ _7"&gt;&lt;/span&gt;he&lt;span class="_ _7"&gt;&lt;/span&gt;r be&lt;span class="_ _7"&gt;&lt;/span&gt;ne&lt;span class="_ _7"&gt;&lt;/span&gt;fi&lt;span class="_ _7"&gt;&lt;/span&gt;ts c&lt;span class="_ _7"&gt;&lt;/span&gt;an i&lt;span class="_ _7"&gt;&lt;/span&gt;n so&lt;span class="_ _7"&gt;&lt;/span&gt;me &lt;/span&gt;&lt;span style="display:inherit;clear:left;"&gt;loc&lt;span class="_ _7"&gt;&lt;/span&gt;at&lt;span class="_ _7"&gt;&lt;/span&gt;ion&lt;span class="_ _7"&gt;&lt;/span&gt;s in&lt;span class="_ _7"&gt;&lt;/span&gt;clu&lt;span class="_ _7"&gt;&lt;/span&gt;de d&lt;span class="_ _7"&gt;&lt;/span&gt;is&lt;span class="_ _7"&gt;&lt;/span&gt;ab&lt;span class="_ _7"&gt;&lt;/span&gt;il&lt;span class="_ _7"&gt;&lt;/span&gt;it&lt;span class="_ _7"&gt;&lt;/span&gt;y, life i&lt;span class="_ _7"&gt;&lt;/span&gt;ns&lt;span class="_ _7"&gt;&lt;/span&gt;ur&lt;span class="_ _7"&gt;&lt;/span&gt;an&lt;span class="_ _7"&gt;&lt;/span&gt;ce a&lt;span class="_ _7"&gt;&lt;/span&gt;nd h&lt;span class="_ _7"&gt;&lt;/span&gt;ealt&lt;span class="_ _7"&gt;&lt;/span&gt;h be&lt;span class="_ _7"&gt;&lt;/span&gt;ne&lt;span class="_ _7"&gt;&lt;/span&gt;fi&lt;span class="_ _7"&gt;&lt;/span&gt;ts&lt;span class="_ _7"&gt;&lt;/span&gt;. &lt;/span&gt;&lt;span style="display:inherit;clear:left;"&gt; &lt;span class="_ _1"&gt;&lt;/span&gt;Pension plans are classified either as&lt;span class="_ _2"&gt;&lt;/span&gt; def&lt;span class="_ _7"&gt;&lt;/span&gt;ined contribut&lt;span class="_ _2"&gt;&lt;/span&gt;ion plans or &lt;/span&gt;&lt;span style="display:inherit;clear:left;"&gt;de&lt;span class="_ _7"&gt;&lt;/span&gt;fi&lt;span class="_ _7"&gt;&lt;/span&gt;ne&lt;span class="_ _7"&gt;&lt;/span&gt;d be&lt;span class="_ _7"&gt;&lt;/span&gt;ne&lt;span class="_ _7"&gt;&lt;/span&gt;fi&lt;span class="_ _7"&gt;&lt;/span&gt;t pl&lt;span class="_ _7"&gt;&lt;/span&gt;an&lt;span class="_ _7"&gt;&lt;/span&gt;s&lt;span class="_ _7"&gt;&lt;/span&gt;. Volvo Ca&lt;span class="_ _7"&gt;&lt;/span&gt;r Gro&lt;span class="_ _7"&gt;&lt;/span&gt;up h&lt;span class="_ _7"&gt;&lt;/span&gt;as b&lt;span class="_ _7"&gt;&lt;/span&gt;oth d&lt;span class="_ _7"&gt;&lt;/span&gt;ef&lt;span class="_ _7"&gt;&lt;/span&gt;in&lt;span class="_ _7"&gt;&lt;/span&gt;ed c&lt;span class="_ _7"&gt;&lt;/span&gt;on&lt;span class="_ _7"&gt;&lt;/span&gt;tri&lt;span class="_ _7"&gt;&lt;/span&gt;bu-&lt;/span&gt;&lt;span style="display:inherit;clear:left;"&gt;tio&lt;span class="_ _7"&gt;&lt;/span&gt;n pl&lt;span class="_ _7"&gt;&lt;/span&gt;an&lt;span class="_ _7"&gt;&lt;/span&gt;s an&lt;span class="_ _7"&gt;&lt;/span&gt;d de&lt;span class="_ _7"&gt;&lt;/span&gt;fi&lt;span class="_ _7"&gt;&lt;/span&gt;ne&lt;span class="_ _7"&gt;&lt;/span&gt;d be&lt;span class="_ _7"&gt;&lt;/span&gt;ne&lt;span class="_ _7"&gt;&lt;/span&gt;fi&lt;span class="_ _7"&gt;&lt;/span&gt;t pl&lt;span class="_ _7"&gt;&lt;/span&gt;an&lt;span class="_ _7"&gt;&lt;/span&gt;s fo&lt;span class="_ _7"&gt;&lt;/span&gt;r qu&lt;span class="_ _7"&gt;&lt;/span&gt;ali&lt;span class="_ _7"&gt;&lt;/span&gt;f&lt;span class="_ _7"&gt;&lt;/span&gt;y&lt;span class="_ _7"&gt;&lt;/span&gt;ing e&lt;span class="_ _7"&gt;&lt;/span&gt;mp&lt;span class="_ _7"&gt;&lt;/span&gt;loye&lt;span class="_ _7"&gt;&lt;/span&gt;es i&lt;span class="_ _7"&gt;&lt;/span&gt;n &lt;/span&gt;&lt;span style="display:inherit;clear:left;"&gt;so&lt;span class="_ _7"&gt;&lt;/span&gt;me s&lt;span class="_ _7"&gt;&lt;/span&gt;ub&lt;span class="_ _7"&gt;&lt;/span&gt;si&lt;span class="_ _7"&gt;&lt;/span&gt;di&lt;span class="_ _7"&gt;&lt;/span&gt;ari&lt;span class="_ _7"&gt;&lt;/span&gt;e&lt;span class="_ _7"&gt;&lt;/span&gt;s and t&lt;span class="_ _7"&gt;&lt;/span&gt;he l&lt;span class="_ _7"&gt;&lt;/span&gt;ar&lt;span class="_ _7"&gt;&lt;/span&gt;ge&lt;span class="_ _7"&gt;&lt;/span&gt;st p&lt;span class="_ _7"&gt;&lt;/span&gt;l&lt;span class="_ _7"&gt;&lt;/span&gt;ans a&lt;span class="_ _7"&gt;&lt;/span&gt;re i&lt;span class="_ _7"&gt;&lt;/span&gt;n Swe&lt;span class="_ _7"&gt;&lt;/span&gt;den a&lt;span class="_ _7"&gt;&lt;/span&gt;nd B&lt;span class="_ _7"&gt;&lt;/span&gt;el&lt;span class="_ _7"&gt;&lt;/span&gt;gi&lt;span class="_ _7"&gt;&lt;/span&gt;um&lt;span class="_ _7"&gt;&lt;/span&gt;.&lt;/span&gt;&lt;span style="display:inherit;clear:left;"&gt;Und&lt;span class="_ _7"&gt;&lt;/span&gt;er a d&lt;span class="_ _7"&gt;&lt;/span&gt;ef&lt;span class="_ _7"&gt;&lt;/span&gt;in&lt;span class="_ _7"&gt;&lt;/span&gt;ed c&lt;span class="_ _7"&gt;&lt;/span&gt;on&lt;span class="_ _7"&gt;&lt;/span&gt;tri&lt;span class="_ _7"&gt;&lt;/span&gt;bu&lt;span class="_ _7"&gt;&lt;/span&gt;tio&lt;span class="_ _7"&gt;&lt;/span&gt;n pl&lt;span class="_ _7"&gt;&lt;/span&gt;an&lt;span class="_ _7"&gt;&lt;/span&gt;, Volvo C&lt;span class="_ _7"&gt;&lt;/span&gt;ar Gr&lt;span class="_ _7"&gt;&lt;/span&gt;ou&lt;span class="_ _7"&gt;&lt;/span&gt;p pay&lt;span class="_ _7"&gt;&lt;/span&gt;s fi&lt;span class="_ _7"&gt;&lt;/span&gt;xe&lt;span class="_ _7"&gt;&lt;/span&gt;d &lt;/span&gt;&lt;span style="display:inherit;clear:left;"&gt;con&lt;span class="_ _7"&gt;&lt;/span&gt;tr&lt;span class="_ _7"&gt;&lt;/span&gt;ibu&lt;span class="_ _7"&gt;&lt;/span&gt;ti&lt;span class="_ _7"&gt;&lt;/span&gt;on&lt;span class="_ _7"&gt;&lt;/span&gt;s into a s&lt;span class="_ _7"&gt;&lt;/span&gt;ep&lt;span class="_ _7"&gt;&lt;/span&gt;ar&lt;span class="_ _7"&gt;&lt;/span&gt;ate e&lt;span class="_ _7"&gt;&lt;/span&gt;x&lt;span class="_ _7"&gt;&lt;/span&gt;ter&lt;span class="_ _7"&gt;&lt;/span&gt;na&lt;span class="_ _7"&gt;&lt;/span&gt;l leg&lt;span class="_ _7"&gt;&lt;/span&gt;al e&lt;span class="_ _7"&gt;&lt;/span&gt;nti&lt;span class="_ _7"&gt;&lt;/span&gt;t&lt;span class="_ _7"&gt;&lt;/span&gt;y and w&lt;span class="_ _7"&gt;&lt;/span&gt;il&lt;span class="_ _7"&gt;&lt;/span&gt;l have n&lt;span class="_ _7"&gt;&lt;/span&gt;o &lt;/span&gt;&lt;span style="display:inherit;clear:left;"&gt;leg&lt;span class="_ _7"&gt;&lt;/span&gt;al o&lt;span class="_ _7"&gt;&lt;/span&gt;bli&lt;span class="_ _7"&gt;&lt;/span&gt;ga&lt;span class="_ _7"&gt;&lt;/span&gt;tio&lt;span class="_ _7"&gt;&lt;/span&gt;n to pa&lt;span class="_ _7"&gt;&lt;/span&gt;y fu&lt;span class="_ _7"&gt;&lt;/span&gt;r&lt;span class="_ _7"&gt;&lt;/span&gt;the&lt;span class="_ _7"&gt;&lt;/span&gt;r co&lt;span class="_ _7"&gt;&lt;/span&gt;ntr&lt;span class="_ _7"&gt;&lt;/span&gt;ib&lt;span class="_ _7"&gt;&lt;/span&gt;uti&lt;span class="_ _7"&gt;&lt;/span&gt;on&lt;span class="_ _7"&gt;&lt;/span&gt;s if t&lt;span class="_ _7"&gt;&lt;/span&gt;he f&lt;span class="_ _7"&gt;&lt;/span&gt;un&lt;span class="_ _7"&gt;&lt;/span&gt;d do&lt;span class="_ _7"&gt;&lt;/span&gt;es n&lt;span class="_ _7"&gt;&lt;/span&gt;ot h&lt;span class="_ _7"&gt;&lt;/span&gt;old &lt;/span&gt;&lt;span style="display:inherit;clear:left;"&gt;su&lt;span class="_ _7"&gt;&lt;/span&gt;f&lt;span class="_ _7"&gt;&lt;/span&gt;f&lt;span class="_ _7"&gt;&lt;/span&gt;ici&lt;span class="_ _7"&gt;&lt;/span&gt;en&lt;span class="_ _7"&gt;&lt;/span&gt;t as&lt;span class="_ _7"&gt;&lt;/span&gt;s&lt;span class="_ _7"&gt;&lt;/span&gt;et&lt;span class="_ _7"&gt;&lt;/span&gt;s to pa&lt;span class="_ _7"&gt;&lt;/span&gt;y all e&lt;span class="_ _7"&gt;&lt;/span&gt;mp&lt;span class="_ _7"&gt;&lt;/span&gt;loye&lt;span class="_ _7"&gt;&lt;/span&gt;e be&lt;span class="_ _7"&gt;&lt;/span&gt;ne&lt;span class="_ _7"&gt;&lt;/span&gt;fi&lt;span class="_ _7"&gt;&lt;/span&gt;t&lt;span class="_ _7"&gt;&lt;/span&gt;s. T&lt;span class="_ _7"&gt;&lt;/span&gt;he c&lt;span class="_ _7"&gt;&lt;/span&gt;ont&lt;span class="_ _7"&gt;&lt;/span&gt;ri&lt;span class="_ _7"&gt;&lt;/span&gt;but&lt;span class="_ _7"&gt;&lt;/span&gt;io&lt;span class="_ _7"&gt;&lt;/span&gt;ns a&lt;span class="_ _7"&gt;&lt;/span&gt;re &lt;/span&gt;&lt;span style="display:inherit;clear:left;"&gt;re&lt;span class="_ _7"&gt;&lt;/span&gt;cog&lt;span class="_ _7"&gt;&lt;/span&gt;ni&lt;span class="_ _7"&gt;&lt;/span&gt;s&lt;span class="_ _7"&gt;&lt;/span&gt;ed a&lt;span class="_ _7"&gt;&lt;/span&gt;s emp&lt;span class="_ _7"&gt;&lt;/span&gt;loye&lt;span class="_ _7"&gt;&lt;/span&gt;e b&lt;span class="_ _7"&gt;&lt;/span&gt;ene&lt;span class="_ _7"&gt;&lt;/span&gt;f&lt;span class="_ _7"&gt;&lt;/span&gt;it ex&lt;span class="_ _7"&gt;&lt;/span&gt;pe&lt;span class="_ _7"&gt;&lt;/span&gt;ns&lt;span class="_ _7"&gt;&lt;/span&gt;e&lt;span class="_ _7"&gt;&lt;/span&gt;s in th&lt;span class="_ _7"&gt;&lt;/span&gt;e in&lt;span class="_ _7"&gt;&lt;/span&gt;com&lt;span class="_ _7"&gt;&lt;/span&gt;e s&lt;span class="_ _7"&gt;&lt;/span&gt;ta&lt;span class="_ _7"&gt;&lt;/span&gt;tem&lt;span class="_ _7"&gt;&lt;/span&gt;ent &lt;/span&gt;&lt;span style="display:inherit;clear:left;"&gt;wh&lt;span class="_ _7"&gt;&lt;/span&gt;en ea&lt;span class="_ _7"&gt;&lt;/span&gt;rn&lt;span class="_ _7"&gt;&lt;/span&gt;ed b&lt;span class="_ _7"&gt;&lt;/span&gt;y the e&lt;span class="_ _7"&gt;&lt;/span&gt;mp&lt;span class="_ _7"&gt;&lt;/span&gt;loye&lt;span class="_ _7"&gt;&lt;/span&gt;e. S&lt;span class="_ _7"&gt;&lt;/span&gt;om&lt;span class="_ _7"&gt;&lt;/span&gt;e de&lt;span class="_ _7"&gt;&lt;/span&gt;fi&lt;span class="_ _7"&gt;&lt;/span&gt;ne&lt;span class="_ _7"&gt;&lt;/span&gt;d co&lt;span class="_ _7"&gt;&lt;/span&gt;ntr&lt;span class="_ _7"&gt;&lt;/span&gt;ibu&lt;span class="_ _7"&gt;&lt;/span&gt;ti&lt;span class="_ _7"&gt;&lt;/span&gt;on p&lt;span class="_ _7"&gt;&lt;/span&gt;la&lt;span class="_ _7"&gt;&lt;/span&gt;ns &lt;/span&gt;&lt;span style="display:inherit;clear:left;"&gt;combine the&lt;span class="_ _2"&gt;&lt;/span&gt; promise to mak&lt;span class="_ _2"&gt;&lt;/span&gt;e periodic payments with&lt;span class="_ _2"&gt;&lt;/span&gt; a promise of &lt;/span&gt;&lt;span style="display:inherit;clear:left;"&gt;a gu&lt;span class="_ _7"&gt;&lt;/span&gt;ar&lt;span class="_ _7"&gt;&lt;/span&gt;ante&lt;span class="_ _7"&gt;&lt;/span&gt;e&lt;span class="_ _7"&gt;&lt;/span&gt;d min&lt;span class="_ _7"&gt;&lt;/span&gt;imu&lt;span class="_ _7"&gt;&lt;/span&gt;m re&lt;span class="_ _7"&gt;&lt;/span&gt;tur&lt;span class="_ _7"&gt;&lt;/span&gt;n on i&lt;span class="_ _7"&gt;&lt;/span&gt;nve&lt;span class="_ _7"&gt;&lt;/span&gt;st&lt;span class="_ _7"&gt;&lt;/span&gt;me&lt;span class="_ _7"&gt;&lt;/span&gt;nts&lt;span class="_ _7"&gt;&lt;/span&gt;. S&lt;span class="_ _7"&gt;&lt;/span&gt;uch p&lt;span class="_ _7"&gt;&lt;/span&gt;l&lt;span class="_ _7"&gt;&lt;/span&gt;ans a&lt;span class="_ _7"&gt;&lt;/span&gt;re &lt;/span&gt;&lt;span style="display:inherit;clear:left;"&gt;acc&lt;span class="_ _7"&gt;&lt;/span&gt;ou&lt;span class="_ _7"&gt;&lt;/span&gt;nte&lt;span class="_ _7"&gt;&lt;/span&gt;d for a&lt;span class="_ _7"&gt;&lt;/span&gt;s de&lt;span class="_ _7"&gt;&lt;/span&gt;f&lt;span class="_ _7"&gt;&lt;/span&gt;ine&lt;span class="_ _7"&gt;&lt;/span&gt;d b&lt;span class="_ _7"&gt;&lt;/span&gt;ene&lt;span class="_ _7"&gt;&lt;/span&gt;f&lt;span class="_ _7"&gt;&lt;/span&gt;it p&lt;span class="_ _7"&gt;&lt;/span&gt;la&lt;span class="_ _7"&gt;&lt;/span&gt;ns&lt;span class="_ _7"&gt;&lt;/span&gt;.&lt;/span&gt;&lt;span style="display:inherit;clear:left;"&gt;A de&lt;span class="_ _7"&gt;&lt;/span&gt;fi&lt;span class="_ _7"&gt;&lt;/span&gt;ne&lt;span class="_ _7"&gt;&lt;/span&gt;d be&lt;span class="_ _7"&gt;&lt;/span&gt;ne&lt;span class="_ _7"&gt;&lt;/span&gt;fi&lt;span class="_ _7"&gt;&lt;/span&gt;t pl&lt;span class="_ _7"&gt;&lt;/span&gt;an i&lt;span class="_ _7"&gt;&lt;/span&gt;s a pe&lt;span class="_ _7"&gt;&lt;/span&gt;ns&lt;span class="_ _7"&gt;&lt;/span&gt;io&lt;span class="_ _7"&gt;&lt;/span&gt;n pl&lt;span class="_ _7"&gt;&lt;/span&gt;an t&lt;span class="_ _7"&gt;&lt;/span&gt;hat d&lt;span class="_ _7"&gt;&lt;/span&gt;ef&lt;span class="_ _7"&gt;&lt;/span&gt;in&lt;span class="_ _7"&gt;&lt;/span&gt;e&lt;span class="_ _7"&gt;&lt;/span&gt;s the a&lt;span class="_ _7"&gt;&lt;/span&gt;mo&lt;span class="_ _7"&gt;&lt;/span&gt;unt &lt;/span&gt;&lt;span style="display:inherit;clear:left;"&gt;of p&lt;span class="_ _7"&gt;&lt;/span&gt;os&lt;span class="_ _7"&gt;&lt;/span&gt;t&lt;span class="_ _2"&gt;&lt;/span&gt;-e&lt;span class="_ _7"&gt;&lt;/span&gt;mp&lt;span class="_ _7"&gt;&lt;/span&gt;loy&lt;span class="_ _7"&gt;&lt;/span&gt;me&lt;span class="_ _7"&gt;&lt;/span&gt;nt be&lt;span class="_ _7"&gt;&lt;/span&gt;ne&lt;span class="_ _7"&gt;&lt;/span&gt;fi&lt;span class="_ _7"&gt;&lt;/span&gt;t&lt;span class="_ _7"&gt;&lt;/span&gt;s an em&lt;span class="_ _7"&gt;&lt;/span&gt;plo&lt;span class="_ _7"&gt;&lt;/span&gt;yee w&lt;span class="_ _7"&gt;&lt;/span&gt;il&lt;span class="_ _7"&gt;&lt;/span&gt;l rec&lt;span class="_ _7"&gt;&lt;/span&gt;ei&lt;span class="_ _7"&gt;&lt;/span&gt;ve up&lt;span class="_ _7"&gt;&lt;/span&gt;o&lt;span class="_ _7"&gt;&lt;/span&gt;n ret&lt;span class="_ _7"&gt;&lt;/span&gt;ire-&lt;/span&gt;&lt;span style="display:inherit;clear:left;"&gt;me&lt;span class="_ _7"&gt;&lt;/span&gt;nt, u&lt;span class="_ _7"&gt;&lt;/span&gt;su&lt;span class="_ _7"&gt;&lt;/span&gt;al&lt;span class="_ _7"&gt;&lt;/span&gt;ly de&lt;span class="_ _7"&gt;&lt;/span&gt;pe&lt;span class="_ _7"&gt;&lt;/span&gt;nd&lt;span class="_ _7"&gt;&lt;/span&gt;ent o&lt;span class="_ _7"&gt;&lt;/span&gt;n on&lt;span class="_ _7"&gt;&lt;/span&gt;e or m&lt;span class="_ _7"&gt;&lt;/span&gt;ore f&lt;span class="_ _7"&gt;&lt;/span&gt;ac&lt;span class="_ _7"&gt;&lt;/span&gt;tor&lt;span class="_ _7"&gt;&lt;/span&gt;s s&lt;span class="_ _7"&gt;&lt;/span&gt;uch a&lt;span class="_ _7"&gt;&lt;/span&gt;s age&lt;span class="_ _7"&gt;&lt;/span&gt;, ye&lt;span class="_ _7"&gt;&lt;/span&gt;ar&lt;span class="_ _7"&gt;&lt;/span&gt;s &lt;/span&gt;&lt;span style="display:inherit;clear:left;"&gt;of service and compensation. For&lt;span class="_ _2"&gt;&lt;/span&gt; funded defined benefit&lt;span class="_ _7"&gt;&lt;/span&gt;s plans, &lt;/span&gt;&lt;span style="display:inherit;clear:left;"&gt;pl&lt;span class="_ _7"&gt;&lt;/span&gt;an a&lt;span class="_ _7"&gt;&lt;/span&gt;s&lt;span class="_ _7"&gt;&lt;/span&gt;se&lt;span class="_ _7"&gt;&lt;/span&gt;ts h&lt;span class="_ _7"&gt;&lt;/span&gt;ave b&lt;span class="_ _7"&gt;&lt;/span&gt;ee&lt;span class="_ _7"&gt;&lt;/span&gt;n se&lt;span class="_ _7"&gt;&lt;/span&gt;pa&lt;span class="_ _7"&gt;&lt;/span&gt;ra&lt;span class="_ _7"&gt;&lt;/span&gt;ted&lt;span class="_ _7"&gt;&lt;/span&gt;, wi&lt;span class="_ _7"&gt;&lt;/span&gt;th th&lt;span class="_ _7"&gt;&lt;/span&gt;e ma&lt;span class="_ _7"&gt;&lt;/span&gt;jo&lt;span class="_ _7"&gt;&lt;/span&gt;ri&lt;span class="_ _7"&gt;&lt;/span&gt;t&lt;span class="_ _7"&gt;&lt;/span&gt;y inve&lt;span class="_ _7"&gt;&lt;/span&gt;s&lt;span class="_ _7"&gt;&lt;/span&gt;ted i&lt;span class="_ _7"&gt;&lt;/span&gt;n pe&lt;span class="_ _7"&gt;&lt;/span&gt;n-&lt;/span&gt;&lt;span style="display:inherit;clear:left;"&gt;sion foundations. The&lt;span class="_ _2"&gt;&lt;/span&gt; net pension provision or&lt;span class="_ _2"&gt;&lt;/span&gt; as&lt;span class="_ _7"&gt;&lt;/span&gt;set recognised on &lt;/span&gt;&lt;span style="display:inherit;clear:left;"&gt;the b&lt;span class="_ _7"&gt;&lt;/span&gt;al&lt;span class="_ _7"&gt;&lt;/span&gt;an&lt;span class="_ _7"&gt;&lt;/span&gt;ce s&lt;span class="_ _7"&gt;&lt;/span&gt;he&lt;span class="_ _7"&gt;&lt;/span&gt;et i&lt;span class="_ _7"&gt;&lt;/span&gt;n re&lt;span class="_ _7"&gt;&lt;/span&gt;sp&lt;span class="_ _7"&gt;&lt;/span&gt;ec&lt;span class="_ _7"&gt;&lt;/span&gt;t of d&lt;span class="_ _7"&gt;&lt;/span&gt;ef&lt;span class="_ _7"&gt;&lt;/span&gt;in&lt;span class="_ _7"&gt;&lt;/span&gt;ed b&lt;span class="_ _7"&gt;&lt;/span&gt;en&lt;span class="_ _7"&gt;&lt;/span&gt;ef&lt;span class="_ _7"&gt;&lt;/span&gt;it p&lt;span class="_ _7"&gt;&lt;/span&gt;en&lt;span class="_ _7"&gt;&lt;/span&gt;si&lt;span class="_ _7"&gt;&lt;/span&gt;on p&lt;span class="_ _7"&gt;&lt;/span&gt;l&lt;span class="_ _7"&gt;&lt;/span&gt;ans i&lt;span class="_ _7"&gt;&lt;/span&gt;s th&lt;span class="_ _7"&gt;&lt;/span&gt;e &lt;/span&gt;&lt;span style="display:inherit;clear:left;"&gt;pre&lt;span class="_ _7"&gt;&lt;/span&gt;s&lt;span class="_ _7"&gt;&lt;/span&gt;en&lt;span class="_ _7"&gt;&lt;/span&gt;t valu&lt;span class="_ _7"&gt;&lt;/span&gt;e of t&lt;span class="_ _7"&gt;&lt;/span&gt;he d&lt;span class="_ _7"&gt;&lt;/span&gt;ef&lt;span class="_ _7"&gt;&lt;/span&gt;in&lt;span class="_ _7"&gt;&lt;/span&gt;ed b&lt;span class="_ _7"&gt;&lt;/span&gt;en&lt;span class="_ _7"&gt;&lt;/span&gt;ef&lt;span class="_ _7"&gt;&lt;/span&gt;it o&lt;span class="_ _7"&gt;&lt;/span&gt;bli&lt;span class="_ _7"&gt;&lt;/span&gt;ga&lt;span class="_ _7"&gt;&lt;/span&gt;tio&lt;span class="_ _7"&gt;&lt;/span&gt;n at th&lt;span class="_ _7"&gt;&lt;/span&gt;e ba&lt;span class="_ _7"&gt;&lt;/span&gt;la&lt;span class="_ _7"&gt;&lt;/span&gt;nc&lt;span class="_ _7"&gt;&lt;/span&gt;e sh&lt;span class="_ _7"&gt;&lt;/span&gt;ee&lt;span class="_ _7"&gt;&lt;/span&gt;t &lt;/span&gt;&lt;span style="display:inherit;clear:left;"&gt;dat&lt;span class="_ _7"&gt;&lt;/span&gt;e les&lt;span class="_ _7"&gt;&lt;/span&gt;s t&lt;span class="_ _7"&gt;&lt;/span&gt;he f&lt;span class="_ _7"&gt;&lt;/span&gt;air v&lt;span class="_ _7"&gt;&lt;/span&gt;alu&lt;span class="_ _7"&gt;&lt;/span&gt;e of p&lt;span class="_ _7"&gt;&lt;/span&gt;la&lt;span class="_ _7"&gt;&lt;/span&gt;n as&lt;span class="_ _7"&gt;&lt;/span&gt;s&lt;span class="_ _7"&gt;&lt;/span&gt;et&lt;span class="_ _7"&gt;&lt;/span&gt;s&lt;span class="_ _7"&gt;&lt;/span&gt;. &lt;/span&gt;&lt;span style="display:inherit;clear:left;"&gt;Th&lt;span class="_ _7"&gt;&lt;/span&gt;e ca&lt;span class="_ _7"&gt;&lt;/span&gt;lcul&lt;span class="_ _7"&gt;&lt;/span&gt;at&lt;span class="_ _7"&gt;&lt;/span&gt;io&lt;span class="_ _7"&gt;&lt;/span&gt;n of th&lt;span class="_ _7"&gt;&lt;/span&gt;e pr&lt;span class="_ _7"&gt;&lt;/span&gt;es&lt;span class="_ _7"&gt;&lt;/span&gt;en&lt;span class="_ _7"&gt;&lt;/span&gt;t val&lt;span class="_ _7"&gt;&lt;/span&gt;ue o&lt;span class="_ _7"&gt;&lt;/span&gt;f de&lt;span class="_ _7"&gt;&lt;/span&gt;fi&lt;span class="_ _7"&gt;&lt;/span&gt;ne&lt;span class="_ _7"&gt;&lt;/span&gt;d be&lt;span class="_ _7"&gt;&lt;/span&gt;ne&lt;span class="_ _7"&gt;&lt;/span&gt;fi&lt;span class="_ _7"&gt;&lt;/span&gt;t pe&lt;span class="_ _7"&gt;&lt;/span&gt;ns&lt;span class="_ _7"&gt;&lt;/span&gt;io&lt;span class="_ _7"&gt;&lt;/span&gt;n &lt;/span&gt;&lt;span style="display:inherit;clear:left;"&gt;obligations is&lt;span class="_ _2"&gt;&lt;/span&gt; per&lt;span class="_ _7"&gt;&lt;/span&gt;formed according t&lt;span class="_ _2"&gt;&lt;/span&gt;o the Projected&lt;span class="_ _2"&gt;&lt;/span&gt; Unit Credit &lt;/span&gt;&lt;span style="display:inherit;clear:left;"&gt;method. The calc&lt;span class="_ _2"&gt;&lt;/span&gt;ulation is performed by independent&lt;span class="_ _2"&gt;&lt;/span&gt; actuaries&lt;span class="_ _7"&gt;&lt;/span&gt;. &lt;/span&gt;&lt;span style="display:inherit;clear:left;"&gt;Th&lt;span class="_ _7"&gt;&lt;/span&gt;e pre&lt;span class="_ _7"&gt;&lt;/span&gt;s&lt;span class="_ _7"&gt;&lt;/span&gt;ent v&lt;span class="_ _7"&gt;&lt;/span&gt;alu&lt;span class="_ _7"&gt;&lt;/span&gt;e of t&lt;span class="_ _7"&gt;&lt;/span&gt;he de&lt;span class="_ _7"&gt;&lt;/span&gt;f&lt;span class="_ _7"&gt;&lt;/span&gt;ine&lt;span class="_ _7"&gt;&lt;/span&gt;d b&lt;span class="_ _7"&gt;&lt;/span&gt;en&lt;span class="_ _7"&gt;&lt;/span&gt;ef&lt;span class="_ _7"&gt;&lt;/span&gt;it o&lt;span class="_ _7"&gt;&lt;/span&gt;bli&lt;span class="_ _7"&gt;&lt;/span&gt;ga&lt;span class="_ _7"&gt;&lt;/span&gt;tio&lt;span class="_ _7"&gt;&lt;/span&gt;n is d&lt;span class="_ _7"&gt;&lt;/span&gt;ete&lt;span class="_ _7"&gt;&lt;/span&gt;rm&lt;span class="_ _7"&gt;&lt;/span&gt;ine&lt;span class="_ _7"&gt;&lt;/span&gt;d by &lt;/span&gt;&lt;span style="display:inherit;clear:left;"&gt;di&lt;span class="_ _7"&gt;&lt;/span&gt;sc&lt;span class="_ _7"&gt;&lt;/span&gt;ou&lt;span class="_ _7"&gt;&lt;/span&gt;ntin&lt;span class="_ _7"&gt;&lt;/span&gt;g the e&lt;span class="_ _7"&gt;&lt;/span&gt;s&lt;span class="_ _7"&gt;&lt;/span&gt;tim&lt;span class="_ _7"&gt;&lt;/span&gt;ate&lt;span class="_ _7"&gt;&lt;/span&gt;d f&lt;span class="_ _7"&gt;&lt;/span&gt;utu&lt;span class="_ _7"&gt;&lt;/span&gt;re c&lt;span class="_ _7"&gt;&lt;/span&gt;as&lt;span class="_ _7"&gt;&lt;/span&gt;h ou&lt;span class="_ _7"&gt;&lt;/span&gt;t&lt;span class="_ _7"&gt;&lt;/span&gt;fl&lt;span class="_ _7"&gt;&lt;/span&gt;ows u&lt;span class="_ _7"&gt;&lt;/span&gt;si&lt;span class="_ _7"&gt;&lt;/span&gt;ng in&lt;span class="_ _7"&gt;&lt;/span&gt;ter&lt;span class="_ _7"&gt;&lt;/span&gt;es&lt;span class="_ _7"&gt;&lt;/span&gt;t r&lt;span class="_ _7"&gt;&lt;/span&gt;ate&lt;span class="_ _7"&gt;&lt;/span&gt;s &lt;/span&gt;&lt;span style="display:inherit;clear:left;"&gt;of hi&lt;span class="_ _7"&gt;&lt;/span&gt;gh-q&lt;span class="_ _7"&gt;&lt;/span&gt;ual&lt;span class="_ _7"&gt;&lt;/span&gt;it&lt;span class="_ _7"&gt;&lt;/span&gt;y c&lt;span class="_ _7"&gt;&lt;/span&gt;or&lt;span class="_ _7"&gt;&lt;/span&gt;po&lt;span class="_ _7"&gt;&lt;/span&gt;rat&lt;span class="_ _7"&gt;&lt;/span&gt;e bo&lt;span class="_ _7"&gt;&lt;/span&gt;nd&lt;span class="_ _7"&gt;&lt;/span&gt;s, o&lt;span class="_ _7"&gt;&lt;/span&gt;r wh&lt;span class="_ _7"&gt;&lt;/span&gt;en t&lt;span class="_ _7"&gt;&lt;/span&gt;he&lt;span class="_ _7"&gt;&lt;/span&gt;se a&lt;span class="_ _7"&gt;&lt;/span&gt;re n&lt;span class="_ _7"&gt;&lt;/span&gt;ot ava&lt;span class="_ _7"&gt;&lt;/span&gt;il&lt;span class="_ _7"&gt;&lt;/span&gt;ab&lt;span class="_ _7"&gt;&lt;/span&gt;le, &lt;/span&gt;&lt;span style="display:inherit;clear:left;"&gt;gove&lt;span class="_ _7"&gt;&lt;/span&gt;rn&lt;span class="_ _7"&gt;&lt;/span&gt;me&lt;span class="_ _7"&gt;&lt;/span&gt;nt bo&lt;span class="_ _7"&gt;&lt;/span&gt;nd&lt;span class="_ _7"&gt;&lt;/span&gt;s th&lt;span class="_ _7"&gt;&lt;/span&gt;at ar&lt;span class="_ _7"&gt;&lt;/span&gt;e de&lt;span class="_ _7"&gt;&lt;/span&gt;no&lt;span class="_ _7"&gt;&lt;/span&gt;min&lt;span class="_ _7"&gt;&lt;/span&gt;ate&lt;span class="_ _7"&gt;&lt;/span&gt;d in th&lt;span class="_ _7"&gt;&lt;/span&gt;e cu&lt;span class="_ _7"&gt;&lt;/span&gt;rr&lt;span class="_ _7"&gt;&lt;/span&gt;enc&lt;span class="_ _7"&gt;&lt;/span&gt;y in w&lt;span class="_ _7"&gt;&lt;/span&gt;hic&lt;span class="_ _7"&gt;&lt;/span&gt;h &lt;/span&gt;&lt;span style="display:inherit;clear:left;"&gt;the b&lt;span class="_ _7"&gt;&lt;/span&gt;en&lt;span class="_ _7"&gt;&lt;/span&gt;ef&lt;span class="_ _7"&gt;&lt;/span&gt;it&lt;span class="_ _7"&gt;&lt;/span&gt;s w&lt;span class="_ _7"&gt;&lt;/span&gt;ill b&lt;span class="_ _7"&gt;&lt;/span&gt;e pa&lt;span class="_ _7"&gt;&lt;/span&gt;id&lt;span class="_ _7"&gt;&lt;/span&gt;, an&lt;span class="_ _7"&gt;&lt;/span&gt;d tha&lt;span class="_ _7"&gt;&lt;/span&gt;t hav&lt;span class="_ _7"&gt;&lt;/span&gt;e ter&lt;span class="_ _7"&gt;&lt;/span&gt;ms to m&lt;span class="_ _7"&gt;&lt;/span&gt;at&lt;span class="_ _7"&gt;&lt;/span&gt;uri&lt;span class="_ _7"&gt;&lt;/span&gt;t&lt;span class="_ _7"&gt;&lt;/span&gt;y ap&lt;span class="_ _7"&gt;&lt;/span&gt;prox&lt;span class="_ _7"&gt;&lt;/span&gt;i-&lt;/span&gt;&lt;span style="display:inherit;clear:left;"&gt;mat&lt;span class="_ _7"&gt;&lt;/span&gt;ing to t&lt;span class="_ _7"&gt;&lt;/span&gt;he te&lt;span class="_ _7"&gt;&lt;/span&gt;rm&lt;span class="_ _7"&gt;&lt;/span&gt;s of t&lt;span class="_ _7"&gt;&lt;/span&gt;he re&lt;span class="_ _7"&gt;&lt;/span&gt;l&lt;span class="_ _7"&gt;&lt;/span&gt;ate&lt;span class="_ _7"&gt;&lt;/span&gt;d pe&lt;span class="_ _7"&gt;&lt;/span&gt;ns&lt;span class="_ _7"&gt;&lt;/span&gt;io&lt;span class="_ _7"&gt;&lt;/span&gt;n lia&lt;span class="_ _7"&gt;&lt;/span&gt;bi&lt;span class="_ _7"&gt;&lt;/span&gt;lit&lt;span class="_ _7"&gt;&lt;/span&gt;y. The m&lt;span class="_ _7"&gt;&lt;/span&gt;o&lt;span class="_ _7"&gt;&lt;/span&gt;st i&lt;span class="_ _7"&gt;&lt;/span&gt;mp&lt;span class="_ _7"&gt;&lt;/span&gt;or-&lt;/span&gt;&lt;span style="display:inherit;clear:left;"&gt;ta&lt;span class="_ _7"&gt;&lt;/span&gt;nt ac&lt;span class="_ _7"&gt;&lt;/span&gt;tu&lt;span class="_ _7"&gt;&lt;/span&gt;ari&lt;span class="_ _7"&gt;&lt;/span&gt;al a&lt;span class="_ _7"&gt;&lt;/span&gt;s&lt;span class="_ _7"&gt;&lt;/span&gt;su&lt;span class="_ _7"&gt;&lt;/span&gt;mpt&lt;span class="_ _7"&gt;&lt;/span&gt;ion&lt;span class="_ _7"&gt;&lt;/span&gt;s ar&lt;span class="_ _7"&gt;&lt;/span&gt;e st&lt;span class="_ _7"&gt;&lt;/span&gt;ate&lt;span class="_ _7"&gt;&lt;/span&gt;d b&lt;span class="_ _7"&gt;&lt;/span&gt;elo&lt;span class="_ _7"&gt;&lt;/span&gt;w. &lt;/span&gt;&lt;span style="display:inherit;clear:left;"&gt;Actu&lt;span class="_ _7"&gt;&lt;/span&gt;ar&lt;span class="_ _7"&gt;&lt;/span&gt;ia&lt;span class="_ _7"&gt;&lt;/span&gt;l ga&lt;span class="_ _7"&gt;&lt;/span&gt;in&lt;span class="_ _7"&gt;&lt;/span&gt;s and l&lt;span class="_ _7"&gt;&lt;/span&gt;os&lt;span class="_ _7"&gt;&lt;/span&gt;s&lt;span class="_ _7"&gt;&lt;/span&gt;e&lt;span class="_ _7"&gt;&lt;/span&gt;s ari&lt;span class="_ _7"&gt;&lt;/span&gt;si&lt;span class="_ _7"&gt;&lt;/span&gt;ng f&lt;span class="_ _7"&gt;&lt;/span&gt;ro&lt;span class="_ _7"&gt;&lt;/span&gt;m cha&lt;span class="_ _7"&gt;&lt;/span&gt;nge&lt;span class="_ _7"&gt;&lt;/span&gt;s in a&lt;span class="_ _7"&gt;&lt;/span&gt;ct&lt;span class="_ _7"&gt;&lt;/span&gt;ua&lt;span class="_ _7"&gt;&lt;/span&gt;ria&lt;span class="_ _7"&gt;&lt;/span&gt;l &lt;/span&gt;&lt;span style="display:inherit;clear:left;"&gt;assumptions and adjustments&lt;span class="_ _2"&gt;&lt;/span&gt; bas&lt;span class="_ _7"&gt;&lt;/span&gt;ed on e&lt;span class="_ _2"&gt;&lt;/span&gt;xperience are charged or&lt;span class="_ _2"&gt;&lt;/span&gt; &lt;/span&gt;&lt;span style="display:inherit;clear:left;"&gt;credited t&lt;span class="_ _2"&gt;&lt;/span&gt;o other consolidated&lt;span class="_ _2"&gt;&lt;/span&gt; comprehensive income in&lt;span class="_ _2"&gt;&lt;/span&gt; the period &lt;/span&gt;&lt;span style="display:inherit;clear:left;"&gt;in wh&lt;span class="_ _7"&gt;&lt;/span&gt;ich t&lt;span class="_ _7"&gt;&lt;/span&gt;hey a&lt;span class="_ _7"&gt;&lt;/span&gt;ri&lt;span class="_ _7"&gt;&lt;/span&gt;se&lt;span class="_ _7"&gt;&lt;/span&gt;. Pa&lt;span class="_ _7"&gt;&lt;/span&gt;st s&lt;span class="_ _7"&gt;&lt;/span&gt;e&lt;span class="_ _7"&gt;&lt;/span&gt;r&lt;span class="_ _7"&gt;&lt;/span&gt;vi&lt;span class="_ _7"&gt;&lt;/span&gt;ce c&lt;span class="_ _7"&gt;&lt;/span&gt;os&lt;span class="_ _7"&gt;&lt;/span&gt;t&lt;span class="_ _7"&gt;&lt;/span&gt;s are r&lt;span class="_ _7"&gt;&lt;/span&gt;ec&lt;span class="_ _7"&gt;&lt;/span&gt;og&lt;span class="_ _7"&gt;&lt;/span&gt;ni&lt;span class="_ _7"&gt;&lt;/span&gt;se&lt;span class="_ _7"&gt;&lt;/span&gt;d im&lt;span class="_ _7"&gt;&lt;/span&gt;me&lt;span class="_ _7"&gt;&lt;/span&gt;di&lt;span class="_ _7"&gt;&lt;/span&gt;ate&lt;span class="_ _7"&gt;&lt;/span&gt;ly in &lt;/span&gt;&lt;span style="display:inherit;clear:left;"&gt;the income&lt;span class="_ _2"&gt;&lt;/span&gt; st&lt;span class="_ _7"&gt;&lt;/span&gt;atement&lt;span class="_ _2"&gt;&lt;/span&gt; when the settlement occu&lt;span class="_ _2"&gt;&lt;/span&gt;r&lt;span class="_ _7"&gt;&lt;/span&gt;s. &lt;/span&gt;&lt;span style="display:inherit;clear:left;"&gt;Th&lt;span class="_ _7"&gt;&lt;/span&gt;e net i&lt;span class="_ _7"&gt;&lt;/span&gt;nte&lt;span class="_ _7"&gt;&lt;/span&gt;re&lt;span class="_ _7"&gt;&lt;/span&gt;st c&lt;span class="_ _7"&gt;&lt;/span&gt;os&lt;span class="_ _7"&gt;&lt;/span&gt;t i&lt;span class="_ _7"&gt;&lt;/span&gt;s ca&lt;span class="_ _7"&gt;&lt;/span&gt;lcu&lt;span class="_ _7"&gt;&lt;/span&gt;la&lt;span class="_ _7"&gt;&lt;/span&gt;ted b&lt;span class="_ _7"&gt;&lt;/span&gt;y app&lt;span class="_ _7"&gt;&lt;/span&gt;lyi&lt;span class="_ _7"&gt;&lt;/span&gt;ng th&lt;span class="_ _7"&gt;&lt;/span&gt;e di&lt;span class="_ _7"&gt;&lt;/span&gt;sc&lt;span class="_ _7"&gt;&lt;/span&gt;ou&lt;span class="_ _7"&gt;&lt;/span&gt;nt r&lt;span class="_ _7"&gt;&lt;/span&gt;ate to &lt;/span&gt;&lt;span style="display:inherit;clear:left;"&gt;the n&lt;span class="_ _7"&gt;&lt;/span&gt;et b&lt;span class="_ _7"&gt;&lt;/span&gt;al&lt;span class="_ _7"&gt;&lt;/span&gt;an&lt;span class="_ _7"&gt;&lt;/span&gt;ce o&lt;span class="_ _7"&gt;&lt;/span&gt;f the d&lt;span class="_ _7"&gt;&lt;/span&gt;ef&lt;span class="_ _7"&gt;&lt;/span&gt;in&lt;span class="_ _7"&gt;&lt;/span&gt;ed b&lt;span class="_ _7"&gt;&lt;/span&gt;en&lt;span class="_ _7"&gt;&lt;/span&gt;ef&lt;span class="_ _7"&gt;&lt;/span&gt;it o&lt;span class="_ _7"&gt;&lt;/span&gt;bl&lt;span class="_ _7"&gt;&lt;/span&gt;ig&lt;span class="_ _7"&gt;&lt;/span&gt;ati&lt;span class="_ _7"&gt;&lt;/span&gt;on an&lt;span class="_ _7"&gt;&lt;/span&gt;d th&lt;span class="_ _7"&gt;&lt;/span&gt;e fai&lt;span class="_ _7"&gt;&lt;/span&gt;r va&lt;span class="_ _7"&gt;&lt;/span&gt;lue &lt;/span&gt;&lt;span style="display:inherit;clear:left;"&gt;of p&lt;span class="_ _7"&gt;&lt;/span&gt;la&lt;span class="_ _7"&gt;&lt;/span&gt;n as&lt;span class="_ _7"&gt;&lt;/span&gt;s&lt;span class="_ _7"&gt;&lt;/span&gt;et&lt;span class="_ _7"&gt;&lt;/span&gt;s&lt;span class="_ _7"&gt;&lt;/span&gt;. &lt;/span&gt;&lt;span style="display:inherit;clear:left;"&gt;T&lt;span class="_ _6"&gt;&lt;/span&gt;ermination benefits&lt;/span&gt;&lt;span style="display:inherit;clear:left;"&gt;T&lt;span class="_ _2"&gt;&lt;/span&gt;er&lt;span class="_ _7"&gt;&lt;/span&gt;min&lt;span class="_ _7"&gt;&lt;/span&gt;ati&lt;span class="_ _7"&gt;&lt;/span&gt;on b&lt;span class="_ _7"&gt;&lt;/span&gt;en&lt;span class="_ _7"&gt;&lt;/span&gt;ef&lt;span class="_ _7"&gt;&lt;/span&gt;it&lt;span class="_ _7"&gt;&lt;/span&gt;s ar&lt;span class="_ _7"&gt;&lt;/span&gt;e pay&lt;span class="_ _7"&gt;&lt;/span&gt;ab&lt;span class="_ _7"&gt;&lt;/span&gt;le wh&lt;span class="_ _7"&gt;&lt;/span&gt;en e&lt;span class="_ _7"&gt;&lt;/span&gt;mp&lt;span class="_ _7"&gt;&lt;/span&gt;loy&lt;span class="_ _7"&gt;&lt;/span&gt;men&lt;span class="_ _7"&gt;&lt;/span&gt;t is te&lt;span class="_ _7"&gt;&lt;/span&gt;rm&lt;span class="_ _7"&gt;&lt;/span&gt;in&lt;span class="_ _7"&gt;&lt;/span&gt;ate&lt;span class="_ _7"&gt;&lt;/span&gt;d &lt;/span&gt;&lt;span style="display:inherit;clear:left;"&gt;by Volvo Ca&lt;span class="_ _7"&gt;&lt;/span&gt;r Gr&lt;span class="_ _7"&gt;&lt;/span&gt;oup b&lt;span class="_ _7"&gt;&lt;/span&gt;e&lt;span class="_ _7"&gt;&lt;/span&gt;for&lt;span class="_ _7"&gt;&lt;/span&gt;e the n&lt;span class="_ _7"&gt;&lt;/span&gt;or&lt;span class="_ _7"&gt;&lt;/span&gt;ma&lt;span class="_ _7"&gt;&lt;/span&gt;l re&lt;span class="_ _7"&gt;&lt;/span&gt;tir&lt;span class="_ _7"&gt;&lt;/span&gt;eme&lt;span class="_ _7"&gt;&lt;/span&gt;nt d&lt;span class="_ _7"&gt;&lt;/span&gt;ate&lt;span class="_ _7"&gt;&lt;/span&gt;, or wh&lt;span class="_ _7"&gt;&lt;/span&gt;en&lt;span class="_ _7"&gt;&lt;/span&gt;eve&lt;span class="_ _7"&gt;&lt;/span&gt;r &lt;/span&gt;&lt;span style="display:inherit;clear:left;"&gt;an em&lt;span class="_ _7"&gt;&lt;/span&gt;plo&lt;span class="_ _7"&gt;&lt;/span&gt;yee a&lt;span class="_ _7"&gt;&lt;/span&gt;cc&lt;span class="_ _7"&gt;&lt;/span&gt;ept&lt;span class="_ _7"&gt;&lt;/span&gt;s vo&lt;span class="_ _7"&gt;&lt;/span&gt;lun&lt;span class="_ _7"&gt;&lt;/span&gt;ta&lt;span class="_ _7"&gt;&lt;/span&gt;r&lt;span class="_ _7"&gt;&lt;/span&gt;y re&lt;span class="_ _7"&gt;&lt;/span&gt;du&lt;span class="_ _7"&gt;&lt;/span&gt;nd&lt;span class="_ _7"&gt;&lt;/span&gt;anc&lt;span class="_ _7"&gt;&lt;/span&gt;y in exch&lt;span class="_ _7"&gt;&lt;/span&gt;an&lt;span class="_ _7"&gt;&lt;/span&gt;ge fo&lt;span class="_ _7"&gt;&lt;/span&gt;r the&lt;span class="_ _7"&gt;&lt;/span&gt;s&lt;span class="_ _7"&gt;&lt;/span&gt;e &lt;/span&gt;&lt;span style="display:inherit;clear:left;"&gt;be&lt;span class="_ _7"&gt;&lt;/span&gt;ne&lt;span class="_ _7"&gt;&lt;/span&gt;fi&lt;span class="_ _7"&gt;&lt;/span&gt;ts&lt;span class="_ _7"&gt;&lt;/span&gt;. Volvo C&lt;span class="_ _7"&gt;&lt;/span&gt;ar&lt;span class="_ _7"&gt;&lt;/span&gt;s re&lt;span class="_ _7"&gt;&lt;/span&gt;co&lt;span class="_ _7"&gt;&lt;/span&gt;gn&lt;span class="_ _7"&gt;&lt;/span&gt;is&lt;span class="_ _7"&gt;&lt;/span&gt;e&lt;span class="_ _7"&gt;&lt;/span&gt;s ter&lt;span class="_ _7"&gt;&lt;/span&gt;min&lt;span class="_ _7"&gt;&lt;/span&gt;ati&lt;span class="_ _7"&gt;&lt;/span&gt;on b&lt;span class="_ _7"&gt;&lt;/span&gt;en&lt;span class="_ _7"&gt;&lt;/span&gt;ef&lt;span class="_ _7"&gt;&lt;/span&gt;it&lt;span class="_ _7"&gt;&lt;/span&gt;s at t&lt;span class="_ _7"&gt;&lt;/span&gt;he e&lt;span class="_ _7"&gt;&lt;/span&gt;ar&lt;span class="_ _7"&gt;&lt;/span&gt;lie&lt;span class="_ _7"&gt;&lt;/span&gt;r of &lt;/span&gt;&lt;span style="display:inherit;clear:left;"&gt;the f&lt;span class="_ _7"&gt;&lt;/span&gt;oll&lt;span class="_ _7"&gt;&lt;/span&gt;owi&lt;span class="_ _7"&gt;&lt;/span&gt;ng da&lt;span class="_ _7"&gt;&lt;/span&gt;te&lt;span class="_ _7"&gt;&lt;/span&gt;s: (a) whe&lt;span class="_ _7"&gt;&lt;/span&gt;n Volvo C&lt;span class="_ _7"&gt;&lt;/span&gt;ar&lt;span class="_ _7"&gt;&lt;/span&gt;s ca&lt;span class="_ _7"&gt;&lt;/span&gt;n no lo&lt;span class="_ _7"&gt;&lt;/span&gt;nge&lt;span class="_ _7"&gt;&lt;/span&gt;r wi&lt;span class="_ _7"&gt;&lt;/span&gt;th&lt;span class="_ _7"&gt;&lt;/span&gt;dr&lt;span class="_ _7"&gt;&lt;/span&gt;aw the &lt;/span&gt;&lt;span style="display:inherit;clear:left;"&gt;of&lt;span class="_ _7"&gt;&lt;/span&gt;f&lt;span class="_ _7"&gt;&lt;/span&gt;er o&lt;span class="_ _7"&gt;&lt;/span&gt;f tho&lt;span class="_ _7"&gt;&lt;/span&gt;s&lt;span class="_ _7"&gt;&lt;/span&gt;e be&lt;span class="_ _7"&gt;&lt;/span&gt;ne&lt;span class="_ _7"&gt;&lt;/span&gt;fi&lt;span class="_ _7"&gt;&lt;/span&gt;t&lt;span class="_ _7"&gt;&lt;/span&gt;s and (&lt;span class="_ _7"&gt;&lt;/span&gt;b) whe&lt;span class="_ _7"&gt;&lt;/span&gt;n the e&lt;span class="_ _7"&gt;&lt;/span&gt;nti&lt;span class="_ _7"&gt;&lt;/span&gt;t&lt;span class="_ _7"&gt;&lt;/span&gt;y re&lt;span class="_ _7"&gt;&lt;/span&gt;cog&lt;span class="_ _7"&gt;&lt;/span&gt;ni&lt;span class="_ _7"&gt;&lt;/span&gt;s&lt;span class="_ _7"&gt;&lt;/span&gt;es c&lt;span class="_ _7"&gt;&lt;/span&gt;os&lt;span class="_ _7"&gt;&lt;/span&gt;t&lt;span class="_ _7"&gt;&lt;/span&gt;s fo&lt;span class="_ _7"&gt;&lt;/span&gt;r &lt;/span&gt;&lt;span style="display:inherit;clear:left;"&gt;a re&lt;span class="_ _7"&gt;&lt;/span&gt;st&lt;span class="_ _7"&gt;&lt;/span&gt;ru&lt;span class="_ _7"&gt;&lt;/span&gt;ctu&lt;span class="_ _7"&gt;&lt;/span&gt;ri&lt;span class="_ _7"&gt;&lt;/span&gt;ng th&lt;span class="_ _7"&gt;&lt;/span&gt;at in&lt;span class="_ _7"&gt;&lt;/span&gt;volv&lt;span class="_ _7"&gt;&lt;/span&gt;es p&lt;span class="_ _7"&gt;&lt;/span&gt;ay&lt;span class="_ _7"&gt;&lt;/span&gt;men&lt;span class="_ _7"&gt;&lt;/span&gt;t of te&lt;span class="_ _7"&gt;&lt;/span&gt;rm&lt;span class="_ _7"&gt;&lt;/span&gt;in&lt;span class="_ _7"&gt;&lt;/span&gt;ati&lt;span class="_ _7"&gt;&lt;/span&gt;on b&lt;span class="_ _7"&gt;&lt;/span&gt;en&lt;span class="_ _7"&gt;&lt;/span&gt;ef&lt;span class="_ _7"&gt;&lt;/span&gt;it&lt;span class="_ _7"&gt;&lt;/span&gt;s&lt;span class="_ _7"&gt;&lt;/span&gt;.&lt;/span&gt;&lt;span style="display:inherit;clear:left;"&gt;CRITICAL A&lt;span class="_ _2"&gt;&lt;/span&gt;CC&lt;span class="_ _7"&gt;&lt;/span&gt;OUNTING ESTIMA&lt;span class="_ _6"&gt;&lt;/span&gt;TES AND JUDGEMENTS&lt;/span&gt;&lt;span style="display:inherit;clear:left;"&gt;Th&lt;span class="_ _7"&gt;&lt;/span&gt;e valu&lt;span class="_ _7"&gt;&lt;/span&gt;e of d&lt;span class="_ _7"&gt;&lt;/span&gt;ef&lt;span class="_ _7"&gt;&lt;/span&gt;in&lt;span class="_ _7"&gt;&lt;/span&gt;ed b&lt;span class="_ _7"&gt;&lt;/span&gt;en&lt;span class="_ _7"&gt;&lt;/span&gt;ef&lt;span class="_ _7"&gt;&lt;/span&gt;it o&lt;span class="_ _7"&gt;&lt;/span&gt;bl&lt;span class="_ _7"&gt;&lt;/span&gt;ig&lt;span class="_ _7"&gt;&lt;/span&gt;ati&lt;span class="_ _7"&gt;&lt;/span&gt;on&lt;span class="_ _7"&gt;&lt;/span&gt;s is d&lt;span class="_ _7"&gt;&lt;/span&gt;eter&lt;span class="_ _7"&gt;&lt;/span&gt;mi&lt;span class="_ _7"&gt;&lt;/span&gt;ne&lt;span class="_ _7"&gt;&lt;/span&gt;d thr&lt;span class="_ _7"&gt;&lt;/span&gt;ou&lt;span class="_ _7"&gt;&lt;/span&gt;gh ac&lt;span class="_ _7"&gt;&lt;/span&gt;tu-&lt;/span&gt;&lt;span style="display:inherit;clear:left;"&gt;arial calculat&lt;span class="_ _2"&gt;&lt;/span&gt;ions per&lt;span class="_ _7"&gt;&lt;/span&gt;formed by independent&lt;span class="_ _2"&gt;&lt;/span&gt; actuaries. The calcula&lt;span class="ls3 ws3"&gt;-&lt;/span&gt;&lt;/span&gt;&lt;span style="display:inherit;clear:left;"&gt;tio&lt;span class="_ _7"&gt;&lt;/span&gt;ns a&lt;span class="_ _7"&gt;&lt;/span&gt;re b&lt;span class="_ _7"&gt;&lt;/span&gt;as&lt;span class="_ _7"&gt;&lt;/span&gt;ed o&lt;span class="_ _7"&gt;&lt;/span&gt;n di&lt;span class="_ _7"&gt;&lt;/span&gt;f&lt;span class="_ _7"&gt;&lt;/span&gt;fe&lt;span class="_ _7"&gt;&lt;/span&gt;re&lt;span class="_ _7"&gt;&lt;/span&gt;nt as&lt;span class="_ _7"&gt;&lt;/span&gt;s&lt;span class="_ _7"&gt;&lt;/span&gt;um&lt;span class="_ _7"&gt;&lt;/span&gt;pti&lt;span class="_ _7"&gt;&lt;/span&gt;on&lt;span class="_ _7"&gt;&lt;/span&gt;s an&lt;span class="_ _7"&gt;&lt;/span&gt;d es&lt;span class="_ _7"&gt;&lt;/span&gt;ti&lt;span class="_ _7"&gt;&lt;/span&gt;mat&lt;span class="_ _7"&gt;&lt;/span&gt;es&lt;span class="_ _7"&gt;&lt;/span&gt;, fo&lt;span class="_ _7"&gt;&lt;/span&gt;r in&lt;span class="_ _7"&gt;&lt;/span&gt;s&lt;span class="_ _7"&gt;&lt;/span&gt;tan&lt;span class="_ _7"&gt;&lt;/span&gt;ce &lt;/span&gt;&lt;span style="display:inherit;clear:left;"&gt;wit&lt;span class="_ _7"&gt;&lt;/span&gt;h reg&lt;span class="_ _7"&gt;&lt;/span&gt;ar&lt;span class="_ _7"&gt;&lt;/span&gt;ds t&lt;span class="_ _7"&gt;&lt;/span&gt;o the d&lt;span class="_ _7"&gt;&lt;/span&gt;is&lt;span class="_ _7"&gt;&lt;/span&gt;co&lt;span class="_ _7"&gt;&lt;/span&gt;un&lt;span class="_ _7"&gt;&lt;/span&gt;t rat&lt;span class="_ _7"&gt;&lt;/span&gt;e, f&lt;span class="_ _7"&gt;&lt;/span&gt;utu&lt;span class="_ _7"&gt;&lt;/span&gt;re s&lt;span class="_ _7"&gt;&lt;/span&gt;al&lt;span class="_ _7"&gt;&lt;/span&gt;ar&lt;span class="_ _9"&gt;&lt;/span&gt;y incr&lt;span class="_ _7"&gt;&lt;/span&gt;ea&lt;span class="_ _7"&gt;&lt;/span&gt;s&lt;span class="_ _7"&gt;&lt;/span&gt;es&lt;span class="_ _7"&gt;&lt;/span&gt;, in&lt;span class="_ _7"&gt;&lt;/span&gt;f&lt;span class="_ _7"&gt;&lt;/span&gt;la&lt;span class="_ _7"&gt;&lt;/span&gt;tio&lt;span class="_ _7"&gt;&lt;/span&gt;n, &lt;/span&gt;&lt;span style="display:inherit;clear:left;"&gt;mortalit&lt;span class="_ _7"&gt;&lt;/span&gt;y rates a&lt;span class="_ _2"&gt;&lt;/span&gt;nd demographic conditions. Changes&lt;span class="_ _2"&gt;&lt;/span&gt; in these &lt;/span&gt;&lt;span style="display:inherit;clear:left;"&gt;as&lt;span class="_ _7"&gt;&lt;/span&gt;s&lt;span class="_ _7"&gt;&lt;/span&gt;ump&lt;span class="_ _7"&gt;&lt;/span&gt;tio&lt;span class="_ _7"&gt;&lt;/span&gt;ns a&lt;span class="_ _7"&gt;&lt;/span&gt;f&lt;span class="_ _7"&gt;&lt;/span&gt;fe&lt;span class="_ _7"&gt;&lt;/span&gt;c&lt;span class="_ _7"&gt;&lt;/span&gt;t the c&lt;span class="_ _7"&gt;&lt;/span&gt;al&lt;span class="_ _7"&gt;&lt;/span&gt;cul&lt;span class="_ _7"&gt;&lt;/span&gt;ate&lt;span class="_ _7"&gt;&lt;/span&gt;d va&lt;span class="_ _7"&gt;&lt;/span&gt;lue o&lt;span class="_ _7"&gt;&lt;/span&gt;f the p&lt;span class="_ _7"&gt;&lt;/span&gt;o&lt;span class="_ _7"&gt;&lt;/span&gt;st-empl&lt;span class="_ _7"&gt;&lt;/span&gt;oyee &lt;/span&gt; &lt;span class="_ _1"&gt;&lt;/span&gt;b&lt;span class="_ _7"&gt;&lt;/span&gt;en&lt;span class="_ _7"&gt;&lt;/span&gt;ef&lt;span class="_ _7"&gt;&lt;/span&gt;it&lt;span class="_ _7"&gt;&lt;/span&gt;s ob&lt;span class="_ _7"&gt;&lt;/span&gt;lig&lt;span class="_ _7"&gt;&lt;/span&gt;at&lt;span class="_ _7"&gt;&lt;/span&gt;ion&lt;span class="_ _7"&gt;&lt;/span&gt;s&lt;span class="_ _7"&gt;&lt;/span&gt;. Th&lt;span class="_ _7"&gt;&lt;/span&gt;e di&lt;span class="_ _7"&gt;&lt;/span&gt;sc&lt;span class="_ _7"&gt;&lt;/span&gt;ou&lt;span class="_ _7"&gt;&lt;/span&gt;nt r&lt;span class="_ _7"&gt;&lt;/span&gt;ate, w&lt;span class="_ _7"&gt;&lt;/span&gt;hi&lt;span class="_ _7"&gt;&lt;/span&gt;ch is t&lt;span class="_ _7"&gt;&lt;/span&gt;he m&lt;span class="_ _7"&gt;&lt;/span&gt;os&lt;span class="_ _7"&gt;&lt;/span&gt;t cr&lt;span class="_ _7"&gt;&lt;/span&gt;iti&lt;span class="_ _7"&gt;&lt;/span&gt;c&lt;span class="_ _7"&gt;&lt;/span&gt;al &lt;span style="display:inherit;clear:left;"&gt;as&lt;span class="_ _7"&gt;&lt;/span&gt;s&lt;span class="_ _7"&gt;&lt;/span&gt;ump&lt;span class="_ _7"&gt;&lt;/span&gt;tio&lt;span class="_ _7"&gt;&lt;/span&gt;n, i&lt;span class="_ _7"&gt;&lt;/span&gt;s b&lt;span class="_ _7"&gt;&lt;/span&gt;as&lt;span class="_ _7"&gt;&lt;/span&gt;ed o&lt;span class="_ _7"&gt;&lt;/span&gt;n ma&lt;span class="_ _7"&gt;&lt;/span&gt;rket r&lt;span class="_ _7"&gt;&lt;/span&gt;etu&lt;span class="_ _7"&gt;&lt;/span&gt;rn o&lt;span class="_ _7"&gt;&lt;/span&gt;n hig&lt;span class="_ _7"&gt;&lt;/span&gt;h-qu&lt;span class="_ _7"&gt;&lt;/span&gt;ali&lt;span class="_ _7"&gt;&lt;/span&gt;t&lt;span class="_ _7"&gt;&lt;/span&gt;y co&lt;span class="_ _7"&gt;&lt;/span&gt;rp&lt;span class="_ _7"&gt;&lt;/span&gt;or&lt;span class="_ _7"&gt;&lt;/span&gt;ate o&lt;span class="_ _7"&gt;&lt;/span&gt;r &lt;/span&gt;&lt;span style="display:inherit;clear:left;"&gt;gove&lt;span class="_ _7"&gt;&lt;/span&gt;rn&lt;span class="_ _7"&gt;&lt;/span&gt;ne&lt;span class="_ _7"&gt;&lt;/span&gt;nt bo&lt;span class="_ _7"&gt;&lt;/span&gt;nd&lt;span class="_ _7"&gt;&lt;/span&gt;s th&lt;span class="_ _7"&gt;&lt;/span&gt;at ar&lt;span class="_ _7"&gt;&lt;/span&gt;e de&lt;span class="_ _7"&gt;&lt;/span&gt;no&lt;span class="_ _7"&gt;&lt;/span&gt;min&lt;span class="_ _7"&gt;&lt;/span&gt;ate&lt;span class="_ _7"&gt;&lt;/span&gt;d in th&lt;span class="_ _7"&gt;&lt;/span&gt;e cu&lt;span class="_ _7"&gt;&lt;/span&gt;rr&lt;span class="_ _7"&gt;&lt;/span&gt;enc&lt;span class="_ _7"&gt;&lt;/span&gt;y in w&lt;span class="_ _7"&gt;&lt;/span&gt;hic&lt;span class="_ _7"&gt;&lt;/span&gt;h the &lt;/span&gt;&lt;span style="display:inherit;clear:left;"&gt;be&lt;span class="_ _7"&gt;&lt;/span&gt;ne&lt;span class="_ _7"&gt;&lt;/span&gt;fi&lt;span class="_ _7"&gt;&lt;/span&gt;ts w&lt;span class="_ _7"&gt;&lt;/span&gt;il&lt;span class="_ _7"&gt;&lt;/span&gt;l be p&lt;span class="_ _7"&gt;&lt;/span&gt;aid a&lt;span class="_ _7"&gt;&lt;/span&gt;nd w&lt;span class="_ _7"&gt;&lt;/span&gt;ith m&lt;span class="_ _7"&gt;&lt;/span&gt;at&lt;span class="_ _7"&gt;&lt;/span&gt;uri&lt;span class="_ _7"&gt;&lt;/span&gt;ti&lt;span class="_ _7"&gt;&lt;/span&gt;es c&lt;span class="_ _7"&gt;&lt;/span&gt;or&lt;span class="_ _7"&gt;&lt;/span&gt;re&lt;span class="_ _7"&gt;&lt;/span&gt;sp&lt;span class="_ _7"&gt;&lt;/span&gt;on&lt;span class="_ _7"&gt;&lt;/span&gt;di&lt;span class="_ _7"&gt;&lt;/span&gt;ng to th&lt;span class="_ _7"&gt;&lt;/span&gt;e &lt;/span&gt;&lt;span style="display:inherit;clear:left;"&gt;re&lt;span class="_ _7"&gt;&lt;/span&gt;lat&lt;span class="_ _7"&gt;&lt;/span&gt;ed p&lt;span class="_ _7"&gt;&lt;/span&gt;en&lt;span class="_ _7"&gt;&lt;/span&gt;si&lt;span class="_ _7"&gt;&lt;/span&gt;on li&lt;span class="_ _7"&gt;&lt;/span&gt;ab&lt;span class="_ _7"&gt;&lt;/span&gt;ili&lt;span class="_ _7"&gt;&lt;/span&gt;t&lt;span class="_ _7"&gt;&lt;/span&gt;y. A decr&lt;span class="_ _7"&gt;&lt;/span&gt;ea&lt;span class="_ _7"&gt;&lt;/span&gt;se i&lt;span class="_ </t>
  </si>
  <si>
    <t>f1__s8__6__254</t>
  </si>
  <si>
    <t>ifrs-full:DescriptionOfAccountingPolicyForEmployeeBenefitsExplanatory</t>
  </si>
  <si>
    <t>&lt;span style="display:inherit;clear:left;"&gt;ACCOUNTING&lt;span class="_ _2"&gt;&lt;/span&gt; POLICIES&lt;/span&gt;&lt;span style="display:inherit;clear:left;"&gt;Pension benefits&lt;/span&gt;&lt;span style="display:inherit;clear:left;"&gt;Volvo Ca&lt;span class="_ _7"&gt;&lt;/span&gt;r Gro&lt;span class="_ _7"&gt;&lt;/span&gt;up h&lt;span class="_ _7"&gt;&lt;/span&gt;as v&lt;span class="_ _7"&gt;&lt;/span&gt;ari&lt;span class="_ _7"&gt;&lt;/span&gt;ou&lt;span class="_ _7"&gt;&lt;/span&gt;s s&lt;span class="_ _7"&gt;&lt;/span&gt;che&lt;span class="_ _7"&gt;&lt;/span&gt;me&lt;span class="_ _7"&gt;&lt;/span&gt;s fo&lt;span class="_ _7"&gt;&lt;/span&gt;r po&lt;span class="_ _7"&gt;&lt;/span&gt;s&lt;span class="_ _7"&gt;&lt;/span&gt;t&lt;span class="_ _2"&gt;&lt;/span&gt;-em&lt;span class="_ _7"&gt;&lt;/span&gt;plo&lt;span class="_ _7"&gt;&lt;/span&gt;ym&lt;span class="_ _7"&gt;&lt;/span&gt;ent b&lt;span class="_ _7"&gt;&lt;/span&gt;en&lt;span class="_ _7"&gt;&lt;/span&gt;e-&lt;/span&gt;&lt;span style="display:inherit;clear:left;"&gt;fi&lt;span class="_ _7"&gt;&lt;/span&gt;ts&lt;span class="_ _7"&gt;&lt;/span&gt;, m&lt;span class="_ _7"&gt;&lt;/span&gt;ain&lt;span class="_ _7"&gt;&lt;/span&gt;ly re&lt;span class="_ _7"&gt;&lt;/span&gt;l&lt;span class="_ _7"&gt;&lt;/span&gt;atin&lt;span class="_ _7"&gt;&lt;/span&gt;g to pe&lt;span class="_ _7"&gt;&lt;/span&gt;ns&lt;span class="_ _7"&gt;&lt;/span&gt;io&lt;span class="_ _7"&gt;&lt;/span&gt;n pl&lt;span class="_ _7"&gt;&lt;/span&gt;an&lt;span class="_ _7"&gt;&lt;/span&gt;s&lt;span class="_ _7"&gt;&lt;/span&gt;. Ot&lt;span class="_ _7"&gt;&lt;/span&gt;he&lt;span class="_ _7"&gt;&lt;/span&gt;r be&lt;span class="_ _7"&gt;&lt;/span&gt;ne&lt;span class="_ _7"&gt;&lt;/span&gt;fi&lt;span class="_ _7"&gt;&lt;/span&gt;ts c&lt;span class="_ _7"&gt;&lt;/span&gt;an i&lt;span class="_ _7"&gt;&lt;/span&gt;n so&lt;span class="_ _7"&gt;&lt;/span&gt;me &lt;/span&gt;&lt;span style="display:inherit;clear:left;"&gt;loc&lt;span class="_ _7"&gt;&lt;/span&gt;at&lt;span class="_ _7"&gt;&lt;/span&gt;ion&lt;span class="_ _7"&gt;&lt;/span&gt;s in&lt;span class="_ _7"&gt;&lt;/span&gt;clu&lt;span class="_ _7"&gt;&lt;/span&gt;de d&lt;span class="_ _7"&gt;&lt;/span&gt;is&lt;span class="_ _7"&gt;&lt;/span&gt;ab&lt;span class="_ _7"&gt;&lt;/span&gt;il&lt;span class="_ _7"&gt;&lt;/span&gt;it&lt;span class="_ _7"&gt;&lt;/span&gt;y, life i&lt;span class="_ _7"&gt;&lt;/span&gt;ns&lt;span class="_ _7"&gt;&lt;/span&gt;ur&lt;span class="_ _7"&gt;&lt;/span&gt;an&lt;span class="_ _7"&gt;&lt;/span&gt;ce a&lt;span class="_ _7"&gt;&lt;/span&gt;nd h&lt;span class="_ _7"&gt;&lt;/span&gt;ealt&lt;span class="_ _7"&gt;&lt;/span&gt;h be&lt;span class="_ _7"&gt;&lt;/span&gt;ne&lt;span class="_ _7"&gt;&lt;/span&gt;fi&lt;span class="_ _7"&gt;&lt;/span&gt;ts&lt;span class="_ _7"&gt;&lt;/span&gt;. &lt;/span&gt;&lt;span style="display:inherit;clear:left;"&gt; &lt;span class="_ _1"&gt;&lt;/span&gt;Pension plans are classified either as&lt;span class="_ _2"&gt;&lt;/span&gt; def&lt;span class="_ _7"&gt;&lt;/span&gt;ined contribut&lt;span class="_ _2"&gt;&lt;/span&gt;ion plans or &lt;/span&gt;&lt;span style="display:inherit;clear:left;"&gt;de&lt;span class="_ _7"&gt;&lt;/span&gt;fi&lt;span class="_ _7"&gt;&lt;/span&gt;ne&lt;span class="_ _7"&gt;&lt;/span&gt;d be&lt;span class="_ _7"&gt;&lt;/span&gt;ne&lt;span class="_ _7"&gt;&lt;/span&gt;fi&lt;span class="_ _7"&gt;&lt;/span&gt;t pl&lt;span class="_ _7"&gt;&lt;/span&gt;an&lt;span class="_ _7"&gt;&lt;/span&gt;s&lt;span class="_ _7"&gt;&lt;/span&gt;. Volvo Ca&lt;span class="_ _7"&gt;&lt;/span&gt;r Gro&lt;span class="_ _7"&gt;&lt;/span&gt;up h&lt;span class="_ _7"&gt;&lt;/span&gt;as b&lt;span class="_ _7"&gt;&lt;/span&gt;oth d&lt;span class="_ _7"&gt;&lt;/span&gt;ef&lt;span class="_ _7"&gt;&lt;/span&gt;in&lt;span class="_ _7"&gt;&lt;/span&gt;ed c&lt;span class="_ _7"&gt;&lt;/span&gt;on&lt;span class="_ _7"&gt;&lt;/span&gt;tri&lt;span class="_ _7"&gt;&lt;/span&gt;bu-&lt;/span&gt;&lt;span style="display:inherit;clear:left;"&gt;tio&lt;span class="_ _7"&gt;&lt;/span&gt;n pl&lt;span class="_ _7"&gt;&lt;/span&gt;an&lt;span class="_ _7"&gt;&lt;/span&gt;s an&lt;span class="_ _7"&gt;&lt;/span&gt;d de&lt;span class="_ _7"&gt;&lt;/span&gt;fi&lt;span class="_ _7"&gt;&lt;/span&gt;ne&lt;span class="_ _7"&gt;&lt;/span&gt;d be&lt;span class="_ _7"&gt;&lt;/span&gt;ne&lt;span class="_ _7"&gt;&lt;/span&gt;fi&lt;span class="_ _7"&gt;&lt;/span&gt;t pl&lt;span class="_ _7"&gt;&lt;/span&gt;an&lt;span class="_ _7"&gt;&lt;/span&gt;s fo&lt;span class="_ _7"&gt;&lt;/span&gt;r qu&lt;span class="_ _7"&gt;&lt;/span&gt;ali&lt;span class="_ _7"&gt;&lt;/span&gt;f&lt;span class="_ _7"&gt;&lt;/span&gt;y&lt;span class="_ _7"&gt;&lt;/span&gt;ing e&lt;span class="_ _7"&gt;&lt;/span&gt;mp&lt;span class="_ _7"&gt;&lt;/span&gt;loye&lt;span class="_ _7"&gt;&lt;/span&gt;es i&lt;span class="_ _7"&gt;&lt;/span&gt;n &lt;/span&gt;&lt;span style="display:inherit;clear:left;"&gt;so&lt;span class="_ _7"&gt;&lt;/span&gt;me s&lt;span class="_ _7"&gt;&lt;/span&gt;ub&lt;span class="_ _7"&gt;&lt;/span&gt;si&lt;span class="_ _7"&gt;&lt;/span&gt;di&lt;span class="_ _7"&gt;&lt;/span&gt;ari&lt;span class="_ _7"&gt;&lt;/span&gt;e&lt;span class="_ _7"&gt;&lt;/span&gt;s and t&lt;span class="_ _7"&gt;&lt;/span&gt;he l&lt;span class="_ _7"&gt;&lt;/span&gt;ar&lt;span class="_ _7"&gt;&lt;/span&gt;ge&lt;span class="_ _7"&gt;&lt;/span&gt;st p&lt;span class="_ _7"&gt;&lt;/span&gt;l&lt;span class="_ _7"&gt;&lt;/span&gt;ans a&lt;span class="_ _7"&gt;&lt;/span&gt;re i&lt;span class="_ _7"&gt;&lt;/span&gt;n Swe&lt;span class="_ _7"&gt;&lt;/span&gt;den a&lt;span class="_ _7"&gt;&lt;/span&gt;nd B&lt;span class="_ _7"&gt;&lt;/span&gt;el&lt;span class="_ _7"&gt;&lt;/span&gt;gi&lt;span class="_ _7"&gt;&lt;/span&gt;um&lt;span class="_ _7"&gt;&lt;/span&gt;.&lt;/span&gt;&lt;span style="display:inherit;clear:left;"&gt;Und&lt;span class="_ _7"&gt;&lt;/span&gt;er a d&lt;span class="_ _7"&gt;&lt;/span&gt;ef&lt;span class="_ _7"&gt;&lt;/span&gt;in&lt;span class="_ _7"&gt;&lt;/span&gt;ed c&lt;span class="_ _7"&gt;&lt;/span&gt;on&lt;span class="_ _7"&gt;&lt;/span&gt;tri&lt;span class="_ _7"&gt;&lt;/span&gt;bu&lt;span class="_ _7"&gt;&lt;/span&gt;tio&lt;span class="_ _7"&gt;&lt;/span&gt;n pl&lt;span class="_ _7"&gt;&lt;/span&gt;an&lt;span class="_ _7"&gt;&lt;/span&gt;, Volvo C&lt;span class="_ _7"&gt;&lt;/span&gt;ar Gr&lt;span class="_ _7"&gt;&lt;/span&gt;ou&lt;span class="_ _7"&gt;&lt;/span&gt;p pay&lt;span class="_ _7"&gt;&lt;/span&gt;s fi&lt;span class="_ _7"&gt;&lt;/span&gt;xe&lt;span class="_ _7"&gt;&lt;/span&gt;d &lt;/span&gt;&lt;span style="display:inherit;clear:left;"&gt;con&lt;span class="_ _7"&gt;&lt;/span&gt;tr&lt;span class="_ _7"&gt;&lt;/span&gt;ibu&lt;span class="_ _7"&gt;&lt;/span&gt;ti&lt;span class="_ _7"&gt;&lt;/span&gt;on&lt;span class="_ _7"&gt;&lt;/span&gt;s into a s&lt;span class="_ _7"&gt;&lt;/span&gt;ep&lt;span class="_ _7"&gt;&lt;/span&gt;ar&lt;span class="_ _7"&gt;&lt;/span&gt;ate e&lt;span class="_ _7"&gt;&lt;/span&gt;x&lt;span class="_ _7"&gt;&lt;/span&gt;ter&lt;span class="_ _7"&gt;&lt;/span&gt;na&lt;span class="_ _7"&gt;&lt;/span&gt;l leg&lt;span class="_ _7"&gt;&lt;/span&gt;al e&lt;span class="_ _7"&gt;&lt;/span&gt;nti&lt;span class="_ _7"&gt;&lt;/span&gt;t&lt;span class="_ _7"&gt;&lt;/span&gt;y and w&lt;span class="_ _7"&gt;&lt;/span&gt;il&lt;span class="_ _7"&gt;&lt;/span&gt;l have n&lt;span class="_ _7"&gt;&lt;/span&gt;o &lt;/span&gt;&lt;span style="display:inherit;clear:left;"&gt;leg&lt;span class="_ _7"&gt;&lt;/span&gt;al o&lt;span class="_ _7"&gt;&lt;/span&gt;bli&lt;span class="_ _7"&gt;&lt;/span&gt;ga&lt;span class="_ _7"&gt;&lt;/span&gt;tio&lt;span class="_ _7"&gt;&lt;/span&gt;n to pa&lt;span class="_ _7"&gt;&lt;/span&gt;y fu&lt;span class="_ _7"&gt;&lt;/span&gt;r&lt;span class="_ _7"&gt;&lt;/span&gt;the&lt;span class="_ _7"&gt;&lt;/span&gt;r co&lt;span class="_ _7"&gt;&lt;/span&gt;ntr&lt;span class="_ _7"&gt;&lt;/span&gt;ib&lt;span class="_ _7"&gt;&lt;/span&gt;uti&lt;span class="_ _7"&gt;&lt;/span&gt;on&lt;span class="_ _7"&gt;&lt;/span&gt;s if t&lt;span class="_ _7"&gt;&lt;/span&gt;he f&lt;span class="_ _7"&gt;&lt;/span&gt;un&lt;span class="_ _7"&gt;&lt;/span&gt;d do&lt;span class="_ _7"&gt;&lt;/span&gt;es n&lt;span class="_ _7"&gt;&lt;/span&gt;ot h&lt;span class="_ _7"&gt;&lt;/span&gt;old &lt;/span&gt;&lt;span style="display:inherit;clear:left;"&gt;su&lt;span class="_ _7"&gt;&lt;/span&gt;f&lt;span class="_ _7"&gt;&lt;/span&gt;f&lt;span class="_ _7"&gt;&lt;/span&gt;ici&lt;span class="_ _7"&gt;&lt;/span&gt;en&lt;span class="_ _7"&gt;&lt;/span&gt;t as&lt;span class="_ _7"&gt;&lt;/span&gt;s&lt;span class="_ _7"&gt;&lt;/span&gt;et&lt;span class="_ _7"&gt;&lt;/span&gt;s to pa&lt;span class="_ _7"&gt;&lt;/span&gt;y all e&lt;span class="_ _7"&gt;&lt;/span&gt;mp&lt;span class="_ _7"&gt;&lt;/span&gt;loye&lt;span class="_ _7"&gt;&lt;/span&gt;e be&lt;span class="_ _7"&gt;&lt;/span&gt;ne&lt;span class="_ _7"&gt;&lt;/span&gt;fi&lt;span class="_ _7"&gt;&lt;/span&gt;t&lt;span class="_ _7"&gt;&lt;/span&gt;s. T&lt;span class="_ _7"&gt;&lt;/span&gt;he c&lt;span class="_ _7"&gt;&lt;/span&gt;ont&lt;span class="_ _7"&gt;&lt;/span&gt;ri&lt;span class="_ _7"&gt;&lt;/span&gt;but&lt;span class="_ _7"&gt;&lt;/span&gt;io&lt;span class="_ _7"&gt;&lt;/span&gt;ns a&lt;span class="_ _7"&gt;&lt;/span&gt;re &lt;/span&gt;&lt;span style="display:inherit;clear:left;"&gt;re&lt;span class="_ _7"&gt;&lt;/span&gt;cog&lt;span class="_ _7"&gt;&lt;/span&gt;ni&lt;span class="_ _7"&gt;&lt;/span&gt;s&lt;span class="_ _7"&gt;&lt;/span&gt;ed a&lt;span class="_ _7"&gt;&lt;/span&gt;s emp&lt;span class="_ _7"&gt;&lt;/span&gt;loye&lt;span class="_ _7"&gt;&lt;/span&gt;e b&lt;span class="_ _7"&gt;&lt;/span&gt;ene&lt;span class="_ _7"&gt;&lt;/span&gt;f&lt;span class="_ _7"&gt;&lt;/span&gt;it ex&lt;span class="_ _7"&gt;&lt;/span&gt;pe&lt;span class="_ _7"&gt;&lt;/span&gt;ns&lt;span class="_ _7"&gt;&lt;/span&gt;e&lt;span class="_ _7"&gt;&lt;/span&gt;s in th&lt;span class="_ _7"&gt;&lt;/span&gt;e in&lt;span class="_ _7"&gt;&lt;/span&gt;com&lt;span class="_ _7"&gt;&lt;/span&gt;e s&lt;span class="_ _7"&gt;&lt;/span&gt;ta&lt;span class="_ _7"&gt;&lt;/span&gt;tem&lt;span class="_ _7"&gt;&lt;/span&gt;ent &lt;/span&gt;&lt;span style="display:inherit;clear:left;"&gt;wh&lt;span class="_ _7"&gt;&lt;/span&gt;en ea&lt;span class="_ _7"&gt;&lt;/span&gt;rn&lt;span class="_ _7"&gt;&lt;/span&gt;ed b&lt;span class="_ _7"&gt;&lt;/span&gt;y the e&lt;span class="_ _7"&gt;&lt;/span&gt;mp&lt;span class="_ _7"&gt;&lt;/span&gt;loye&lt;span class="_ _7"&gt;&lt;/span&gt;e. S&lt;span class="_ _7"&gt;&lt;/span&gt;om&lt;span class="_ _7"&gt;&lt;/span&gt;e de&lt;span class="_ _7"&gt;&lt;/span&gt;fi&lt;span class="_ _7"&gt;&lt;/span&gt;ne&lt;span class="_ _7"&gt;&lt;/span&gt;d co&lt;span class="_ _7"&gt;&lt;/span&gt;ntr&lt;span class="_ _7"&gt;&lt;/span&gt;ibu&lt;span class="_ _7"&gt;&lt;/span&gt;ti&lt;span class="_ _7"&gt;&lt;/span&gt;on p&lt;span class="_ _7"&gt;&lt;/span&gt;la&lt;span class="_ _7"&gt;&lt;/span&gt;ns &lt;/span&gt;&lt;span style="display:inherit;clear:left;"&gt;combine the&lt;span class="_ _2"&gt;&lt;/span&gt; promise to mak&lt;span class="_ _2"&gt;&lt;/span&gt;e periodic payments with&lt;span class="_ _2"&gt;&lt;/span&gt; a promise of &lt;/span&gt;&lt;span style="display:inherit;clear:left;"&gt;a gu&lt;span class="_ _7"&gt;&lt;/span&gt;ar&lt;span class="_ _7"&gt;&lt;/span&gt;ante&lt;span class="_ _7"&gt;&lt;/span&gt;e&lt;span class="_ _7"&gt;&lt;/span&gt;d min&lt;span class="_ _7"&gt;&lt;/span&gt;imu&lt;span class="_ _7"&gt;&lt;/span&gt;m re&lt;span class="_ _7"&gt;&lt;/span&gt;tur&lt;span class="_ _7"&gt;&lt;/span&gt;n on i&lt;span class="_ _7"&gt;&lt;/span&gt;nve&lt;span class="_ _7"&gt;&lt;/span&gt;st&lt;span class="_ _7"&gt;&lt;/span&gt;me&lt;span class="_ _7"&gt;&lt;/span&gt;nts&lt;span class="_ _7"&gt;&lt;/span&gt;. S&lt;span class="_ _7"&gt;&lt;/span&gt;uch p&lt;span class="_ _7"&gt;&lt;/span&gt;l&lt;span class="_ _7"&gt;&lt;/span&gt;ans a&lt;span class="_ _7"&gt;&lt;/span&gt;re &lt;/span&gt;&lt;span style="display:inherit;clear:left;"&gt;acc&lt;span class="_ _7"&gt;&lt;/span&gt;ou&lt;span class="_ _7"&gt;&lt;/span&gt;nte&lt;span class="_ _7"&gt;&lt;/span&gt;d for a&lt;span class="_ _7"&gt;&lt;/span&gt;s de&lt;span class="_ _7"&gt;&lt;/span&gt;f&lt;span class="_ _7"&gt;&lt;/span&gt;ine&lt;span class="_ _7"&gt;&lt;/span&gt;d b&lt;span class="_ _7"&gt;&lt;/span&gt;ene&lt;span class="_ _7"&gt;&lt;/span&gt;f&lt;span class="_ _7"&gt;&lt;/span&gt;it p&lt;span class="_ _7"&gt;&lt;/span&gt;la&lt;span class="_ _7"&gt;&lt;/span&gt;ns&lt;span class="_ _7"&gt;&lt;/span&gt;.&lt;/span&gt;&lt;span style="display:inherit;clear:left;"&gt;A de&lt;span class="_ _7"&gt;&lt;/span&gt;fi&lt;span class="_ _7"&gt;&lt;/span&gt;ne&lt;span class="_ _7"&gt;&lt;/span&gt;d be&lt;span class="_ _7"&gt;&lt;/span&gt;ne&lt;span class="_ _7"&gt;&lt;/span&gt;fi&lt;span class="_ _7"&gt;&lt;/span&gt;t pl&lt;span class="_ _7"&gt;&lt;/span&gt;an i&lt;span class="_ _7"&gt;&lt;/span&gt;s a pe&lt;span class="_ _7"&gt;&lt;/span&gt;ns&lt;span class="_ _7"&gt;&lt;/span&gt;io&lt;span class="_ _7"&gt;&lt;/span&gt;n pl&lt;span class="_ _7"&gt;&lt;/span&gt;an t&lt;span class="_ _7"&gt;&lt;/span&gt;hat d&lt;span class="_ _7"&gt;&lt;/span&gt;ef&lt;span class="_ _7"&gt;&lt;/span&gt;in&lt;span class="_ _7"&gt;&lt;/span&gt;e&lt;span class="_ _7"&gt;&lt;/span&gt;s the a&lt;span class="_ _7"&gt;&lt;/span&gt;mo&lt;span class="_ _7"&gt;&lt;/span&gt;unt &lt;/span&gt;&lt;span style="display:inherit;clear:left;"&gt;of p&lt;span class="_ _7"&gt;&lt;/span&gt;os&lt;span class="_ _7"&gt;&lt;/span&gt;t&lt;span class="_ _2"&gt;&lt;/span&gt;-e&lt;span class="_ _7"&gt;&lt;/span&gt;mp&lt;span class="_ _7"&gt;&lt;/span&gt;loy&lt;span class="_ _7"&gt;&lt;/span&gt;me&lt;span class="_ _7"&gt;&lt;/span&gt;nt be&lt;span class="_ _7"&gt;&lt;/span&gt;ne&lt;span class="_ _7"&gt;&lt;/span&gt;fi&lt;span class="_ _7"&gt;&lt;/span&gt;t&lt;span class="_ _7"&gt;&lt;/span&gt;s an em&lt;span class="_ _7"&gt;&lt;/span&gt;plo&lt;span class="_ _7"&gt;&lt;/span&gt;yee w&lt;span class="_ _7"&gt;&lt;/span&gt;il&lt;span class="_ _7"&gt;&lt;/span&gt;l rec&lt;span class="_ _7"&gt;&lt;/span&gt;ei&lt;span class="_ _7"&gt;&lt;/span&gt;ve up&lt;span class="_ _7"&gt;&lt;/span&gt;o&lt;span class="_ _7"&gt;&lt;/span&gt;n ret&lt;span class="_ _7"&gt;&lt;/span&gt;ire-&lt;/span&gt;&lt;span style="display:inherit;clear:left;"&gt;me&lt;span class="_ _7"&gt;&lt;/span&gt;nt, u&lt;span class="_ _7"&gt;&lt;/span&gt;su&lt;span class="_ _7"&gt;&lt;/span&gt;al&lt;span class="_ _7"&gt;&lt;/span&gt;ly de&lt;span class="_ _7"&gt;&lt;/span&gt;pe&lt;span class="_ _7"&gt;&lt;/span&gt;nd&lt;span class="_ _7"&gt;&lt;/span&gt;ent o&lt;span class="_ _7"&gt;&lt;/span&gt;n on&lt;span class="_ _7"&gt;&lt;/span&gt;e or m&lt;span class="_ _7"&gt;&lt;/span&gt;ore f&lt;span class="_ _7"&gt;&lt;/span&gt;ac&lt;span class="_ _7"&gt;&lt;/span&gt;tor&lt;span class="_ _7"&gt;&lt;/span&gt;s s&lt;span class="_ _7"&gt;&lt;/span&gt;uch a&lt;span class="_ _7"&gt;&lt;/span&gt;s age&lt;span class="_ _7"&gt;&lt;/span&gt;, ye&lt;span class="_ _7"&gt;&lt;/span&gt;ar&lt;span class="_ _7"&gt;&lt;/span&gt;s &lt;/span&gt;&lt;span style="display:inherit;clear:left;"&gt;of service and compensation. For&lt;span class="_ _2"&gt;&lt;/span&gt; funded defined benefit&lt;span class="_ _7"&gt;&lt;/span&gt;s plans, &lt;/span&gt;&lt;span style="display:inherit;clear:left;"&gt;pl&lt;span class="_ _7"&gt;&lt;/span&gt;an a&lt;span class="_ _7"&gt;&lt;/span&gt;s&lt;span class="_ _7"&gt;&lt;/span&gt;se&lt;span class="_ _7"&gt;&lt;/span&gt;ts h&lt;span class="_ _7"&gt;&lt;/span&gt;ave b&lt;span class="_ _7"&gt;&lt;/span&gt;ee&lt;span class="_ _7"&gt;&lt;/span&gt;n se&lt;span class="_ _7"&gt;&lt;/span&gt;pa&lt;span class="_ _7"&gt;&lt;/span&gt;ra&lt;span class="_ _7"&gt;&lt;/span&gt;ted&lt;span class="_ _7"&gt;&lt;/span&gt;, wi&lt;span class="_ _7"&gt;&lt;/span&gt;th th&lt;span class="_ _7"&gt;&lt;/span&gt;e ma&lt;span class="_ _7"&gt;&lt;/span&gt;jo&lt;span class="_ _7"&gt;&lt;/span&gt;ri&lt;span class="_ _7"&gt;&lt;/span&gt;t&lt;span class="_ _7"&gt;&lt;/span&gt;y inve&lt;span class="_ _7"&gt;&lt;/span&gt;s&lt;span class="_ _7"&gt;&lt;/span&gt;ted i&lt;span class="_ _7"&gt;&lt;/span&gt;n pe&lt;span class="_ _7"&gt;&lt;/span&gt;n-&lt;/span&gt;&lt;span style="display:inherit;clear:left;"&gt;sion foundations. The&lt;span class="_ _2"&gt;&lt;/span&gt; net pension provision or&lt;span class="_ _2"&gt;&lt;/span&gt; as&lt;span class="_ _7"&gt;&lt;/span&gt;set recognised on &lt;/span&gt;&lt;span style="display:inherit;clear:left;"&gt;the b&lt;span class="_ _7"&gt;&lt;/span&gt;al&lt;span class="_ _7"&gt;&lt;/span&gt;an&lt;span class="_ _7"&gt;&lt;/span&gt;ce s&lt;span class="_ _7"&gt;&lt;/span&gt;he&lt;span class="_ _7"&gt;&lt;/span&gt;et i&lt;span class="_ _7"&gt;&lt;/span&gt;n re&lt;span class="_ _7"&gt;&lt;/span&gt;sp&lt;span class="_ _7"&gt;&lt;/span&gt;ec&lt;span class="_ _7"&gt;&lt;/span&gt;t of d&lt;span class="_ _7"&gt;&lt;/span&gt;ef&lt;span class="_ _7"&gt;&lt;/span&gt;in&lt;span class="_ _7"&gt;&lt;/span&gt;ed b&lt;span class="_ _7"&gt;&lt;/span&gt;en&lt;span class="_ _7"&gt;&lt;/span&gt;ef&lt;span class="_ _7"&gt;&lt;/span&gt;it p&lt;span class="_ _7"&gt;&lt;/span&gt;en&lt;span class="_ _7"&gt;&lt;/span&gt;si&lt;span class="_ _7"&gt;&lt;/span&gt;on p&lt;span class="_ _7"&gt;&lt;/span&gt;l&lt;span class="_ _7"&gt;&lt;/span&gt;ans i&lt;span class="_ _7"&gt;&lt;/span&gt;s th&lt;span class="_ _7"&gt;&lt;/span&gt;e &lt;/span&gt;&lt;span style="display:inherit;clear:left;"&gt;pre&lt;span class="_ _7"&gt;&lt;/span&gt;s&lt;span class="_ _7"&gt;&lt;/span&gt;en&lt;span class="_ _7"&gt;&lt;/span&gt;t valu&lt;span class="_ _7"&gt;&lt;/span&gt;e of t&lt;span class="_ _7"&gt;&lt;/span&gt;he d&lt;span class="_ _7"&gt;&lt;/span&gt;ef&lt;span class="_ _7"&gt;&lt;/span&gt;in&lt;span class="_ _7"&gt;&lt;/span&gt;ed b&lt;span class="_ _7"&gt;&lt;/span&gt;en&lt;span class="_ _7"&gt;&lt;/span&gt;ef&lt;span class="_ _7"&gt;&lt;/span&gt;it o&lt;span class="_ _7"&gt;&lt;/span&gt;bli&lt;span class="_ _7"&gt;&lt;/span&gt;ga&lt;span class="_ _7"&gt;&lt;/span&gt;tio&lt;span class="_ _7"&gt;&lt;/span&gt;n at th&lt;span class="_ _7"&gt;&lt;/span&gt;e ba&lt;span class="_ _7"&gt;&lt;/span&gt;la&lt;span class="_ _7"&gt;&lt;/span&gt;nc&lt;span class="_ _7"&gt;&lt;/span&gt;e sh&lt;span class="_ _7"&gt;&lt;/span&gt;ee&lt;span class="_ _7"&gt;&lt;/span&gt;t &lt;/span&gt;&lt;span style="display:inherit;clear:left;"&gt;dat&lt;span class="_ _7"&gt;&lt;/span&gt;e les&lt;span class="_ _7"&gt;&lt;/span&gt;s t&lt;span class="_ _7"&gt;&lt;/span&gt;he f&lt;span class="_ _7"&gt;&lt;/span&gt;air v&lt;span class="_ _7"&gt;&lt;/span&gt;alu&lt;span class="_ _7"&gt;&lt;/span&gt;e of p&lt;span class="_ _7"&gt;&lt;/span&gt;la&lt;span class="_ _7"&gt;&lt;/span&gt;n as&lt;span class="_ _7"&gt;&lt;/span&gt;s&lt;span class="_ _7"&gt;&lt;/span&gt;et&lt;span class="_ _7"&gt;&lt;/span&gt;s&lt;span class="_ _7"&gt;&lt;/span&gt;. &lt;/span&gt;&lt;span style="display:inherit;clear:left;"&gt;Th&lt;span class="_ _7"&gt;&lt;/span&gt;e ca&lt;span class="_ _7"&gt;&lt;/span&gt;lcul&lt;span class="_ _7"&gt;&lt;/span&gt;at&lt;span class="_ _7"&gt;&lt;/span&gt;io&lt;span class="_ _7"&gt;&lt;/span&gt;n of th&lt;span class="_ _7"&gt;&lt;/span&gt;e pr&lt;span class="_ _7"&gt;&lt;/span&gt;es&lt;span class="_ _7"&gt;&lt;/span&gt;en&lt;span class="_ _7"&gt;&lt;/span&gt;t val&lt;span class="_ _7"&gt;&lt;/span&gt;ue o&lt;span class="_ _7"&gt;&lt;/span&gt;f de&lt;span class="_ _7"&gt;&lt;/span&gt;fi&lt;span class="_ _7"&gt;&lt;/span&gt;ne&lt;span class="_ _7"&gt;&lt;/span&gt;d be&lt;span class="_ _7"&gt;&lt;/span&gt;ne&lt;span class="_ _7"&gt;&lt;/span&gt;fi&lt;span class="_ _7"&gt;&lt;/span&gt;t pe&lt;span class="_ _7"&gt;&lt;/span&gt;ns&lt;span class="_ _7"&gt;&lt;/span&gt;io&lt;span class="_ _7"&gt;&lt;/span&gt;n &lt;/span&gt;&lt;span style="display:inherit;clear:left;"&gt;obligations is&lt;span class="_ _2"&gt;&lt;/span&gt; per&lt;span class="_ _7"&gt;&lt;/span&gt;formed according t&lt;span class="_ _2"&gt;&lt;/span&gt;o the Projected&lt;span class="_ _2"&gt;&lt;/span&gt; Unit Credit &lt;/span&gt;&lt;span style="display:inherit;clear:left;"&gt;method. The calc&lt;span class="_ _2"&gt;&lt;/span&gt;ulation is performed by independent&lt;span class="_ _2"&gt;&lt;/span&gt; actuaries&lt;span class="_ _7"&gt;&lt;/span&gt;. &lt;/span&gt;&lt;span style="display:inherit;clear:left;"&gt;Th&lt;span class="_ _7"&gt;&lt;/span&gt;e pre&lt;span class="_ _7"&gt;&lt;/span&gt;s&lt;span class="_ _7"&gt;&lt;/span&gt;ent v&lt;span class="_ _7"&gt;&lt;/span&gt;alu&lt;span class="_ _7"&gt;&lt;/span&gt;e of t&lt;span class="_ _7"&gt;&lt;/span&gt;he de&lt;span class="_ _7"&gt;&lt;/span&gt;f&lt;span class="_ _7"&gt;&lt;/span&gt;ine&lt;span class="_ _7"&gt;&lt;/span&gt;d b&lt;span class="_ _7"&gt;&lt;/span&gt;en&lt;span class="_ _7"&gt;&lt;/span&gt;ef&lt;span class="_ _7"&gt;&lt;/span&gt;it o&lt;span class="_ _7"&gt;&lt;/span&gt;bli&lt;span class="_ _7"&gt;&lt;/span&gt;ga&lt;span class="_ _7"&gt;&lt;/span&gt;tio&lt;span class="_ _7"&gt;&lt;/span&gt;n is d&lt;span class="_ _7"&gt;&lt;/span&gt;ete&lt;span class="_ _7"&gt;&lt;/span&gt;rm&lt;span class="_ _7"&gt;&lt;/span&gt;ine&lt;span class="_ _7"&gt;&lt;/span&gt;d by &lt;/span&gt;&lt;span style="display:inherit;clear:left;"&gt;di&lt;span class="_ _7"&gt;&lt;/span&gt;sc&lt;span class="_ _7"&gt;&lt;/span&gt;ou&lt;span class="_ _7"&gt;&lt;/span&gt;ntin&lt;span class="_ _7"&gt;&lt;/span&gt;g the e&lt;span class="_ _7"&gt;&lt;/span&gt;s&lt;span class="_ _7"&gt;&lt;/span&gt;tim&lt;span class="_ _7"&gt;&lt;/span&gt;ate&lt;span class="_ _7"&gt;&lt;/span&gt;d f&lt;span class="_ _7"&gt;&lt;/span&gt;utu&lt;span class="_ _7"&gt;&lt;/span&gt;re c&lt;span class="_ _7"&gt;&lt;/span&gt;as&lt;span class="_ _7"&gt;&lt;/span&gt;h ou&lt;span class="_ _7"&gt;&lt;/span&gt;t&lt;span class="_ _7"&gt;&lt;/span&gt;fl&lt;span class="_ _7"&gt;&lt;/span&gt;ows u&lt;span class="_ _7"&gt;&lt;/span&gt;si&lt;span class="_ _7"&gt;&lt;/span&gt;ng in&lt;span class="_ _7"&gt;&lt;/span&gt;ter&lt;span class="_ _7"&gt;&lt;/span&gt;es&lt;span class="_ _7"&gt;&lt;/span&gt;t r&lt;span class="_ _7"&gt;&lt;/span&gt;ate&lt;span class="_ _7"&gt;&lt;/span&gt;s &lt;/span&gt;&lt;span style="display:inherit;clear:left;"&gt;of hi&lt;span class="_ _7"&gt;&lt;/span&gt;gh-q&lt;span class="_ _7"&gt;&lt;/span&gt;ual&lt;span class="_ _7"&gt;&lt;/span&gt;it&lt;span class="_ _7"&gt;&lt;/span&gt;y c&lt;span class="_ _7"&gt;&lt;/span&gt;or&lt;span class="_ _7"&gt;&lt;/span&gt;po&lt;span class="_ _7"&gt;&lt;/span&gt;rat&lt;span class="_ _7"&gt;&lt;/span&gt;e bo&lt;span class="_ _7"&gt;&lt;/span&gt;nd&lt;span class="_ _7"&gt;&lt;/span&gt;s, o&lt;span class="_ _7"&gt;&lt;/span&gt;r wh&lt;span class="_ _7"&gt;&lt;/span&gt;en t&lt;span class="_ _7"&gt;&lt;/span&gt;he&lt;span class="_ _7"&gt;&lt;/span&gt;se a&lt;span class="_ _7"&gt;&lt;/span&gt;re n&lt;span class="_ _7"&gt;&lt;/span&gt;ot ava&lt;span class="_ _7"&gt;&lt;/span&gt;il&lt;span class="_ _7"&gt;&lt;/span&gt;ab&lt;span class="_ _7"&gt;&lt;/span&gt;le, &lt;/span&gt;&lt;span style="display:inherit;clear:left;"&gt;gove&lt;span class="_ _7"&gt;&lt;/span&gt;rn&lt;span class="_ _7"&gt;&lt;/span&gt;me&lt;span class="_ _7"&gt;&lt;/span&gt;nt bo&lt;span class="_ _7"&gt;&lt;/span&gt;nd&lt;span class="_ _7"&gt;&lt;/span&gt;s th&lt;span class="_ _7"&gt;&lt;/span&gt;at ar&lt;span class="_ _7"&gt;&lt;/span&gt;e de&lt;span class="_ _7"&gt;&lt;/span&gt;no&lt;span class="_ _7"&gt;&lt;/span&gt;min&lt;span class="_ _7"&gt;&lt;/span&gt;ate&lt;span class="_ _7"&gt;&lt;/span&gt;d in th&lt;span class="_ _7"&gt;&lt;/span&gt;e cu&lt;span class="_ _7"&gt;&lt;/span&gt;rr&lt;span class="_ _7"&gt;&lt;/span&gt;enc&lt;span class="_ _7"&gt;&lt;/span&gt;y in w&lt;span class="_ _7"&gt;&lt;/span&gt;hic&lt;span class="_ _7"&gt;&lt;/span&gt;h &lt;/span&gt;&lt;span style="display:inherit;clear:left;"&gt;the b&lt;span class="_ _7"&gt;&lt;/span&gt;en&lt;span class="_ _7"&gt;&lt;/span&gt;ef&lt;span class="_ _7"&gt;&lt;/span&gt;it&lt;span class="_ _7"&gt;&lt;/span&gt;s w&lt;span class="_ _7"&gt;&lt;/span&gt;ill b&lt;span class="_ _7"&gt;&lt;/span&gt;e pa&lt;span class="_ _7"&gt;&lt;/span&gt;id&lt;span class="_ _7"&gt;&lt;/span&gt;, an&lt;span class="_ _7"&gt;&lt;/span&gt;d tha&lt;span class="_ _7"&gt;&lt;/span&gt;t hav&lt;span class="_ _7"&gt;&lt;/span&gt;e ter&lt;span class="_ _7"&gt;&lt;/span&gt;ms to m&lt;span class="_ _7"&gt;&lt;/span&gt;at&lt;span class="_ _7"&gt;&lt;/span&gt;uri&lt;span class="_ _7"&gt;&lt;/span&gt;t&lt;span class="_ _7"&gt;&lt;/span&gt;y ap&lt;span class="_ _7"&gt;&lt;/span&gt;prox&lt;span class="_ _7"&gt;&lt;/span&gt;i-&lt;/span&gt;&lt;span style="display:inherit;clear:left;"&gt;mat&lt;span class="_ _7"&gt;&lt;/span&gt;ing to t&lt;span class="_ _7"&gt;&lt;/span&gt;he te&lt;span class="_ _7"&gt;&lt;/span&gt;rm&lt;span class="_ _7"&gt;&lt;/span&gt;s of t&lt;span class="_ _7"&gt;&lt;/span&gt;he re&lt;span class="_ _7"&gt;&lt;/span&gt;l&lt;span class="_ _7"&gt;&lt;/span&gt;ate&lt;span class="_ _7"&gt;&lt;/span&gt;d pe&lt;span class="_ _7"&gt;&lt;/span&gt;ns&lt;span class="_ _7"&gt;&lt;/span&gt;io&lt;span class="_ _7"&gt;&lt;/span&gt;n lia&lt;span class="_ _7"&gt;&lt;/span&gt;bi&lt;span class="_ _7"&gt;&lt;/span&gt;lit&lt;span class="_ _7"&gt;&lt;/span&gt;y. The m&lt;span class="_ _7"&gt;&lt;/span&gt;o&lt;span class="_ _7"&gt;&lt;/span&gt;st i&lt;span class="_ _7"&gt;&lt;/span&gt;mp&lt;span class="_ _7"&gt;&lt;/span&gt;or-&lt;/span&gt;&lt;span style="display:inherit;clear:left;"&gt;ta&lt;span class="_ _7"&gt;&lt;/span&gt;nt ac&lt;span class="_ _7"&gt;&lt;/span&gt;tu&lt;span class="_ _7"&gt;&lt;/span&gt;ari&lt;span class="_ _7"&gt;&lt;/span&gt;al a&lt;span class="_ _7"&gt;&lt;/span&gt;s&lt;span class="_ _7"&gt;&lt;/span&gt;su&lt;span class="_ _7"&gt;&lt;/span&gt;mpt&lt;span class="_ _7"&gt;&lt;/span&gt;ion&lt;span class="_ _7"&gt;&lt;/span&gt;s ar&lt;span class="_ _7"&gt;&lt;/span&gt;e st&lt;span class="_ _7"&gt;&lt;/span&gt;ate&lt;span class="_ _7"&gt;&lt;/span&gt;d b&lt;span class="_ _7"&gt;&lt;/span&gt;elo&lt;span class="_ _7"&gt;&lt;/span&gt;w. &lt;/span&gt;&lt;span style="display:inherit;clear:left;"&gt;Actu&lt;span class="_ _7"&gt;&lt;/span&gt;ar&lt;span class="_ _7"&gt;&lt;/span&gt;ia&lt;span class="_ _7"&gt;&lt;/span&gt;l ga&lt;span class="_ _7"&gt;&lt;/span&gt;in&lt;span class="_ _7"&gt;&lt;/span&gt;s and l&lt;span class="_ _7"&gt;&lt;/span&gt;os&lt;span class="_ _7"&gt;&lt;/span&gt;s&lt;span class="_ _7"&gt;&lt;/span&gt;e&lt;span class="_ _7"&gt;&lt;/span&gt;s ari&lt;span class="_ _7"&gt;&lt;/span&gt;si&lt;span class="_ _7"&gt;&lt;/span&gt;ng f&lt;span class="_ _7"&gt;&lt;/span&gt;ro&lt;span class="_ _7"&gt;&lt;/span&gt;m cha&lt;span class="_ _7"&gt;&lt;/span&gt;nge&lt;span class="_ _7"&gt;&lt;/span&gt;s in a&lt;span class="_ _7"&gt;&lt;/span&gt;ct&lt;span class="_ _7"&gt;&lt;/span&gt;ua&lt;span class="_ _7"&gt;&lt;/span&gt;ria&lt;span class="_ _7"&gt;&lt;/span&gt;l &lt;/span&gt;&lt;span style="display:inherit;clear:left;"&gt;assumptions and adjustments&lt;span class="_ _2"&gt;&lt;/span&gt; bas&lt;span class="_ _7"&gt;&lt;/span&gt;ed on e&lt;span class="_ _2"&gt;&lt;/span&gt;xperience are charged or&lt;span class="_ _2"&gt;&lt;/span&gt; &lt;/span&gt;&lt;span style="display:inherit;clear:left;"&gt;credited t&lt;span class="_ _2"&gt;&lt;/span&gt;o other consolidated&lt;span class="_ _2"&gt;&lt;/span&gt; comprehensive income in&lt;span class="_ _2"&gt;&lt;/span&gt; the period &lt;/span&gt;&lt;span style="display:inherit;clear:left;"&gt;in wh&lt;span class="_ _7"&gt;&lt;/span&gt;ich t&lt;span class="_ _7"&gt;&lt;/span&gt;hey a&lt;span class="_ _7"&gt;&lt;/span&gt;ri&lt;span class="_ _7"&gt;&lt;/span&gt;se&lt;span class="_ _7"&gt;&lt;/span&gt;. Pa&lt;span class="_ _7"&gt;&lt;/span&gt;st s&lt;span class="_ _7"&gt;&lt;/span&gt;e&lt;span class="_ _7"&gt;&lt;/span&gt;r&lt;span class="_ _7"&gt;&lt;/span&gt;vi&lt;span class="_ _7"&gt;&lt;/span&gt;ce c&lt;span class="_ _7"&gt;&lt;/span&gt;os&lt;span class="_ _7"&gt;&lt;/span&gt;t&lt;span class="_ _7"&gt;&lt;/span&gt;s are r&lt;span class="_ _7"&gt;&lt;/span&gt;ec&lt;span class="_ _7"&gt;&lt;/span&gt;og&lt;span class="_ _7"&gt;&lt;/span&gt;ni&lt;span class="_ _7"&gt;&lt;/span&gt;se&lt;span class="_ _7"&gt;&lt;/span&gt;d im&lt;span class="_ _7"&gt;&lt;/span&gt;me&lt;span class="_ _7"&gt;&lt;/span&gt;di&lt;span class="_ _7"&gt;&lt;/span&gt;ate&lt;span class="_ _7"&gt;&lt;/span&gt;ly in &lt;/span&gt;&lt;span style="display:inherit;clear:left;"&gt;the income&lt;span class="_ _2"&gt;&lt;/span&gt; st&lt;span class="_ _7"&gt;&lt;/span&gt;atement&lt;span class="_ _2"&gt;&lt;/span&gt; when the settlement occu&lt;span class="_ _2"&gt;&lt;/span&gt;r&lt;span class="_ _7"&gt;&lt;/span&gt;s. &lt;/span&gt;&lt;span style="display:inherit;clear:left;"&gt;Th&lt;span class="_ _7"&gt;&lt;/span&gt;e net i&lt;span class="_ _7"&gt;&lt;/span&gt;nte&lt;span class="_ _7"&gt;&lt;/span&gt;re&lt;span class="_ _7"&gt;&lt;/span&gt;st c&lt;span class="_ _7"&gt;&lt;/span&gt;os&lt;span class="_ _7"&gt;&lt;/span&gt;t i&lt;span class="_ _7"&gt;&lt;/span&gt;s ca&lt;span class="_ _7"&gt;&lt;/span&gt;lcu&lt;span class="_ _7"&gt;&lt;/span&gt;la&lt;span class="_ _7"&gt;&lt;/span&gt;ted b&lt;span class="_ _7"&gt;&lt;/span&gt;y app&lt;span class="_ _7"&gt;&lt;/span&gt;lyi&lt;span class="_ _7"&gt;&lt;/span&gt;ng th&lt;span class="_ _7"&gt;&lt;/span&gt;e di&lt;span class="_ _7"&gt;&lt;/span&gt;sc&lt;span class="_ _7"&gt;&lt;/span&gt;ou&lt;span class="_ _7"&gt;&lt;/span&gt;nt r&lt;span class="_ _7"&gt;&lt;/span&gt;ate to &lt;/span&gt;&lt;span style="display:inherit;clear:left;"&gt;the n&lt;span class="_ _7"&gt;&lt;/span&gt;et b&lt;span class="_ _7"&gt;&lt;/span&gt;al&lt;span class="_ _7"&gt;&lt;/span&gt;an&lt;span class="_ _7"&gt;&lt;/span&gt;ce o&lt;span class="_ _7"&gt;&lt;/span&gt;f the d&lt;span class="_ _7"&gt;&lt;/span&gt;ef&lt;span class="_ _7"&gt;&lt;/span&gt;in&lt;span class="_ _7"&gt;&lt;/span&gt;ed b&lt;span class="_ _7"&gt;&lt;/span&gt;en&lt;span class="_ _7"&gt;&lt;/span&gt;ef&lt;span class="_ _7"&gt;&lt;/span&gt;it o&lt;span class="_ _7"&gt;&lt;/span&gt;bl&lt;span class="_ _7"&gt;&lt;/span&gt;ig&lt;span class="_ _7"&gt;&lt;/span&gt;ati&lt;span class="_ _7"&gt;&lt;/span&gt;on an&lt;span class="_ _7"&gt;&lt;/span&gt;d th&lt;span class="_ _7"&gt;&lt;/span&gt;e fai&lt;span class="_ _7"&gt;&lt;/span&gt;r va&lt;span class="_ _7"&gt;&lt;/span&gt;lue &lt;/span&gt;&lt;span style="display:inherit;clear:left;"&gt;of p&lt;span class="_ _7"&gt;&lt;/span&gt;la&lt;span class="_ _7"&gt;&lt;/span&gt;n as&lt;span class="_ _7"&gt;&lt;/span&gt;s&lt;span class="_ _7"&gt;&lt;/span&gt;et&lt;span class="_ _7"&gt;&lt;/span&gt;s&lt;span class="_ _7"&gt;&lt;/span&gt;. &lt;/span&gt;&lt;span style="display:inherit;clear:left;"&gt;T&lt;span class="_ _6"&gt;&lt;/span&gt;ermination benefits&lt;/span&gt;&lt;span style="display:inherit;clear:left;"&gt;T&lt;span class="_ _2"&gt;&lt;/span&gt;er&lt;span class="_ _7"&gt;&lt;/span&gt;min&lt;span class="_ _7"&gt;&lt;/span&gt;ati&lt;span class="_ _7"&gt;&lt;/span&gt;on b&lt;span class="_ _7"&gt;&lt;/span&gt;en&lt;span class="_ _7"&gt;&lt;/span&gt;ef&lt;span class="_ _7"&gt;&lt;/span&gt;it&lt;span class="_ _7"&gt;&lt;/span&gt;s ar&lt;span class="_ _7"&gt;&lt;/span&gt;e pay&lt;span class="_ _7"&gt;&lt;/span&gt;ab&lt;span class="_ _7"&gt;&lt;/span&gt;le wh&lt;span class="_ _7"&gt;&lt;/span&gt;en e&lt;span class="_ _7"&gt;&lt;/span&gt;mp&lt;span class="_ _7"&gt;&lt;/span&gt;loy&lt;span class="_ _7"&gt;&lt;/span&gt;men&lt;span class="_ _7"&gt;&lt;/span&gt;t is te&lt;span class="_ _7"&gt;&lt;/span&gt;rm&lt;span class="_ _7"&gt;&lt;/span&gt;in&lt;span class="_ _7"&gt;&lt;/span&gt;ate&lt;span class="_ _7"&gt;&lt;/span&gt;d &lt;/span&gt;&lt;span style="display:inherit;clear:left;"&gt;by Volvo Ca&lt;span class="_ _7"&gt;&lt;/span&gt;r Gr&lt;span class="_ _7"&gt;&lt;/span&gt;oup b&lt;span class="_ _7"&gt;&lt;/span&gt;e&lt;span class="_ _7"&gt;&lt;/span&gt;for&lt;span class="_ _7"&gt;&lt;/span&gt;e the n&lt;span class="_ _7"&gt;&lt;/span&gt;or&lt;span class="_ _7"&gt;&lt;/span&gt;ma&lt;span class="_ _7"&gt;&lt;/span&gt;l re&lt;span class="_ _7"&gt;&lt;/span&gt;tir&lt;span class="_ _7"&gt;&lt;/span&gt;eme&lt;span class="_ _7"&gt;&lt;/span&gt;nt d&lt;span class="_ _7"&gt;&lt;/span&gt;ate&lt;span class="_ _7"&gt;&lt;/span&gt;, or wh&lt;span class="_ _7"&gt;&lt;/span&gt;en&lt;span class="_ _7"&gt;&lt;/span&gt;eve&lt;span class="_ _7"&gt;&lt;/span&gt;r &lt;/span&gt;&lt;span style="display:inherit;clear:left;"&gt;an em&lt;span class="_ _7"&gt;&lt;/span&gt;plo&lt;span class="_ _7"&gt;&lt;/span&gt;yee a&lt;span class="_ _7"&gt;&lt;/span&gt;cc&lt;span class="_ _7"&gt;&lt;/span&gt;ept&lt;span class="_ _7"&gt;&lt;/span&gt;s vo&lt;span class="_ _7"&gt;&lt;/span&gt;lun&lt;span class="_ _7"&gt;&lt;/span&gt;ta&lt;span class="_ _7"&gt;&lt;/span&gt;r&lt;span class="_ _7"&gt;&lt;/span&gt;y re&lt;span class="_ _7"&gt;&lt;/span&gt;du&lt;span class="_ _7"&gt;&lt;/span&gt;nd&lt;span class="_ _7"&gt;&lt;/span&gt;anc&lt;span class="_ _7"&gt;&lt;/span&gt;y in exch&lt;span class="_ _7"&gt;&lt;/span&gt;an&lt;span class="_ _7"&gt;&lt;/span&gt;ge fo&lt;span class="_ _7"&gt;&lt;/span&gt;r the&lt;span class="_ _7"&gt;&lt;/span&gt;s&lt;span class="_ _7"&gt;&lt;/span&gt;e &lt;/span&gt;&lt;span style="display:inherit;clear:left;"&gt;be&lt;span class="_ _7"&gt;&lt;/span&gt;ne&lt;span class="_ _7"&gt;&lt;/span&gt;fi&lt;span class="_ _7"&gt;&lt;/span&gt;ts&lt;span class="_ _7"&gt;&lt;/span&gt;. Volvo C&lt;span class="_ _7"&gt;&lt;/span&gt;ar&lt;span class="_ _7"&gt;&lt;/span&gt;s re&lt;span class="_ _7"&gt;&lt;/span&gt;co&lt;span class="_ _7"&gt;&lt;/span&gt;gn&lt;span class="_ _7"&gt;&lt;/span&gt;is&lt;span class="_ _7"&gt;&lt;/span&gt;e&lt;span class="_ _7"&gt;&lt;/span&gt;s ter&lt;span class="_ _7"&gt;&lt;/span&gt;min&lt;span class="_ _7"&gt;&lt;/span&gt;ati&lt;span class="_ _7"&gt;&lt;/span&gt;on b&lt;span class="_ _7"&gt;&lt;/span&gt;en&lt;span class="_ _7"&gt;&lt;/span&gt;ef&lt;span class="_ _7"&gt;&lt;/span&gt;it&lt;span class="_ _7"&gt;&lt;/span&gt;s at t&lt;span class="_ _7"&gt;&lt;/span&gt;he e&lt;span class="_ _7"&gt;&lt;/span&gt;ar&lt;span class="_ _7"&gt;&lt;/span&gt;lie&lt;span class="_ _7"&gt;&lt;/span&gt;r of &lt;/span&gt;&lt;span style="display:inherit;clear:left;"&gt;the f&lt;span class="_ _7"&gt;&lt;/span&gt;oll&lt;span class="_ _7"&gt;&lt;/span&gt;owi&lt;span class="_ _7"&gt;&lt;/span&gt;ng da&lt;span class="_ _7"&gt;&lt;/span&gt;te&lt;span class="_ _7"&gt;&lt;/span&gt;s: (a) whe&lt;span class="_ _7"&gt;&lt;/span&gt;n Volvo C&lt;span class="_ _7"&gt;&lt;/span&gt;ar&lt;span class="_ _7"&gt;&lt;/span&gt;s ca&lt;span class="_ _7"&gt;&lt;/span&gt;n no lo&lt;span class="_ _7"&gt;&lt;/span&gt;nge&lt;span class="_ _7"&gt;&lt;/span&gt;r wi&lt;span class="_ _7"&gt;&lt;/span&gt;th&lt;span class="_ _7"&gt;&lt;/span&gt;dr&lt;span class="_ _7"&gt;&lt;/span&gt;aw the &lt;/span&gt;&lt;span style="display:inherit;clear:left;"&gt;of&lt;span class="_ _7"&gt;&lt;/span&gt;f&lt;span class="_ _7"&gt;&lt;/span&gt;er o&lt;span class="_ _7"&gt;&lt;/span&gt;f tho&lt;span class="_ _7"&gt;&lt;/span&gt;s&lt;span class="_ _7"&gt;&lt;/span&gt;e be&lt;span class="_ _7"&gt;&lt;/span&gt;ne&lt;span class="_ _7"&gt;&lt;/span&gt;fi&lt;span class="_ _7"&gt;&lt;/span&gt;t&lt;span class="_ _7"&gt;&lt;/span&gt;s and (&lt;span class="_ _7"&gt;&lt;/span&gt;b) whe&lt;span class="_ _7"&gt;&lt;/span&gt;n the e&lt;span class="_ _7"&gt;&lt;/span&gt;nti&lt;span class="_ _7"&gt;&lt;/span&gt;t&lt;span class="_ _7"&gt;&lt;/span&gt;y re&lt;span class="_ _7"&gt;&lt;/span&gt;cog&lt;span class="_ _7"&gt;&lt;/span&gt;ni&lt;span class="_ _7"&gt;&lt;/span&gt;s&lt;span class="_ _7"&gt;&lt;/span&gt;es c&lt;span class="_ _7"&gt;&lt;/span&gt;os&lt;span class="_ _7"&gt;&lt;/span&gt;t&lt;span class="_ _7"&gt;&lt;/span&gt;s fo&lt;span class="_ _7"&gt;&lt;/span&gt;r &lt;/span&gt;&lt;span style="display:inherit;clear:left;"&gt;a re&lt;span class="_ _7"&gt;&lt;/span&gt;st&lt;span class="_ _7"&gt;&lt;/span&gt;ru&lt;span class="_ _7"&gt;&lt;/span&gt;ctu&lt;span class="_ _7"&gt;&lt;/span&gt;ri&lt;span class="_ _7"&gt;&lt;/span&gt;ng th&lt;span class="_ _7"&gt;&lt;/span&gt;at in&lt;span class="_ _7"&gt;&lt;/span&gt;volv&lt;span class="_ _7"&gt;&lt;/span&gt;es p&lt;span class="_ _7"&gt;&lt;/span&gt;ay&lt;span class="_ _7"&gt;&lt;/span&gt;men&lt;span class="_ _7"&gt;&lt;/span&gt;t of te&lt;span class="_ _7"&gt;&lt;/span&gt;rm&lt;span class="_ _7"&gt;&lt;/span&gt;in&lt;span class="_ _7"&gt;&lt;/span&gt;ati&lt;span class="_ _7"&gt;&lt;/span&gt;on b&lt;span class="_ _7"&gt;&lt;/span&gt;en&lt;span class="_ _7"&gt;&lt;/span&gt;ef&lt;span class="_ _7"&gt;&lt;/span&gt;it&lt;span class="_ _7"&gt;&lt;/span&gt;s&lt;span class="_ _7"&gt;&lt;/span&gt;.&lt;/span&gt;</t>
  </si>
  <si>
    <t>f1__s8__6__255</t>
  </si>
  <si>
    <t>ifrs-full:DescriptionOfAccountingPolicyForTerminationBenefits</t>
  </si>
  <si>
    <t>&lt;span style="display:inherit;clear:left;"&gt;T&lt;span class="_ _6"&gt;&lt;/span&gt;ermination benefits&lt;/span&gt;&lt;span style="display:inherit;clear:left;"&gt;T&lt;span class="_ _2"&gt;&lt;/span&gt;er&lt;span class="_ _7"&gt;&lt;/span&gt;min&lt;span class="_ _7"&gt;&lt;/span&gt;ati&lt;span class="_ _7"&gt;&lt;/span&gt;on b&lt;span class="_ _7"&gt;&lt;/span&gt;en&lt;span class="_ _7"&gt;&lt;/span&gt;ef&lt;span class="_ _7"&gt;&lt;/span&gt;it&lt;span class="_ _7"&gt;&lt;/span&gt;s ar&lt;span class="_ _7"&gt;&lt;/span&gt;e pay&lt;span class="_ _7"&gt;&lt;/span&gt;ab&lt;span class="_ _7"&gt;&lt;/span&gt;le wh&lt;span class="_ _7"&gt;&lt;/span&gt;en e&lt;span class="_ _7"&gt;&lt;/span&gt;mp&lt;span class="_ _7"&gt;&lt;/span&gt;loy&lt;span class="_ _7"&gt;&lt;/span&gt;men&lt;span class="_ _7"&gt;&lt;/span&gt;t is te&lt;span class="_ _7"&gt;&lt;/span&gt;rm&lt;span class="_ _7"&gt;&lt;/span&gt;in&lt;span class="_ _7"&gt;&lt;/span&gt;ate&lt;span class="_ _7"&gt;&lt;/span&gt;d &lt;/span&gt;&lt;span style="display:inherit;clear:left;"&gt;by Volvo Ca&lt;span class="_ _7"&gt;&lt;/span&gt;r Gr&lt;span class="_ _7"&gt;&lt;/span&gt;oup b&lt;span class="_ _7"&gt;&lt;/span&gt;e&lt;span class="_ _7"&gt;&lt;/span&gt;for&lt;span class="_ _7"&gt;&lt;/span&gt;e the n&lt;span class="_ _7"&gt;&lt;/span&gt;or&lt;span class="_ _7"&gt;&lt;/span&gt;ma&lt;span class="_ _7"&gt;&lt;/span&gt;l re&lt;span class="_ _7"&gt;&lt;/span&gt;tir&lt;span class="_ _7"&gt;&lt;/span&gt;eme&lt;span class="_ _7"&gt;&lt;/span&gt;nt d&lt;span class="_ _7"&gt;&lt;/span&gt;ate&lt;span class="_ _7"&gt;&lt;/span&gt;, or wh&lt;span class="_ _7"&gt;&lt;/span&gt;en&lt;span class="_ _7"&gt;&lt;/span&gt;eve&lt;span class="_ _7"&gt;&lt;/span&gt;r &lt;/span&gt;&lt;span style="display:inherit;clear:left;"&gt;an em&lt;span class="_ _7"&gt;&lt;/span&gt;plo&lt;span class="_ _7"&gt;&lt;/span&gt;yee a&lt;span class="_ _7"&gt;&lt;/span&gt;cc&lt;span class="_ _7"&gt;&lt;/span&gt;ept&lt;span class="_ _7"&gt;&lt;/span&gt;s vo&lt;span class="_ _7"&gt;&lt;/span&gt;lun&lt;span class="_ _7"&gt;&lt;/span&gt;ta&lt;span class="_ _7"&gt;&lt;/span&gt;r&lt;span class="_ _7"&gt;&lt;/span&gt;y re&lt;span class="_ _7"&gt;&lt;/span&gt;du&lt;span class="_ _7"&gt;&lt;/span&gt;nd&lt;span class="_ _7"&gt;&lt;/span&gt;anc&lt;span class="_ _7"&gt;&lt;/span&gt;y in exch&lt;span class="_ _7"&gt;&lt;/span&gt;an&lt;span class="_ _7"&gt;&lt;/span&gt;ge fo&lt;span class="_ _7"&gt;&lt;/span&gt;r the&lt;span class="_ _7"&gt;&lt;/span&gt;s&lt;span class="_ _7"&gt;&lt;/span&gt;e &lt;/span&gt;&lt;span style="display:inherit;clear:left;"&gt;be&lt;span class="_ _7"&gt;&lt;/span&gt;ne&lt;span class="_ _7"&gt;&lt;/span&gt;fi&lt;span class="_ _7"&gt;&lt;/span&gt;ts&lt;span class="_ _7"&gt;&lt;/span&gt;. Volvo C&lt;span class="_ _7"&gt;&lt;/span&gt;ar&lt;span class="_ _7"&gt;&lt;/span&gt;s re&lt;span class="_ _7"&gt;&lt;/span&gt;co&lt;span class="_ _7"&gt;&lt;/span&gt;gn&lt;span class="_ _7"&gt;&lt;/span&gt;is&lt;span class="_ _7"&gt;&lt;/span&gt;e&lt;span class="_ _7"&gt;&lt;/span&gt;s ter&lt;span class="_ _7"&gt;&lt;/span&gt;min&lt;span class="_ _7"&gt;&lt;/span&gt;ati&lt;span class="_ _7"&gt;&lt;/span&gt;on b&lt;span class="_ _7"&gt;&lt;/span&gt;en&lt;span class="_ _7"&gt;&lt;/span&gt;ef&lt;span class="_ _7"&gt;&lt;/span&gt;it&lt;span class="_ _7"&gt;&lt;/span&gt;s at t&lt;span class="_ _7"&gt;&lt;/span&gt;he e&lt;span class="_ _7"&gt;&lt;/span&gt;ar&lt;span class="_ _7"&gt;&lt;/span&gt;lie&lt;span class="_ _7"&gt;&lt;/span&gt;r of &lt;/span&gt;&lt;span style="display:inherit;clear:left;"&gt;the f&lt;span class="_ _7"&gt;&lt;/span&gt;oll&lt;span class="_ _7"&gt;&lt;/span&gt;owi&lt;span class="_ _7"&gt;&lt;/span&gt;ng da&lt;span class="_ _7"&gt;&lt;/span&gt;te&lt;span class="_ _7"&gt;&lt;/span&gt;s: (a) whe&lt;span class="_ _7"&gt;&lt;/span&gt;n Volvo C&lt;span class="_ _7"&gt;&lt;/span&gt;ar&lt;span class="_ _7"&gt;&lt;/span&gt;s ca&lt;span class="_ _7"&gt;&lt;/span&gt;n no lo&lt;span class="_ _7"&gt;&lt;/span&gt;nge&lt;span class="_ _7"&gt;&lt;/span&gt;r wi&lt;span class="_ _7"&gt;&lt;/span&gt;th&lt;span class="_ _7"&gt;&lt;/span&gt;dr&lt;span class="_ _7"&gt;&lt;/span&gt;aw the &lt;/span&gt;&lt;span style="display:inherit;clear:left;"&gt;of&lt;span class="_ _7"&gt;&lt;/span&gt;f&lt;span class="_ _7"&gt;&lt;/span&gt;er o&lt;span class="_ _7"&gt;&lt;/span&gt;f tho&lt;span class="_ _7"&gt;&lt;/span&gt;s&lt;span class="_ _7"&gt;&lt;/span&gt;e be&lt;span class="_ _7"&gt;&lt;/span&gt;ne&lt;span class="_ _7"&gt;&lt;/span&gt;fi&lt;span class="_ _7"&gt;&lt;/span&gt;t&lt;span class="_ _7"&gt;&lt;/span&gt;s and (&lt;span class="_ _7"&gt;&lt;/span&gt;b) whe&lt;span class="_ _7"&gt;&lt;/span&gt;n the e&lt;span class="_ _7"&gt;&lt;/span&gt;nti&lt;span class="_ _7"&gt;&lt;/span&gt;t&lt;span class="_ _7"&gt;&lt;/span&gt;y re&lt;span class="_ _7"&gt;&lt;/span&gt;cog&lt;span class="_ _7"&gt;&lt;/span&gt;ni&lt;span class="_ _7"&gt;&lt;/span&gt;s&lt;span class="_ _7"&gt;&lt;/span&gt;es c&lt;span class="_ _7"&gt;&lt;/span&gt;os&lt;span class="_ _7"&gt;&lt;/span&gt;t&lt;span class="_ _7"&gt;&lt;/span&gt;s fo&lt;span class="_ _7"&gt;&lt;/span&gt;r &lt;/span&gt;&lt;span style="display:inherit;clear:left;"&gt;a re&lt;span class="_ _7"&gt;&lt;/span&gt;st&lt;span class="_ _7"&gt;&lt;/span&gt;ru&lt;span class="_ _7"&gt;&lt;/span&gt;ctu&lt;span class="_ _7"&gt;&lt;/span&gt;ri&lt;span class="_ _7"&gt;&lt;/span&gt;ng th&lt;span class="_ _7"&gt;&lt;/span&gt;at in&lt;span class="_ _7"&gt;&lt;/span&gt;volv&lt;span class="_ _7"&gt;&lt;/span&gt;es p&lt;span class="_ _7"&gt;&lt;/span&gt;ay&lt;span class="_ _7"&gt;&lt;/span&gt;men&lt;span class="_ _7"&gt;&lt;/span&gt;t of te&lt;span class="_ _7"&gt;&lt;/span&gt;rm&lt;span class="_ _7"&gt;&lt;/span&gt;in&lt;span class="_ _7"&gt;&lt;/span&gt;ati&lt;span class="_ _7"&gt;&lt;/span&gt;on b&lt;span class="_ _7"&gt;&lt;/span&gt;en&lt;span class="_ _7"&gt;&lt;/span&gt;ef&lt;span class="_ _7"&gt;&lt;/span&gt;it&lt;span class="_ _7"&gt;&lt;/span&gt;s&lt;span class="_ _7"&gt;&lt;/span&gt;.&lt;/span&gt;</t>
  </si>
  <si>
    <t>f1__s8__6__256-1</t>
  </si>
  <si>
    <t>ifrs-full:ExplanationOfAssumptionAboutFutureWithSignificantRiskOfResultingInMaterialAdjustments</t>
  </si>
  <si>
    <t>CRITICAL ACCOUNTING ESTIMATES AND JUDGEMENTSThe value of defined benefit obligations is determined through actu-arial calculations performed by independent actuaries. The calcula-tions are based on different assumptions and estimates, for instance with regards to the discount rate, future salary increases, inflation, mortality rates and demographic conditions. Changes in these assumptions affect the calculated value of the post-employee  benefits obligations. The discount rate, which is the most critical assumption, is based on market return on high-quality corporate or governnent bonds that are denominated in the currency in which the benefits will be paid and with maturities corresponding to the related pension liability. A decrease in the discount rate increases the present value of post-employee benefits obligations while an increase in the discount rate has the opposite effect.applied when calculating the value of a defined benefit pension plan. Volvo Car Group determines the discount rate based on AA-rated corporate bonds and mortgage bonds that match the duration of the obligations. If no such corporate bonds and mort-gage bonds are available, government bonds are used. In Sweden,  as in prior years, mortgage bonds are used. Inflation assumptions are based on a combination of central banks targets, implicit market expectations and long-term analyst forecasts. Assumptions regarding future mortality are set based on actuarial advice in accordance with published statistics and experience in each territory. Mortality assumptions for Sweden are based on the DUS23 (white collar) mortality study, and the DUS23 (white collar) mortality table is generational. Mortality assumptions in Belgium are not as significant, since there are lump sum payments. The actuarial assumptions are reviewed annually by Volvo Car Group and modified when deemed appropriate to do so.Risks There are mainly three categories of risks related to defined benefit obligations and pension plans. The first category relates to risks affecting the actual pension payments. Increased longevity and inflation of salary and pensions are the principal risks that may increase the future pension payments and hence, increase the pen-sion obligation. The second category relates to investment return. Pension plan assets are invested in a variety of financial instruments and are exposed to market fluctuations. Poor investment return may reduce the value of investments and render them insufficient to cover future pension payments. The final category relates to the discount rate used for measuring the obligation and the plan assets. The discount rate used for measuring the present value of the obli-gation may fluctuate which impacts the valuation of the defined benefit obligation. The discount rate also impacts the value of the interest income and expense that is reported in the financial items and the service cost. The risk related to pension obligations, i.e. mortality exposure, discount rate and inflation, are monitored on an ongoing basis. Sensitivity analysis on defined benefit obligation Sweden BelgiumDiscount rate +0.5% –1,612 –142Discount rate –0.5% 1,803 158Inflation rate +0.5 % 1,825 140Inflation rate –0.5% –1,639 –129The weighted average duration of the obligation is 19.5 years for  Sweden and 8.0 years for Belgium.CRITICAL ACCOUNTING ESTIMATES AND JUDGEMENTSProvisionsThe amount recognised as provision is the best estimate of the expenditure required to settle the present obligation at the balance sheet date. Provisions are regularly reviewed and adjusted as further information becomes available or circumstances change. If the effect of the time value of money is material, non-current provisions are recognised at present value by discounting the expected future cash flows at a pre-tax rate reflecting current market assessments of the time value of money. The discount rate does not reflect such risks that are taken into consideration in the estimated future cash flow. Revisions of estimated cash flows, both amount and likelihood, are recognised as operating cost. Changes to present value due to the passage of time and revisions of discount rates to reflect prevailing current market conditions are recognised as a financial cost. There is always a risk for changing governmental regulations and changes in environmental policies affecting our business as well as accounting estimates and judgements related to climate regulation. Based on our performance to date, current product and volume plans and current knowledge of global emissions regulations, Volvo Car Group does not foresee any significant financial risks or judg-mental accounting issues short to mid-term related to not meeting global, regional or national CO emissions regulations.2Warranties The recognition and measurement of provisions for product warran-ties is generally connected with estimates. Estimated costs for product warranties are charged to cost of sales when the products are sold. Estimated warranty costs include contractual warranty, warranty campaigns (recalls and buy-backs) and coverage in excess of contractual warranty or campaigns, which is accepted as a matter of policy or normal practice in order to maintain a good business relation with the customer. Warranty provisions are estimated based on historical claims statistics and the warranty period. Quality index improvements based on historical patterns have been reflected in all categories of warranty. Refunds from suppliers that decrease Volvo Car Group’s warranty costs are recognised to the extent these are considered to be virtually certain, based on historical experi-ence. Supplier recovery provisions amount to SEK 2,523 (2,453) m, excluding supplier recovery related to EX30 battery cells.</t>
  </si>
  <si>
    <t>f1__s8__6__259-1</t>
  </si>
  <si>
    <t>ifrs-full:DisclosureOfAssetsAndLiabilitiesWithSignificantRiskOfMaterialAdjustmentExplanatory</t>
  </si>
  <si>
    <t>&lt;span style="display:inherit;clear:left;position:relative;height:262.79296875px;"&gt;&lt;span class="pp-font-color-override-1" style="position: absolute; display: inline-block; left: 283.625px; top: 0.0136718px; width: 49.6875px; white-space: pre; word-spacing: -0.1824px; letter-spacing: 0.1824px; margin-left: 0px; font-size: 9.6px; font-family: ffa4; -webkit-text-stroke: 0.144px rgba(0, 0, 0, 0);"&gt;&lt;span style="display: inline-block;"&gt;T&lt;/span&gt;&lt;span style="word-spacing: -0.1824px; letter-spacing: 0.1824px; display: inline-block; margin-left: -0.684px; width: 0px; font-size: 9.6px; font-family: ffa4; -webkit-text-stroke: 0.144px rgba(0, 0, 0, 0);"&gt;&lt;/span&gt;&lt;span style="display: inline-block;"&gt;otal&lt;/span&gt;&lt;span style="word-spacing: -0.1824px; letter-spacing: 0.1824px; display: inline-block; margin-left: 0px; width: 29.1973px; font-size: 9.6px; font-family: ffa4; -webkit-text-stroke: 0.144px rgba(0, 0, 0, 0);"&gt;&lt;span style="display: inline-block;"&gt; &lt;/span&gt;&lt;/span&gt;&lt;/span&gt;&lt;span class="pp-font-color-override-1" style="position: absolute; display: inline-block; left: 333.312px; top: 0.0136718px; width: 73.0957px; white-space: pre; word-spacing: 0px; letter-spacing: 0px; margin-left: 0px; font-size: 9.6px; font-family: ffa4; -webkit-text-stroke: 0.144px rgba(0, 0, 0, 0);"&gt;&lt;span style="display: inline-block;"&gt;of wh&lt;/span&gt;&lt;span style="word-spacing: 0px; letter-spacing: 0px; display: inline-block; margin-left: 0px; width: 0.410156px; font-size: 9.6px; font-family: ffa4; -webkit-text-stroke: 0.144px rgba(0, 0, 0, 0);"&gt;&lt;/span&gt;&lt;span style="display: inline-block;"&gt;ic&lt;/span&gt;&lt;span style="word-spacing: 0px; letter-spacing: 0px; display: inline-block; margin-left: 0px; width: 0.410156px; font-size: 9.6px; font-family: ffa4; -webkit-text-stroke: 0.144px rgba(0, 0, 0, 0);"&gt;&lt;/span&gt;&lt;span style="display: inline-block;"&gt;h Sw&lt;/span&gt;&lt;span style="word-spacing: 0px; letter-spacing: 0px; display: inline-block; margin-left: 0px; width: 0.410156px; font-size: 9.6px; font-family: ffa4; -webkit-text-stroke: 0.144px rgba(0, 0, 0, 0);"&gt;&lt;/span&gt;&lt;span style="display: inline-block;"&gt;ed&lt;/span&gt;&lt;span style="word-spacing: 0px; letter-spacing: 0px; display: inline-block; margin-left: 0px; width: 0.410156px; font-size: 9.6px; font-family: ffa4; -webkit-text-stroke: 0.144px rgba(0, 0, 0, 0);"&gt;&lt;/span&gt;&lt;span style="display: inline-block;"&gt;en &lt;/span&gt;&lt;span style="word-spacing: 0px; letter-spacing: 0px; display: inline-block; margin-left: 0px; width: 2.40234px; font-size: 9.6px; font-family: ffa4; -webkit-text-stroke: 0.144px rgba(0, 0, 0, 0);"&gt;&lt;span style="display: inline-block;"&gt; &lt;/span&gt;&lt;/span&gt;&lt;/span&gt;&lt;span class="pp-font-color-override-1" style="position: absolute; display: inline-block; left: 406.408px; top: 0.0136718px; width: 293.338px; white-space: pre; word-spacing: -0.192px; letter-spacing: 0.192px; margin-left: 0px; font-size: 9.6px; font-family: ffa4; -webkit-text-stroke: 0.144px rgba(0, 0, 0, 0);"&gt;&lt;span style="display: inline-block;"&gt;of which&lt;/span&gt;&lt;span style="word-spacing: -0.192px; letter-spacing: 0.192px; display: inline-block; margin-left: -0.684px; width: 0px; font-size: 9.6px; font-family: ffa4; -webkit-text-stroke: 0.144px rgba(0, 0, 0, 0);"&gt;&lt;/span&gt;&lt;span style="display: inline-block;"&gt; Belgium&lt;/span&gt;&lt;span style="word-spacing: -0.192px; letter-spacing: 0.192px; display: inline-block; margin-left: 0px; width: 28.1074px; font-size: 9.6px; font-family: ffa4; -webkit-text-stroke: 0.144px rgba(0, 0, 0, 0);"&gt;&lt;span style="display: inline-block;"&gt; &lt;/span&gt;&lt;/span&gt;&lt;span class="pp-font-color-override-1" style="word-spacing: -0.1824px; letter-spacing: 0.1824px; display: inline-block; margin-left: 0px; font-size: 9.6px; font-family: ffa4; -webkit-text-stroke: 0.144px rgba(0, 0, 0, 0);"&gt;&lt;span style="display: inline-block;"&gt;T&lt;/span&gt;&lt;span style="word-spacing: -0.1824px; letter-spacing: 0.1824px; display: inline-block; margin-left: -1.13625px; width: 0px; font-size: 9.6px; font-family: ffa4; -webkit-text-stroke: 0.144px rgba(0, 0, 0, 0);"&gt;&lt;/span&gt;&lt;span style="display: inline-block;"&gt;otal&lt;/span&gt;&lt;span style="word-spacing: -0.1824px; letter-spacing: 0.1824px; display: inline-block; margin-left: 0px; width: 28.6465px; font-size: 9.6px; font-family: ffa4; -webkit-text-stroke: 0.144px rgba(0, 0, 0, 0);"&gt;&lt;span style="display: inline-block;"&gt; &lt;/span&gt;&lt;/span&gt;&lt;span class="pp-font-color-override-1" style="word-spacing: 0px; letter-spacing: 0px; display: inline-block; margin-left: 0px; font-size: 9.6px; font-family: ffa4; -webkit-text-stroke: 0.144px rgba(0, 0, 0, 0);"&gt;&lt;span style="display: inline-block;"&gt;of w&lt;/span&gt;&lt;span style="word-spacing: 0px; letter-spacing: 0px; display: inline-block; margin-left: 0px; width: 0.410156px; font-size: 9.6px; font-family: ffa4; -webkit-text-stroke: 0.144px rgba(0, 0, 0, 0);"&gt;&lt;/span&gt;&lt;span style="display: inline-block;"&gt;hic&lt;/span&gt;&lt;span style="word-spacing: 0px; letter-spacing: 0px; display: inline-block; margin-left: 0px; width: 0.410156px; font-size: 9.6px; font-family: ffa4; -webkit-text-stroke: 0.144px rgba(0, 0, 0, 0);"&gt;&lt;/span&gt;&lt;span style="display: inline-block;"&gt;h Sw&lt;/span&gt;&lt;span style="word-spacing: 0px; letter-spacing: 0px; display: inline-block; margin-left: 0px; width: 0.410156px; font-size: 9.6px; font-family: ffa4; -webkit-text-stroke: 0.144px rgba(0, 0, 0, 0);"&gt;&lt;/span&gt;&lt;span style="display: inline-block;"&gt;ed&lt;/span&gt;&lt;span style="word-spacing: 0px; letter-spacing: 0px; display: inline-block; margin-left: 0px; width: 0.410156px; font-size: 9.6px; font-family: ffa4; -webkit-text-stroke: 0.144px rgba(0, 0, 0, 0);"&gt;&lt;/span&gt;&lt;span style="display: inline-block;"&gt;en &lt;/span&gt;&lt;span style="word-spacing: 0px; letter-spacing: 0px; display: inline-block; margin-left: 0px; width: 3.21094px; font-size: 9.6px; font-family: ffa4; -webkit-text-stroke: 0.144px rgba(0, 0, 0, 0);"&gt;&lt;span style="display: inline-block;"&gt; &lt;/span&gt;&lt;/span&gt;&lt;span class="pp-font-color-override-1" style="word-spacing: -0.192px; letter-spacing: 0.192px; display: inline-block; margin-left: 0px; font-size: 9.6px; font-family: ffa4; -webkit-text-stroke: 0.144px rgba(0, 0, 0, 0);"&gt;&lt;span style="display: inline-block;"&gt;of whic&lt;/span&gt;&lt;span style="word-spacing: -0.192px; letter-spacing: 0.192px; display: inline-block; margin-left: -0.684px; width: 0px; font-size: 9.6px; font-family: ffa4; -webkit-text-stroke: 0.144px rgba(0, 0, 0, 0);"&gt;&lt;/span&gt;&lt;span style="display: inline-block;"&gt;h Belgium&lt;/span&gt;&lt;/span&gt;&lt;/span&gt;&lt;/span&gt;&lt;/span&gt;&lt;span class="pp-font-color-override-1" style="position: absolute; display: inline-block; left: 0px; top: 14.5977px; width: 251.016px; white-space: pre; word-spacing: -0.192px; letter-spacing: 0.192px; margin-left: 0px; font-size: 9.6px; font-family: ffa4; -webkit-text-stroke: 0.144px rgba(0, 0, 0, 0);"&gt;&lt;span style="display: inline-block;"&gt;Financial year&lt;/span&gt;&lt;span style="word-spacing: -0.192px; letter-spacing: 0.192px; display: inline-block; margin-left: -0.684px; width: 0px; font-size: 9.6px; font-family: ffa4; -webkit-text-stroke: 0.144px rgba(0, 0, 0, 0);"&gt;&lt;/span&gt;&lt;span style="display: inline-block;"&gt; ending on&lt;/span&gt;&lt;span style="word-spacing: -0.192px; letter-spacing: 0.192px; display: inline-block; margin-left: 0px; width: 152.508px; font-size: 9.6px; font-family: ffa4; -webkit-text-stroke: 0.144px rgba(0, 0, 0, 0);"&gt;&lt;span style="display: inline-block;"&gt; &lt;/span&gt;&lt;/span&gt;&lt;/span&gt;&lt;span class="pp-font-color-override-1" style="position: absolute; display: inline-block; left: 251.016px; top: 14.5977px; width: 423.1px; white-space: pre; word-spacing: 0px; letter-spacing: 0px; margin-left: 0px; font-size: 9.6px; font-family: ffa4; -webkit-text-stroke: 0.144px rgba(0, 0, 0, 0);"&gt;&lt;span style="display: inline-block;"&gt;31 D&lt;/span&gt;&lt;span style="word-spacing: 0px; letter-spacing: 0px; display: inline-block; margin-left: 0px; width: 0.410156px; font-size: 9.6px; font-family: ffa4; -webkit-text-stroke: 0.144px rgba(0, 0, 0, 0);"&gt;&lt;/span&gt;&lt;span style="display: inline-block;"&gt;ec 2025&lt;/span&gt;&lt;span style="word-spacing: 0px; letter-spacing: 0px; display: inline-block; margin-left: 0px; width: 26.4668px; font-size: 9.6px; font-family: ffa4; -webkit-text-stroke: 0.144px rgba(0, 0, 0, 0);"&gt;&lt;span style="display: inline-block;"&gt; &lt;/span&gt;&lt;/span&gt;&lt;span style="display: inline-block;"&gt;31 Dec 2025&lt;/span&gt;&lt;span style="word-spacing: 0px; letter-spacing: 0px; display: inline-block; margin-left: 0px; width: 26.4668px; font-size: 9.6px; font-family: ffa4; -webkit-text-stroke: 0.144px rgba(0, 0, 0, 0);"&gt;&lt;span style="display: inline-block;"&gt; &lt;/span&gt;&lt;/span&gt;&lt;span style="display: inline-block;"&gt;31 Dec 2025&lt;/span&gt;&lt;span style="word-spacing: 0px; letter-spacing: 0px; display: inline-block; margin-left: 0px; width: 19.0371px; font-size: 9.6px; font-family: ffa4; -webkit-text-stroke: 0.144px rgba(0, 0, 0, 0);"&gt;&lt;span style="display: inline-block;"&gt; &lt;/span&gt;&lt;/span&gt;&lt;span class="pp-font-color-override-1" style="word-spacing: 0px; letter-spacing: 0px; display: inline-block; margin-left: 0px; font-size: 9.6px; font-family: ffa3; -webkit-text-stroke: 0.144px rgba(0, 0, 0, 0);"&gt;&lt;span style="display: inline-block;"&gt;31 D&lt;/span&gt;&lt;span style="word-spacing: 0px; letter-spacing: 0px; display: inline-block; margin-left: 0px; width: 0.410156px; font-size: 9.6px; font-family: ffa3; -webkit-text-stroke: 0.144px rgba(0, 0, 0, 0);"&gt;&lt;/span&gt;&lt;span style="display: inline-block;"&gt;ec 2024&lt;/span&gt;&lt;span style="word-spacing: 0px; letter-spacing: 0px; display: inline-block; margin-left: 0px; width: 27.6035px; font-size: 9.6px; font-family: ffa3; -webkit-text-stroke: 0.144px rgba(0, 0, 0, 0);"&gt;&lt;span style="display: inline-block;"&gt; &lt;/span&gt;&lt;/span&gt;&lt;span style="display: inline-block;"&gt;31 D&lt;/span&gt;&lt;span style="word-spacing: 0px; letter-spacing: 0px; display: inline-block; margin-left: 0px; width: 0.410156px; font-size: 9.6px; font-family: ffa3; -webkit-text-stroke: 0.144px rgba(0, 0, 0, 0);"&gt;&lt;/span&gt;&lt;span style="display: inline-block;"&gt;ec 2024&lt;/span&gt;&lt;span style="word-spacing: 0px; letter-spacing: 0px; display: inline-block; margin-left: 0px; width: 27.6035px; font-size: 9.6px; font-family: ffa3; -webkit-text-stroke: 0.144px rgba(0, 0, 0, 0);"&gt;&lt;span style="display: inline-block;"&gt; &lt;/span&gt;&lt;/span&gt;&lt;span style="display: inline-block;"&gt;31 De&lt;/span&gt;&lt;span style="word-spacing: 0px; letter-spacing: 0px; display: inline-block; margin-left: 0px; width: 0.410156px; font-size: 9.6px; font-family: ffa3; -webkit-text-stroke: 0.144px rgba(0, 0, 0, 0);"&gt;&lt;/span&gt;&lt;span style="display: inline-block;"&gt;c 2024&lt;/span&gt;&lt;/span&gt;&lt;/span&gt;&lt;span class="pp-font-color-override-1" style="position: absolute; display: inline-block; left: 0px; top: 36.9609px; width: 176.32px; white-space: pre; word-spacing: 0px; letter-spacing: 0.0315px; margin-left: 0px; font-size: 10.5px; font-family: ffa4; -webkit-text-stroke: 0.1575px rgba(0, 0, 0, 0);"&gt;&lt;span style="display: inline-block;"&gt;Am&lt;/span&gt;&lt;span style="word-spacing: 0px; letter-spacing: 0.0315px; display: inline-block; margin-left: 0px; width: 0.410156px; font-size: 10.5px; font-family: ffa4; -webkit-text-stroke: 0.1575px rgba(0, 0, 0, 0);"&gt;&lt;/span&gt;&lt;span style="display: inline-block;"&gt;oun&lt;/span&gt;&lt;span style="word-spacing: 0px; letter-spacing: 0.0315px; display: inline-block; margin-left: 0px; width: 0.410156px; font-size: 10.5px; font-family: ffa4; -webkit-text-stroke: 0.1575px rgba(0, 0, 0, 0);"&gt;&lt;/span&gt;&lt;span style="display: inline-block;"&gt;t&lt;/span&gt;&lt;span style="word-spacing: 0px; letter-spacing: 0.0315px; display: inline-block; margin-left: 0px; width: 0.410156px; font-size: 10.5px; font-family: ffa4; -webkit-text-stroke: 0.1575px rgba(0, 0, 0, 0);"&gt;&lt;/span&gt;&lt;span style="display: inline-block;"&gt;s re&lt;/span&gt;&lt;span style="word-spacing: 0px; letter-spacing: 0.0315px; display: inline-block; margin-left: 0px; width: 0.410156px; font-size: 10.5px; font-family: ffa4; -webkit-text-stroke: 0.1575px rgba(0, 0, 0, 0);"&gt;&lt;/span&gt;&lt;span style="display: inline-block;"&gt;cog&lt;/span&gt;&lt;span style="word-spacing: 0px; letter-spacing: 0.0315px; display: inline-block; margin-left: 0px; width: 0.410156px; font-size: 10.5px; font-family: ffa4; -webkit-text-stroke: 0.1575px rgba(0, 0, 0, 0);"&gt;&lt;/span&gt;&lt;span style="display: inline-block;"&gt;ni&lt;/span&gt;&lt;span style="word-spacing: 0px; letter-spacing: 0.0315px; display: inline-block; margin-left: 0px; width: 0.410156px; font-size: 10.5px; font-family: ffa4; -webkit-text-stroke: 0.1575px rgba(0, 0, 0, 0);"&gt;&lt;/span&gt;&lt;span style="display: inline-block;"&gt;s&lt;/span&gt;&lt;span style="word-spacing: 0px; letter-spacing: 0.0315px; display: inline-block; margin-left: 0px; width: 0.410156px; font-size: 10.5px; font-family: ffa4; -webkit-text-stroke: 0.1575px rgba(0, 0, 0, 0);"&gt;&lt;/span&gt;&lt;span style="display: inline-block;"&gt;ed i&lt;/span&gt;&lt;span style="word-spacing: 0px; letter-spacing: 0.0315px; display: inline-block; margin-left: 0px; width: 0.410156px; font-size: 10.5px; font-family: ffa4; -webkit-text-stroke: 0.1575px rgba(0, 0, 0, 0);"&gt;&lt;/span&gt;&lt;span style="display: inline-block;"&gt;n the s&lt;/span&gt;&lt;span style="word-spacing: 0px; letter-spacing: 0.0315px; display: inline-block; margin-left: 0px; width: 0.410156px; font-size: 10.5px; font-family: ffa4; -webkit-text-stroke: 0.1575px rgba(0, 0, 0, 0);"&gt;&lt;/span&gt;&lt;span style="display: inline-block;"&gt;t&lt;/span&gt;&lt;span style="word-spacing: 0px; letter-spacing: 0.0315px; display: inline-block; margin-left: 0px; width: 0.410156px; font-size: 10.5px; font-family: ffa4; -webkit-text-stroke: 0.1575px rgba(0, 0, 0, 0);"&gt;&lt;/span&gt;&lt;span style="display: inline-block;"&gt;ate&lt;/span&gt;&lt;span style="word-spacing: 0px; letter-spacing: 0.0315px; display: inline-block; margin-left: 0px; width: 0.410156px; font-size: 10.5px; font-family: ffa4; -webkit-text-stroke: 0.1575px rgba(0, 0, 0, 0);"&gt;&lt;/span&gt;&lt;span style="display: inline-block;"&gt;me&lt;/span&gt;&lt;span style="word-spacing: 0px; letter-spacing: 0.0315px; display: inline-block; margin-left: 0px; width: 0.410156px; font-size: 10.5px; font-family: ffa4; -webkit-text-stroke: 0.1575px rgba(0, 0, 0, 0);"&gt;&lt;/span&gt;&lt;span style="display: inline-block;"&gt;nt o&lt;/span&gt;&lt;span style="word-spacing: 0px; letter-spacing: 0.0315px; display: inline-block; margin-left: 0px; width: 0.410156px; font-size: 10.5px; font-family: ffa4; -webkit-text-stroke: 0.1575px rgba(0, 0, 0, 0);"&gt;&lt;/span&gt;&lt;span style="display: inline-block;"&gt;f &lt;/span&gt;&lt;/span&gt;&lt;span class="pp-font-color-override-1" style="position: absolute; display: inline-block; left: 0px; top: 48.9609px; width: 76.7109px; white-space: pre; word-spacing: -2.6775px; letter-spacing: 0.273px; margin-left: 0px; font-size: 10.5px; font-family: ffa4; -webkit-text-stroke: 0.1575px rgba(0, 0, 0, 0);"&gt;&lt;span style="display: inline-block;"&gt;financial&lt;/span&gt;&lt;span style="word-spacing: -2.6775px; letter-spacing: 0.273px; display: inline-block; margin-left: 0px; width: 1.5px; font-size: 10.5px; font-family: ffa4; -webkit-text-stroke: 0.1575px rgba(0, 0, 0, 0);"&gt;&lt;span style="display: inline-block;"&gt; &lt;/span&gt;&lt;/span&gt;&lt;span style="display: inline-block;"&gt;position&lt;/span&gt;&lt;/span&gt;&lt;span class="pp-font-color-override-1" style="position: absolute; display: inline-block; left: 0px; top: 65.1816px; width: 277.986px; white-space: pre; word-spacing: -0.252px; letter-spacing: 0.2835px; margin-left: 0px; font-size: 10.5px; font-family: ffa5; -webkit-text-stroke: 0.1575px rgba(0, 0, 0, 0);"&gt;&lt;span style="display: inline-block;"&gt;Defined&lt;/span&gt;&lt;span style="word-spacing: -0.252px; letter-spacing: 0.2835px; display: inline-block; margin-left: -0.684px; width: 0px; font-size: 10.5px; font-family: ffa5; -webkit-text-stroke: 0.1575px rgba(0, 0, 0, 0);"&gt;&lt;/span&gt;&lt;span style="display: inline-block;"&gt; benefit o&lt;/span&gt;&lt;span style="word-spacing: -0.252px; letter-spacing: 0.2835px; display: inline-block; margin-left: -0.684px; width: 0px; font-size: 10.5px; font-family: ffa5; -webkit-text-stroke: 0.1575px rgba(0, 0, 0, 0);"&gt;&lt;/span&gt;&lt;span style="display: inline-block;"&gt;bligat&lt;/span&gt;&lt;span style="word-spacing: -0.252px; letter-spacing: 0.2835px; display: inline-block; margin-left: -0.684px; width: 0px; font-size: 10.5px; font-family: ffa5; -webkit-text-stroke: 0.1575px rgba(0, 0, 0, 0);"&gt;&lt;/span&gt;&lt;span style="display: inline-block;"&gt;ion&lt;/span&gt;&lt;span style="word-spacing: -0.252px; letter-spacing: 0.2835px; display: inline-block; margin-left: 0px; width: 162.34px; font-size: 10.5px; font-family: ffa5; -webkit-text-stroke: 0.1575px rgba(0, 0, 0, 0);"&gt;&lt;span style="display: inline-block;"&gt; &lt;/span&gt;&lt;/span&gt;&lt;/span&gt;&lt;span class="pp-font-color-override-1" style="position: absolute; display: inline-block; left: 277.986px; top: 65.1816px; width: 83.3672px; white-space: pre; word-spacing: 0.21px; letter-spacing: -0.21px; margin-left: 0px; font-size: 10.5px; font-family: ffa5; -webkit-text-stroke: 0.1575px rgba(0, 0, 0, 0);"&gt;&lt;span style="display: inline-block;"&gt;24&lt;/span&gt;&lt;span style="word-spacing: 0.21px; letter-spacing: -0.21px; display: inline-block; margin-left: 0px; width: 0.410156px; font-size: 10.5px; font-family: ffa5; -webkit-text-stroke: 0.1575px rgba(0, 0, 0, 0);"&gt;&lt;/span&gt;&lt;span style="display: inline-block;"&gt;,&lt;/span&gt;&lt;span style="word-spacing: 0.21px; letter-spacing: -0.21px; display: inline-block; margin-left: 0px; width: 0.410156px; font-size: 10.5px; font-family: ffa5; -webkit-text-stroke: 0.1575px rgba(0, 0, 0, 0);"&gt;&lt;/span&gt;&lt;span style="display: inline-block;"&gt;55&lt;/span&gt;&lt;span style="word-spacing: 0.21px; letter-spacing: -0.21px; display: inline-block; margin-left: 0px; width: 0.410156px; font-size: 10.5px; font-family: ffa5; -webkit-text-stroke: 0.1575px rgba(0, 0, 0, 0);"&gt;&lt;/span&gt;&lt;span style="display: inline-block;"&gt;9&lt;/span&gt;&lt;span style="word-spacing: 0.21px; letter-spacing: -0.21px; display: inline-block; margin-left: 0px; width: 54.504px; font-size: 10.5px; font-family: ffa5; -webkit-text-stroke: 0.1575px rgba(0, 0, 0, 0);"&gt;&lt;span style="display: inline-block;"&gt;&lt;span style="width: 2.625px; display: inline-block;"&gt; &lt;/span&gt;&lt;/span&gt;&lt;/span&gt;&lt;/span&gt;&lt;span class="pp-font-color-override-1" style="position: absolute; display: inline-block; left: 361.354px; top: 65.1816px; width: 85.9746px; white-space: pre; word-spacing: 0.3885px; letter-spacing: -0.3885px; margin-left: 0px; font-size: 10.5px; font-family: ffa5; -webkit-text-stroke: 0.1575px rgba(0, 0, 0, 0);"&gt;&lt;span style="display: inline-block;"&gt;1&lt;/span&gt;&lt;span style="word-spacing: 0.3885px; letter-spacing: -0.3885px; display: inline-block; margin-left: 0px; width: 0.410156px; font-size: 10.5px; font-family: ffa5; -webkit-text-stroke: 0.1575px rgba(0, 0, 0, 0);"&gt;&lt;/span&gt;&lt;span style="display: inline-block;"&gt;8&lt;/span&gt;&lt;span style="word-spacing: 0.3885px; letter-spacing: -0.3885px; display: inline-block; margin-left: 0px; width: 0.410156px; font-size: 10.5px; font-family: ffa5; -webkit-text-stroke: 0.1575px rgba(0, 0, 0, 0);"&gt;&lt;/span&gt;&lt;span style="display: inline-block;"&gt;,1&lt;/span&gt;&lt;span style="word-spacing: 0.3885px; letter-spacing: -0.3885px; display: inline-block; margin-left: 0px; width: 0.410156px; font-size: 10.5px; font-family: ffa5; -webkit-text-stroke: 0.1575px rgba(0, 0, 0, 0);"&gt;&lt;/span&gt;&lt;span style="display: inline-block;"&gt;7&lt;/span&gt;&lt;span style="word-spacing: 0.3885px; letter-spacing: -0.3885px; display: inline-block; margin-left: 0px; width: 0.410156px; font-size: 10.5px; font-family: ffa5; -webkit-text-stroke: 0.1575px rgba(0, 0, 0, 0);"&gt;&lt;/span&gt;&lt;span style="display: inline-block;"&gt;9&lt;/span&gt;&lt;span style="word-spacing: 0.3885px; letter-spacing: -0.3885px; display: inline-block; margin-left: 0px; width: 57.7792px; font-size: 10.5px; font-family: ffa5; -webkit-text-stroke: 0.1575px rgba(0, 0, 0, 0);"&gt;&lt;span style="display: inline-block;"&gt;&lt;span style="width: 2.625px; display: inline-block;"&gt; &lt;/span&gt;&lt;/span&gt;&lt;/span&gt;&lt;/span&gt;&lt;span class="pp-font-color-override-1" style="position: absolute; display: inline-block; left: 447.328px; top: 65.1816px; width: 67.8926px; white-space: pre; word-spacing: -0.2415px; letter-spacing: 0.2415px; margin-left: 0px; font-size: 10.5px; font-family: ffa5; -webkit-text-stroke: 0.1575px rgba(0, 0, 0, 0);"&gt;&lt;span style="display: inline-block;"&gt;3,891&lt;/span&gt;&lt;span style="word-spacing: -0.2415px; letter-spacing: 0.2415px; display: inline-block; margin-left: 0px; width: 43.0545px; font-size: 10.5px; font-family: ffa5; -webkit-text-stroke: 0.1575px rgba(0, 0, 0, 0);"&gt;&lt;span style="display: inline-block;"&gt; &lt;/span&gt;&lt;/span&gt;&lt;/span&gt;&lt;span class="pp-font-color-override-1" style="position: absolute; display: inline-block; left: 515.221px; top: 65.1816px; width: 190.957px; white-space: pre; word-spacing: -0.021px; letter-spacing: 0.021px; margin-left: 0px; font-size: 10.5px; font-family: ffa5; -webkit-text-stroke: 0.1575px rgba(0, 0, 0, 0);"&gt;&lt;span style="display: inline-block;"&gt;26,&lt;/span&gt;&lt;span style="word-spacing: -0.021px; letter-spacing: 0.021px; display: inline-block; margin-left: 0px; width: 0.410156px; font-size: 10.5px; font-family: ffa5; -webkit-text-stroke: 0.1575px rgba(0, 0, 0, 0);"&gt;&lt;/span&gt;&lt;span style="display: inline-block;"&gt;921&lt;/span&gt;&lt;span style="word-spacing: -0.021px; letter-spacing: 0.021px; display: inline-block; margin-left: 0px; width: 50.4082px; font-size: 10.5px; font-family: ffa5; -webkit-text-stroke: 0.1575px rgba(0, 0, 0, 0);"&gt;&lt;span style="display: inline-block;"&gt; &lt;/span&gt;&lt;/span&gt;&lt;span class="pp-font-color-override-1" style="word-spacing: -0.0735px; letter-spacing: 0.0735px; display: inline-block; margin-left: 0px; font-size: 10.5px; font-family: ffa5; -webkit-text-stroke: 0.1575px rgba(0, 0, 0, 0);"&gt;&lt;span style="display: inline-block;"&gt;19,865&lt;/span&gt;&lt;span style="word-spacing: -0.0735px; letter-spacing: 0.0735px; display: inline-block; margin-left: 0px; width: 57.7792px; font-size: 10.5px; font-family: ffa5; -webkit-text-stroke: 0.1575px rgba(0, 0, 0, 0);"&gt;&lt;span style="display: inline-block;"&gt; &lt;/span&gt;&lt;/span&gt;&lt;span class="pp-font-color-override-1" style="word-spacing: 0px; letter-spacing: 0px; display: inline-block; margin-left: 0px; font-size: 10.5px; font-family: ffa5; -webkit-text-stroke: 0.1575px rgba(0, 0, 0, 0);"&gt;&lt;span style="display: inline-block;"&gt;4,&lt;/span&gt;&lt;span style="word-spacing: 0px; letter-spacing: 0px; display: inline-block; margin-left: 0px; width: 0.410156px; font-size: 10.5px; font-family: ffa5; -webkit-text-stroke: 0.1575px rgba(0, 0, 0, 0);"&gt;&lt;/span&gt;&lt;span style="display: inline-block;"&gt;210&lt;/span&gt;&lt;/span&gt;&lt;/span&gt;&lt;/span&gt;&lt;span class="pp-font-color-override-1" style="position: absolute; display: inline-block; left: 0px; top: 81.8691px; width: 280.746px; white-space: pre; word-spacing: 0px; letter-spacing: 0.0315px; margin-left: 0px; font-size: 10.5px; font-family: ffa5; -webkit-text-stroke: 0.1575px rgba(0, 0, 0, 0);"&gt;&lt;span style="display: inline-block;"&gt;Fair v&lt;/span&gt;&lt;span style="word-spacing: 0px; letter-spacing: 0.0315px; display: inline-block; margin-left: 0px; width: 0.410156px; font-size: 10.5px; font-family: ffa5; -webkit-text-stroke: 0.1575px rgba(0, 0, 0, 0);"&gt;&lt;/span&gt;&lt;span style="display: inline-block;"&gt;alu&lt;/span&gt;&lt;span style="word-spacing: 0px; letter-spacing: 0.0315px; display: inline-block; margin-left: 0px; width: 0.410156px; font-size: 10.5px; font-family: ffa5; -webkit-text-stroke: 0.1575px rgba(0, 0, 0, 0);"&gt;&lt;/span&gt;&lt;span style="display: inline-block;"&gt;e of p&lt;/span&gt;&lt;span style="word-spacing: 0px; letter-spacing: 0.0315px; display: inline-block; margin-left: 0px; width: 0.410156px; font-size: 10.5px; font-family: ffa5; -webkit-text-stroke: 0.1575px rgba(0, 0, 0, 0);"&gt;&lt;/span&gt;&lt;span style="display: inline-block;"&gt;lan a&lt;/span&gt;&lt;span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0.410156px; font-size: 10.5px; font-family: ffa5; -webkit-text-stroke: 0.1575px rgba(0, 0, 0, 0);"&gt;&lt;/span&gt;&lt;span style="display: inline-block;"&gt;s&lt;/span&gt;&lt;span style="word-spacing: 0px; letter-spacing: 0.0315px; display: inline-block; margin-left: 0px; width: 0.410156px; font-size: 10.5px; font-family: ffa5; -webkit-text-stroke: 0.1575px rgba(0, 0, 0, 0);"&gt;&lt;/span&gt;&lt;span style="display: inline-block;"&gt;ets&lt;/span&gt;&lt;span style="word-spacing: 0px; letter-spacing: 0.0315px; display: inline-block; margin-left: 0px; width: 176.01px; font-size: 10.5px; font-family: ffa5; -webkit-text-stroke: 0.1575px rgba(0, 0, 0, 0);"&gt;&lt;span style="display: inline-block;"&gt; &lt;/span&gt;&lt;/span&gt;&lt;/span&gt;&lt;span class="pp-font-color-override-1" style="position: absolute; display: inline-block; left: 280.746px; top: 81.8691px; width: 79.9922px; white-space: pre; word-spacing: 0.273px; letter-spacing: -0.273px; margin-left: 0px; font-size: 10.5px; font-family: ffa5; -webkit-text-stroke: 0.1575px rgba(0, 0, 0, 0);"&gt;&lt;span style="display: inline-block;"&gt;1&lt;/span&gt;&lt;span style="word-spacing: 0.273px; letter-spacing: -0.273px; display: inline-block; margin-left: 0px; width: 0.410156px; font-size: 10.5px; font-family: ffa5; -webkit-text-stroke: 0.1575px rgba(0, 0, 0, 0);"&gt;&lt;/span&gt;&lt;span style="display: inline-block;"&gt;8&lt;/span&gt;&lt;span style="word-spacing: 0.273px; letter-spacing: -0.273px; display: inline-block; margin-left: 0px; width: 0.410156px; font-size: 10.5px; font-family: ffa5; -webkit-text-stroke: 0.1575px rgba(0, 0, 0, 0);"&gt;&lt;/span&gt;&lt;span style="display: inline-block;"&gt;,7&lt;/span&gt;&lt;span style="word-spacing: 0.273px; letter-spacing: -0.273px; display: inline-block; margin-left: 0px; width: 0.410156px; font-size: 10.5px; font-family: ffa5; -webkit-text-stroke: 0.1575px rgba(0, 0, 0, 0);"&gt;&lt;/span&gt;&lt;span style="display: inline-block;"&gt;0&lt;/span&gt;&lt;span style="word-spacing: 0.273px; letter-spacing: -0.273px; display: inline-block; margin-left: 0px; width: 0.410156px; font-size: 10.5px; font-family: ffa5; -webkit-text-stroke: 0.1575px rgba(0, 0, 0, 0);"&gt;&lt;/span&gt;&lt;span style="display: inline-block;"&gt;6&lt;/span&gt;&lt;span style="word-spacing: 0.273px; letter-spacing: -0.273px; display: inline-block; margin-left: 0px; width: 51.0998px; font-size: 10.5px; font-family: ffa5; -webkit-text-stroke: 0.1575px rgba(0, 0, 0, 0);"&gt;&lt;span style="display: inline-block;"&gt;&lt;span style="width: 2.625px; display: inline-block;"&gt; &lt;/span&gt;&lt;/span&gt;&lt;/span&gt;&lt;/span&gt;&lt;span class="pp-font-color-override-1" style="position: absolute; display: inline-block; left: 360.738px; top: 81.8691px; width: 84.7148px; white-space: pre; word-spacing: 0.147px; letter-spacing: -0.147px; margin-left: 0px; font-size: 10.5px; font-family: ffa5; -webkit-text-stroke: 0.1575px rgba(0, 0, 0, 0);"&gt;&lt;span style="display: inline-block;"&gt;13&lt;/span&gt;&lt;span style="word-spacing: 0.147px; letter-spacing: -0.147px; display: inline-block; margin-left: 0px; width: 0.410156px; font-size: 10.5px; font-family: ffa5; -webkit-text-stroke: 0.1575px rgba(0, 0, 0, 0);"&gt;&lt;/span&gt;&lt;span style="display: inline-block;"&gt;,&lt;/span&gt;&lt;span style="word-spacing: 0.147px; letter-spacing: -0.147px; display: inline-block; margin-left: 0px; width: 0.410156px; font-size: 10.5px; font-family: ffa5; -webkit-text-stroke: 0.1575px rgba(0, 0, 0, 0);"&gt;&lt;/span&gt;&lt;span style="display: inline-block;"&gt;3&lt;/span&gt;&lt;span style="word-spacing: 0.147px; letter-spacing: -0.147px; display: inline-block; margin-left: 0px; width: 0.410156px; font-size: 10.5px; font-family: ffa5; -webkit-text-stroke: 0.1575px rgba(0, 0, 0, 0);"&gt;&lt;/span&gt;&lt;span style="display: inline-block;"&gt;0&lt;/span&gt;&lt;span style="word-spacing: 0.147px; letter-spacing: -0.147px; display: inline-block; margin-left: 0px; width: 0.410156px; font-size: 10.5px; font-family: ffa5; -webkit-text-stroke: 0.1575px rgba(0, 0, 0, 0);"&gt;&lt;/span&gt;&lt;span style="display: inline-block;"&gt;2&lt;/span&gt;&lt;span style="word-spacing: 0.147px; letter-spacing: -0.147px; display: inline-block; margin-left: 0px; width: 55.0781px; font-size: 10.5px; font-family: ffa5; -webkit-text-stroke: 0.1575px rgba(0, 0, 0, 0);"&gt;&lt;span style="display: inline-block;"&gt;&lt;span style="width: 2.625px; display: inline-block;"&gt; &lt;/span&gt;&lt;/span&gt;&lt;/span&gt;&lt;/span&gt;&lt;span class="pp-font-color-override-1" style="position: absolute; display: inline-block; left: 445.453px; top: 81.8691px; width: 259.799px; white-space: pre; word-spacing: -0.1365px; letter-spacing: 0.1365px; margin-left: 0px; font-size: 10.5px; font-family: ffa5; -webkit-text-stroke: 0.1575px rgba(0, 0, 0, 0);"&gt;&lt;span style="display: inline-block;"&gt;3,56&lt;/span&gt;&lt;span style="word-spacing: -0.1365px; letter-spacing: 0.1365px; display: inline-block; margin-left: 0px; width: 0.410156px; font-size: 10.5px; font-family: ffa5; -webkit-text-stroke: 0.1575px rgba(0, 0, 0, 0);"&gt;&lt;/span&gt;&lt;span style="display: inline-block;"&gt;4&lt;/span&gt;&lt;span style="word-spacing: -0.1365px; letter-spacing: 0.1365px; display: inline-block; margin-left: 0px; width: 43.4355px; font-size: 10.5px; font-family: ffa5; -webkit-text-stroke: 0.1575px rgba(0, 0, 0, 0);"&gt;&lt;span style="display: inline-block;"&gt; &lt;/span&gt;&lt;/span&gt;&lt;span class="pp-font-color-override-1" style="word-spacing: -0.2415px; letter-spacing: 0.2415px; display: inline-block; margin-left: 0px; font-size: 10.5px; font-family: ffa5; -webkit-text-stroke: 0.1575px rgba(0, 0, 0, 0);"&gt;&lt;span style="display: inline-block;"&gt;18,81&lt;/span&gt;&lt;span style="word-spacing: -0.2415px; letter-spacing: 0.2415px; display: inline-block; margin-left: -0.684px; width: 0px; font-size: 10.5px; font-family: ffa5; -webkit-text-stroke: 0.1575px rgba(0, 0, 0, 0);"&gt;&lt;/span&gt;&lt;span style="display: inline-block;"&gt;0&lt;/span&gt;&lt;span style="word-spacing: -0.2415px; letter-spacing: 0.2415px; display: inline-block; margin-left: 0px; width: 51.8966px; font-size: 10.5px; font-family: ffa5; -webkit-text-stroke: 0.1575px rgba(0, 0, 0, 0);"&gt;&lt;span style="display: inline-block;"&gt; &lt;/span&gt;&lt;/span&gt;&lt;span class="pp-font-color-override-1" style="word-spacing: 0.21px; letter-spacing: -0.21px; display: inline-block; margin-left: 0px; font-size: 10.5px; font-family: ffa5; -webkit-text-stroke: 0.1575px rgba(0, 0, 0, 0);"&gt;&lt;span style="display: inline-block;"&gt;12&lt;/span&gt;&lt;span style="word-spacing: 0.21px; letter-spacing: -0.21px; display: inline-block; margin-left: 0px; width: 0.410156px; font-size: 10.5px; font-family: ffa5; -webkit-text-stroke: 0.1575px rgba(0, 0, 0, 0);"&gt;&lt;/span&gt;&lt;span style="display: inline-block;"&gt;,&lt;/span&gt;&lt;span style="word-spacing: 0.21px; letter-spacing: -0.21px; display: inline-block; margin-left: 0px; width: 0.410156px; font-size: 10.5px; font-family: ffa5; -webkit-text-stroke: 0.1575px rgba(0, 0, 0, 0);"&gt;&lt;/span&gt;&lt;span style="display: inline-block;"&gt;9&lt;/span&gt;&lt;span style="word-spacing: 0.21px; letter-spacing: -0.21px; display: inline-block; margin-left: 0px; width: 0.410156px; font-size: 10.5px; font-family: ffa5; -webkit-text-stroke: 0.1575px rgba(0, 0, 0, 0);"&gt;&lt;/span&gt;&lt;span style="display: inline-block;"&gt;07&lt;/span&gt;&lt;span style="word-spacing: 0.21px; letter-spacing: -0.21px; display: inline-block; margin-left: 0px; width: 56.3846px; font-size: 10.5px; font-family: ffa5; -webkit-text-stroke: 0.1575px rgba(0, 0, 0, 0);"&gt;&lt;span style="display: inline-block;"&gt;&lt;span style="width: 2.625px; display: inline-block;"&gt; &lt;/span&gt;&lt;/span&gt;&lt;/span&gt;&lt;/span&gt;&lt;span style="display: inline-block;"&gt;3,837&lt;/span&gt;&lt;/span&gt;&lt;/span&gt;&lt;span class="pp-font-color-override-1" style="position: absolute; display: inline-block; left: 0px; top: 98.3203px; width: 281.525px; white-space: pre; word-spacing: 0px; letter-spacing: 0.0315px; margin-left: 0px; font-size: 10.5px; font-family: ffa4; -webkit-text-stroke: 0.1575px rgba(0, 0, 0, 0);"&gt;&lt;span style="display: inline-block;"&gt;Fun&lt;/span&gt;&lt;span style="word-spacing: 0px; letter-spacing: 0.0315px; display: inline-block; margin-left: 0px; width: 0.410156px; font-size: 10.5px; font-family: ffa4; -webkit-text-stroke: 0.1575px rgba(0, 0, 0, 0);"&gt;&lt;/span&gt;&lt;span style="display: inline-block;"&gt;de&lt;/span&gt;&lt;span style="word-spacing: 0px; letter-spacing: 0.0315px; display: inline-block; margin-left: 0px; width: 0.410156px; font-size: 10.5px; font-family: ffa4; -webkit-text-stroke: 0.1575px rgba(0, 0, 0, 0);"&gt;&lt;/span&gt;&lt;span style="display: inline-block;"&gt;d st&lt;/span&gt;&lt;span style="word-spacing: 0px; letter-spacing: 0.0315px; display: inline-block; margin-left: 0px; width: 0.410156px; font-size: 10.5px; font-family: ffa4; -webkit-text-stroke: 0.1575px rgba(0, 0, 0, 0);"&gt;&lt;/span&gt;&lt;span style="display: inline-block;"&gt;at&lt;/span&gt;&lt;span style="word-spacing: 0px; letter-spacing: 0.0315px; display: inline-block; margin-left: 0px; width: 0.410156px; font-size: 10.5px; font-family: ffa4; -webkit-text-stroke: 0.1575px rgba(0, 0, 0, 0);"&gt;&lt;/span&gt;&lt;span style="display: inline-block;"&gt;us&lt;/span&gt;&lt;span style="word-spacing: 0px; letter-spacing: 0.0315px; display: inline-block; margin-left: 0px; width: 221.414px; font-size: 10.5px; font-family: ffa4; -webkit-text-stroke: 0.1575px rgba(0, 0, 0, 0);"&gt;&lt;span style="display: inline-block;"&gt; &lt;/span&gt;&lt;/span&gt;&lt;/span&gt;&lt;span class="pp-font-color-override-1" style="position: absolute; display: inline-block; left: 281.525px; top: 98.3203px; width: 79.7402px; white-space: pre; word-spacing: -0.1155px; letter-spacing: 0.1155px; margin-left: 0px; font-size: 10.5px; font-family: ffa4; -webkit-text-stroke: 0.1575px rgba(0, 0, 0, 0);"&gt;&lt;span style="display: inline-block;"&gt;5,853&lt;/span&gt;&lt;span style="word-spacing: -0.1155px; letter-spacing: 0.1155px; display: inli</t>
  </si>
  <si>
    <t>f1__s8__6__26</t>
  </si>
  <si>
    <t>ifrs-full:DescriptionOfAccountingPolicyForForeignCurrencyTranslationExplanatory</t>
  </si>
  <si>
    <t>f1__s8__6__261</t>
  </si>
  <si>
    <t>ifrs-full:DisclosureOfProvisionsExplanatory</t>
  </si>
  <si>
    <t>&lt;span style="display:inherit;clear:left;"&gt;NOT&lt;span class="_ _7"&gt;&lt;/span&gt;E 23&lt;/span&gt;&lt;span style="display:inherit;clear:left;"&gt;CURRENT AND OTHE&lt;span class="_ _2"&gt;&lt;/span&gt;R NON&lt;span class="_ _7"&gt;&lt;/span&gt;–&lt;span class="_ _7"&gt;&lt;/span&gt;CURRENT &lt;span class="ls3 ws3"&gt; &lt;/span&gt;&lt;/span&gt;&lt;span style="display:inherit;clear:left;"&gt;PR&lt;span class="_ _7"&gt;&lt;/span&gt;OVI&lt;span class="_ _7"&gt;&lt;/span&gt;S&lt;span class="_ _7"&gt;&lt;/span&gt;I&lt;span class="_ _7"&gt;&lt;/span&gt;ON&lt;span class="_ _7"&gt;&lt;/span&gt;S&lt;/span&gt;&lt;span style="display:inherit;clear:left;"&gt;ACCOUNTING&lt;span class="_ _2"&gt;&lt;/span&gt; POLICIES&lt;/span&gt;&lt;span style="display:inherit;clear:left;"&gt;Provisions&lt;/span&gt;&lt;span style="display:inherit;clear:left;"&gt;Pro&lt;span class="_ _7"&gt;&lt;/span&gt;vi&lt;span class="_ _7"&gt;&lt;/span&gt;si&lt;span class="_ _7"&gt;&lt;/span&gt;on&lt;span class="_ _7"&gt;&lt;/span&gt;s are r&lt;span class="_ _7"&gt;&lt;/span&gt;ec&lt;span class="_ _7"&gt;&lt;/span&gt;og&lt;span class="_ _7"&gt;&lt;/span&gt;ni&lt;span class="_ _7"&gt;&lt;/span&gt;se&lt;span class="_ _7"&gt;&lt;/span&gt;d on th&lt;span class="_ _7"&gt;&lt;/span&gt;e b&lt;span class="_ _7"&gt;&lt;/span&gt;al&lt;span class="_ _7"&gt;&lt;/span&gt;anc&lt;span class="_ _7"&gt;&lt;/span&gt;e sh&lt;span class="_ _7"&gt;&lt;/span&gt;ee&lt;span class="_ _7"&gt;&lt;/span&gt;t wh&lt;span class="_ _7"&gt;&lt;/span&gt;en a le&lt;span class="_ _7"&gt;&lt;/span&gt;ga&lt;span class="_ _7"&gt;&lt;/span&gt;l or c&lt;span class="_ _7"&gt;&lt;/span&gt;on-&lt;/span&gt;&lt;span style="display:inherit;clear:left;"&gt;st&lt;span class="_ _7"&gt;&lt;/span&gt;ru&lt;span class="_ _7"&gt;&lt;/span&gt;cti&lt;span class="_ _7"&gt;&lt;/span&gt;ve o&lt;span class="_ _7"&gt;&lt;/span&gt;bli&lt;span class="_ _7"&gt;&lt;/span&gt;gat&lt;span class="_ _7"&gt;&lt;/span&gt;io&lt;span class="_ _7"&gt;&lt;/span&gt;n exi&lt;span class="_ _7"&gt;&lt;/span&gt;st&lt;span class="_ _7"&gt;&lt;/span&gt;s a&lt;span class="_ _7"&gt;&lt;/span&gt;s a re&lt;span class="_ _7"&gt;&lt;/span&gt;su&lt;span class="_ _7"&gt;&lt;/span&gt;lt of a p&lt;span class="_ _7"&gt;&lt;/span&gt;as&lt;span class="_ _7"&gt;&lt;/span&gt;t eve&lt;span class="_ _7"&gt;&lt;/span&gt;nt&lt;span class="_ _7"&gt;&lt;/span&gt;, it is d&lt;span class="_ _7"&gt;&lt;/span&gt;ee&lt;span class="_ _7"&gt;&lt;/span&gt;me&lt;span class="_ _7"&gt;&lt;/span&gt;d &lt;/span&gt;&lt;span style="display:inherit;clear:left;"&gt;mo&lt;span class="_ _7"&gt;&lt;/span&gt;re li&lt;span class="_ _7"&gt;&lt;/span&gt;kely th&lt;span class="_ _7"&gt;&lt;/span&gt;an n&lt;span class="_ _7"&gt;&lt;/span&gt;ot th&lt;span class="_ _7"&gt;&lt;/span&gt;at an o&lt;span class="_ _7"&gt;&lt;/span&gt;ut&lt;span class="_ _7"&gt;&lt;/span&gt;f&lt;span class="_ _7"&gt;&lt;/span&gt;low o&lt;span class="_ _7"&gt;&lt;/span&gt;f re&lt;span class="_ _7"&gt;&lt;/span&gt;s&lt;span class="_ _7"&gt;&lt;/span&gt;ou&lt;span class="_ _7"&gt;&lt;/span&gt;rce&lt;span class="_ _7"&gt;&lt;/span&gt;s wi&lt;span class="_ _7"&gt;&lt;/span&gt;ll b&lt;span class="_ _7"&gt;&lt;/span&gt;e re&lt;span class="_ _7"&gt;&lt;/span&gt;qu&lt;span class="_ _7"&gt;&lt;/span&gt;ire&lt;span class="_ _7"&gt;&lt;/span&gt;d &lt;/span&gt;&lt;span style="display:inherit;clear:left;"&gt;to se&lt;span class="_ _7"&gt;&lt;/span&gt;t&lt;span class="_ _7"&gt;&lt;/span&gt;tle th&lt;span class="_ _7"&gt;&lt;/span&gt;e ob&lt;span class="_ _7"&gt;&lt;/span&gt;lig&lt;span class="_ _7"&gt;&lt;/span&gt;at&lt;span class="_ _7"&gt;&lt;/span&gt;ion a&lt;span class="_ _7"&gt;&lt;/span&gt;nd t&lt;span class="_ _7"&gt;&lt;/span&gt;he am&lt;span class="_ _7"&gt;&lt;/span&gt;ou&lt;span class="_ _7"&gt;&lt;/span&gt;nt c&lt;span class="_ _7"&gt;&lt;/span&gt;an b&lt;span class="_ _7"&gt;&lt;/span&gt;e re&lt;span class="_ _7"&gt;&lt;/span&gt;lia&lt;span class="_ _7"&gt;&lt;/span&gt;bly e&lt;span class="_ _7"&gt;&lt;/span&gt;s&lt;span class="_ _7"&gt;&lt;/span&gt;tim&lt;span class="_ _7"&gt;&lt;/span&gt;ate&lt;span class="_ _7"&gt;&lt;/span&gt;d. &lt;/span&gt;&lt;span style="display:inherit;clear:left;"&gt;Pro&lt;span class="_ _7"&gt;&lt;/span&gt;vi&lt;span class="_ _7"&gt;&lt;/span&gt;si&lt;span class="_ _7"&gt;&lt;/span&gt;on&lt;span class="_ _7"&gt;&lt;/span&gt;s are t&lt;span class="_ _7"&gt;&lt;/span&gt;y&lt;span class="_ _7"&gt;&lt;/span&gt;pi&lt;span class="_ _7"&gt;&lt;/span&gt;ca&lt;span class="_ _7"&gt;&lt;/span&gt;lly s&lt;span class="_ _7"&gt;&lt;/span&gt;et&lt;span class="_ _7"&gt;&lt;/span&gt;t&lt;span class="_ _7"&gt;&lt;/span&gt;led w&lt;span class="_ _7"&gt;&lt;/span&gt;ith&lt;span class="_ _7"&gt;&lt;/span&gt;in 2–&lt;span class="_ _7"&gt;&lt;/span&gt;3 yea&lt;span class="_ _7"&gt;&lt;/span&gt;rs&lt;span class="_ _7"&gt;&lt;/span&gt;. &lt;/span&gt;&lt;span style="display:inherit;clear:left;"&gt;Warranties&lt;/span&gt;&lt;span style="display:inherit;clear:left;"&gt;Warr&lt;span class="_ _7"&gt;&lt;/span&gt;an&lt;span class="_ _7"&gt;&lt;/span&gt;t&lt;span class="_ _7"&gt;&lt;/span&gt;y pro&lt;span class="_ _7"&gt;&lt;/span&gt;vi&lt;span class="_ _7"&gt;&lt;/span&gt;si&lt;span class="_ _7"&gt;&lt;/span&gt;on&lt;span class="_ _7"&gt;&lt;/span&gt;s in&lt;span class="_ _7"&gt;&lt;/span&gt;clud&lt;span class="_ _7"&gt;&lt;/span&gt;e Volvo C&lt;span class="_ _7"&gt;&lt;/span&gt;ar Gr&lt;span class="_ _7"&gt;&lt;/span&gt;ou&lt;span class="_ _7"&gt;&lt;/span&gt;p’s cos&lt;span class="_ _7"&gt;&lt;/span&gt;t of s&lt;span class="_ _7"&gt;&lt;/span&gt;at&lt;span class="_ _7"&gt;&lt;/span&gt;is&lt;span class="_ _7"&gt;&lt;/span&gt;f&lt;span class="_ _7"&gt;&lt;/span&gt;y&lt;span class="_ _7"&gt;&lt;/span&gt;in&lt;span class="_ _7"&gt;&lt;/span&gt;g the &lt;/span&gt;&lt;span style="display:inherit;clear:left;"&gt;cus&lt;span class="_ _7"&gt;&lt;/span&gt;to&lt;span class="_ _7"&gt;&lt;/span&gt;me&lt;span class="_ _7"&gt;&lt;/span&gt;rs w&lt;span class="_ _7"&gt;&lt;/span&gt;ith s&lt;span class="_ _7"&gt;&lt;/span&gt;p&lt;span class="_ _7"&gt;&lt;/span&gt;eci&lt;span class="_ _7"&gt;&lt;/span&gt;f&lt;span class="_ _7"&gt;&lt;/span&gt;ic c&lt;span class="_ _7"&gt;&lt;/span&gt;ont&lt;span class="_ _7"&gt;&lt;/span&gt;ra&lt;span class="_ _7"&gt;&lt;/span&gt;ctu&lt;span class="_ _7"&gt;&lt;/span&gt;al w&lt;span class="_ _7"&gt;&lt;/span&gt;ar&lt;span class="_ _7"&gt;&lt;/span&gt;ra&lt;span class="_ _7"&gt;&lt;/span&gt;nti&lt;span class="_ _7"&gt;&lt;/span&gt;es&lt;span class="_ _7"&gt;&lt;/span&gt;, as w&lt;span class="_ _7"&gt;&lt;/span&gt;el&lt;span class="_ _7"&gt;&lt;/span&gt;l as ot&lt;span class="_ _7"&gt;&lt;/span&gt;he&lt;span class="_ _7"&gt;&lt;/span&gt;r &lt;/span&gt;&lt;span style="display:inherit;clear:left;"&gt;costs not cover&lt;span class="_ _2"&gt;&lt;/span&gt;ed by standard contractual&lt;span class="_ _2"&gt;&lt;/span&gt; commitments. All war&lt;span class="_ _6"&gt;&lt;/span&gt;&lt;span class="ls3 ws3"&gt;-&lt;/span&gt;&lt;/span&gt;&lt;span style="display:inherit;clear:left;"&gt;ra&lt;span class="_ _7"&gt;&lt;/span&gt;nt&lt;span class="_ _7"&gt;&lt;/span&gt;y pr&lt;span class="_ _7"&gt;&lt;/span&gt;ovi&lt;span class="_ _7"&gt;&lt;/span&gt;si&lt;span class="_ _7"&gt;&lt;/span&gt;on&lt;span class="_ _7"&gt;&lt;/span&gt;s ar&lt;span class="_ _7"&gt;&lt;/span&gt;e re&lt;span class="_ _7"&gt;&lt;/span&gt;cog&lt;span class="_ _7"&gt;&lt;/span&gt;ni&lt;span class="_ _7"&gt;&lt;/span&gt;s&lt;span class="_ _7"&gt;&lt;/span&gt;ed at t&lt;span class="_ _7"&gt;&lt;/span&gt;he s&lt;span class="_ _7"&gt;&lt;/span&gt;al&lt;span class="_ _7"&gt;&lt;/span&gt;e of th&lt;span class="_ _7"&gt;&lt;/span&gt;e veh&lt;span class="_ _7"&gt;&lt;/span&gt;ic&lt;span class="_ _7"&gt;&lt;/span&gt;le&lt;span class="_ _7"&gt;&lt;/span&gt;s or sp&lt;span class="_ _7"&gt;&lt;/span&gt;ar&lt;span class="_ _7"&gt;&lt;/span&gt;e &lt;/span&gt;&lt;span style="display:inherit;clear:left;"&gt;pa&lt;span class="_ _7"&gt;&lt;/span&gt;r&lt;span class="_ _7"&gt;&lt;/span&gt;ts&lt;span class="_ _7"&gt;&lt;/span&gt;. T&lt;span class="_ _7"&gt;&lt;/span&gt;he in&lt;span class="_ _7"&gt;&lt;/span&gt;iti&lt;span class="_ _7"&gt;&lt;/span&gt;al c&lt;span class="_ _7"&gt;&lt;/span&gt;al&lt;span class="_ _7"&gt;&lt;/span&gt;cul&lt;span class="_ _7"&gt;&lt;/span&gt;ati&lt;span class="_ _7"&gt;&lt;/span&gt;on&lt;span class="_ _7"&gt;&lt;/span&gt;s of t&lt;span class="_ _7"&gt;&lt;/span&gt;he r&lt;span class="_ _7"&gt;&lt;/span&gt;es&lt;span class="_ _7"&gt;&lt;/span&gt;er&lt;span class="_ _9"&gt;&lt;/span&gt;ves a&lt;span class="_ _7"&gt;&lt;/span&gt;re b&lt;span class="_ _7"&gt;&lt;/span&gt;as&lt;span class="_ _7"&gt;&lt;/span&gt;ed o&lt;span class="_ _7"&gt;&lt;/span&gt;n hi&lt;span class="_ _7"&gt;&lt;/span&gt;sto&lt;span class="_ _7"&gt;&lt;/span&gt;ri&lt;span class="_ _7"&gt;&lt;/span&gt;ca&lt;span class="_ _7"&gt;&lt;/span&gt;l &lt;/span&gt;&lt;span style="display:inherit;clear:left;"&gt;warranty statistics considering known&lt;span class="_ _2"&gt;&lt;/span&gt; qualit&lt;span class="_ _7"&gt;&lt;/span&gt;y impro&lt;span class="_ _2"&gt;&lt;/span&gt;vements&lt;span class="_ _7"&gt;&lt;/span&gt;, costs &lt;/span&gt;&lt;span style="display:inherit;clear:left;"&gt;for r&lt;span class="_ _7"&gt;&lt;/span&gt;em&lt;span class="_ _7"&gt;&lt;/span&gt;ed&lt;span class="_ _7"&gt;&lt;/span&gt;y of d&lt;span class="_ _7"&gt;&lt;/span&gt;ef&lt;span class="_ _7"&gt;&lt;/span&gt;au&lt;span class="_ _7"&gt;&lt;/span&gt;lts e&lt;span class="_ _7"&gt;&lt;/span&gt;tc. T&lt;span class="_ _7"&gt;&lt;/span&gt;he wa&lt;span class="_ _7"&gt;&lt;/span&gt;rr&lt;span class="_ _7"&gt;&lt;/span&gt;an&lt;span class="_ _7"&gt;&lt;/span&gt;t&lt;span class="_ _7"&gt;&lt;/span&gt;y pro&lt;span class="_ _7"&gt;&lt;/span&gt;vi&lt;span class="_ _7"&gt;&lt;/span&gt;si&lt;span class="_ _7"&gt;&lt;/span&gt;on b&lt;span class="_ _7"&gt;&lt;/span&gt;oo&lt;span class="_ _7"&gt;&lt;/span&gt;ked at p&lt;span class="_ _7"&gt;&lt;/span&gt;oi&lt;span class="_ _7"&gt;&lt;/span&gt;nt &lt;/span&gt;&lt;span style="display:inherit;clear:left;"&gt;of s&lt;span class="_ _7"&gt;&lt;/span&gt;al&lt;span class="_ _7"&gt;&lt;/span&gt;e is a&lt;span class="_ _7"&gt;&lt;/span&gt;dju&lt;span class="_ _7"&gt;&lt;/span&gt;st&lt;span class="_ _7"&gt;&lt;/span&gt;ed a&lt;span class="_ _7"&gt;&lt;/span&gt;s ca&lt;span class="_ _7"&gt;&lt;/span&gt;mp&lt;span class="_ _7"&gt;&lt;/span&gt;aig&lt;span class="_ _7"&gt;&lt;/span&gt;n de&lt;span class="_ _7"&gt;&lt;/span&gt;ci&lt;span class="_ _7"&gt;&lt;/span&gt;si&lt;span class="_ _7"&gt;&lt;/span&gt;ons f&lt;span class="_ _7"&gt;&lt;/span&gt;or s&lt;span class="_ _7"&gt;&lt;/span&gt;pe&lt;span class="_ _7"&gt;&lt;/span&gt;ci&lt;span class="_ _7"&gt;&lt;/span&gt;fi&lt;span class="_ _7"&gt;&lt;/span&gt;c qu&lt;span class="_ _7"&gt;&lt;/span&gt;ali&lt;span class="_ _7"&gt;&lt;/span&gt;t&lt;span class="_ _7"&gt;&lt;/span&gt;y pr&lt;span class="_ _7"&gt;&lt;/span&gt;ob-&lt;/span&gt;&lt;span style="display:inherit;clear:left;"&gt;lem&lt;span class="_ _7"&gt;&lt;/span&gt;s ar&lt;span class="_ _7"&gt;&lt;/span&gt;e ma&lt;span class="_ _7"&gt;&lt;/span&gt;de. O&lt;span class="_ _7"&gt;&lt;/span&gt;n a qu&lt;span class="_ _7"&gt;&lt;/span&gt;ar&lt;span class="_ _7"&gt;&lt;/span&gt;te&lt;span class="_ _7"&gt;&lt;/span&gt;rly b&lt;span class="_ _7"&gt;&lt;/span&gt;as&lt;span class="_ _7"&gt;&lt;/span&gt;is t&lt;span class="_ _7"&gt;&lt;/span&gt;he p&lt;span class="_ _7"&gt;&lt;/span&gt;rov&lt;span class="_ _7"&gt;&lt;/span&gt;is&lt;span class="_ _7"&gt;&lt;/span&gt;io&lt;span class="_ _7"&gt;&lt;/span&gt;ns a&lt;span class="_ _7"&gt;&lt;/span&gt;re ad&lt;span class="_ _7"&gt;&lt;/span&gt;ju&lt;span class="_ _7"&gt;&lt;/span&gt;st&lt;span class="_ _7"&gt;&lt;/span&gt;ed to &lt;/span&gt;&lt;span style="display:inherit;clear:left;"&gt;re&lt;span class="_ _7"&gt;&lt;/span&gt;fle&lt;span class="_ _7"&gt;&lt;/span&gt;ct l&lt;span class="_ _7"&gt;&lt;/span&gt;at&lt;span class="_ _7"&gt;&lt;/span&gt;es&lt;span class="_ _7"&gt;&lt;/span&gt;t ava&lt;span class="_ _7"&gt;&lt;/span&gt;il&lt;span class="_ _7"&gt;&lt;/span&gt;ab&lt;span class="_ _7"&gt;&lt;/span&gt;le da&lt;span class="_ _7"&gt;&lt;/span&gt;ta s&lt;span class="_ _7"&gt;&lt;/span&gt;uc&lt;span class="_ _7"&gt;&lt;/span&gt;h as ac&lt;span class="_ _7"&gt;&lt;/span&gt;tu&lt;span class="_ _7"&gt;&lt;/span&gt;al s&lt;span class="_ _7"&gt;&lt;/span&gt;pe&lt;span class="_ _7"&gt;&lt;/span&gt;nd&lt;span class="_ _7"&gt;&lt;/span&gt;, exch&lt;span class="_ _7"&gt;&lt;/span&gt;ang&lt;span class="_ _7"&gt;&lt;/span&gt;e ra&lt;span class="_ _7"&gt;&lt;/span&gt;tes&lt;span class="_ _7"&gt;&lt;/span&gt;, &lt;/span&gt;&lt;span style="display:inherit;clear:left;"&gt;di&lt;span class="_ _7"&gt;&lt;/span&gt;sc&lt;span class="_ _7"&gt;&lt;/span&gt;ou&lt;span class="_ _7"&gt;&lt;/span&gt;nt ra&lt;span class="_ _7"&gt;&lt;/span&gt;te&lt;span class="_ _7"&gt;&lt;/span&gt;s etc&lt;span class="_ _7"&gt;&lt;/span&gt;. Th&lt;span class="_ _7"&gt;&lt;/span&gt;e pro&lt;span class="_ _7"&gt;&lt;/span&gt;vi&lt;span class="_ _7"&gt;&lt;/span&gt;si&lt;span class="_ _7"&gt;&lt;/span&gt;on&lt;span class="_ _7"&gt;&lt;/span&gt;s are r&lt;span class="_ _7"&gt;&lt;/span&gt;ed&lt;span class="_ _7"&gt;&lt;/span&gt;uc&lt;span class="_ _7"&gt;&lt;/span&gt;ed by v&lt;span class="_ _7"&gt;&lt;/span&gt;ir&lt;span class="_ _7"&gt;&lt;/span&gt;t&lt;span class="_ _7"&gt;&lt;/span&gt;ual&lt;span class="_ _7"&gt;&lt;/span&gt;ly ce&lt;span class="_ _7"&gt;&lt;/span&gt;r&lt;span class="_ _7"&gt;&lt;/span&gt;ta&lt;span class="_ _7"&gt;&lt;/span&gt;in &lt;/span&gt;&lt;span style="display:inherit;clear:left;"&gt;warranty reimbursements from suppliers. Generally&lt;span class="_ _2"&gt;&lt;/span&gt;, warranty provi&lt;span class="_ _2"&gt;&lt;/span&gt;&lt;span class="ls3 ws3"&gt;-&lt;/span&gt;&lt;/span&gt;&lt;span style="display:inherit;clear:left;"&gt;si&lt;span class="_ _7"&gt;&lt;/span&gt;on&lt;span class="_ _7"&gt;&lt;/span&gt;s are s&lt;span class="_ _7"&gt;&lt;/span&gt;et&lt;span class="_ _7"&gt;&lt;/span&gt;t&lt;span class="_ _7"&gt;&lt;/span&gt;led w&lt;span class="_ _7"&gt;&lt;/span&gt;ith&lt;span class="_ _7"&gt;&lt;/span&gt;in 2–&lt;span class="_ _7"&gt;&lt;/span&gt;4 ye&lt;span class="_ _7"&gt;&lt;/span&gt;ar&lt;span class="_ _7"&gt;&lt;/span&gt;s&lt;span class="_ _7"&gt;&lt;/span&gt;, pr&lt;span class="_ _7"&gt;&lt;/span&gt;ovi&lt;span class="_ _7"&gt;&lt;/span&gt;si&lt;span class="_ _7"&gt;&lt;/span&gt;on&lt;span class="_ _7"&gt;&lt;/span&gt;s fo&lt;span class="_ _7"&gt;&lt;/span&gt;r bat&lt;span class="_ _7"&gt;&lt;/span&gt;te&lt;span class="_ _7"&gt;&lt;/span&gt;r&lt;span class="_ _7"&gt;&lt;/span&gt;y wa&lt;span class="_ _7"&gt;&lt;/span&gt;rr&lt;span class="_ _7"&gt;&lt;/span&gt;an&lt;span class="_ _7"&gt;&lt;/span&gt;tie&lt;span class="_ _7"&gt;&lt;/span&gt;s &lt;/span&gt;&lt;span style="display:inherit;clear:left;"&gt;&lt;span&gt;&lt;span style="display:inherit;clear:left;"&gt;are t&lt;span class="_ _7"&gt;&lt;/span&gt;y&lt;span class="_ _7"&gt;&lt;/span&gt;pi&lt;span class="_ _7"&gt;&lt;/span&gt;c&lt;span class="_ _7"&gt;&lt;/span&gt;ally s&lt;span class="_ _7"&gt;&lt;/span&gt;et&lt;span class="_ _7"&gt;&lt;/span&gt;t&lt;span class="_ _7"&gt;&lt;/span&gt;led w&lt;span class="_ _7"&gt;&lt;/span&gt;ith&lt;span class="_ _7"&gt;&lt;/span&gt;in 8 ye&lt;span class="_ _7"&gt;&lt;/span&gt;ar&lt;span class="_ _7"&gt;&lt;/span&gt;s&lt;span class="_ _7"&gt;&lt;/span&gt;.&lt;/span&gt;&lt;/span&gt; &lt;/span&gt;&lt;span style="display:inherit;clear:left;"&gt;CRITICAL A&lt;span class="_ _2"&gt;&lt;/span&gt;CC&lt;span class="_ _7"&gt;&lt;/span&gt;OUNTING ESTIMA&lt;span class="_ _6"&gt;&lt;/span&gt;TES AND JUDGEMENTS&lt;/span&gt;&lt;span style="display:inherit;clear:left;"&gt;Provisions&lt;/span&gt;&lt;span style="display:inherit;clear:left;"&gt;Th&lt;span class="_ _7"&gt;&lt;/span&gt;e amo&lt;span class="_ _7"&gt;&lt;/span&gt;unt r&lt;span class="_ _7"&gt;&lt;/span&gt;ec&lt;span class="_ _7"&gt;&lt;/span&gt;og&lt;span class="_ _7"&gt;&lt;/span&gt;ni&lt;span class="_ _7"&gt;&lt;/span&gt;se&lt;span class="_ _7"&gt;&lt;/span&gt;d as p&lt;span class="_ _7"&gt;&lt;/span&gt;rov&lt;span class="_ _7"&gt;&lt;/span&gt;i&lt;span class="_ _7"&gt;&lt;/span&gt;sio&lt;span class="_ _7"&gt;&lt;/span&gt;n is t&lt;span class="_ _7"&gt;&lt;/span&gt;he b&lt;span class="_ _7"&gt;&lt;/span&gt;es&lt;span class="_ _7"&gt;&lt;/span&gt;t e&lt;span class="_ _7"&gt;&lt;/span&gt;s&lt;span class="_ _7"&gt;&lt;/span&gt;tim&lt;span class="_ _7"&gt;&lt;/span&gt;ate o&lt;span class="_ _7"&gt;&lt;/span&gt;f the &lt;/span&gt;&lt;span style="display:inherit;clear:left;"&gt;exp&lt;span class="_ _7"&gt;&lt;/span&gt;en&lt;span class="_ _7"&gt;&lt;/span&gt;di&lt;span class="_ _7"&gt;&lt;/span&gt;tur&lt;span class="_ _7"&gt;&lt;/span&gt;e re&lt;span class="_ _7"&gt;&lt;/span&gt;qui&lt;span class="_ _7"&gt;&lt;/span&gt;re&lt;span class="_ _7"&gt;&lt;/span&gt;d to s&lt;span class="_ _7"&gt;&lt;/span&gt;et&lt;span class="_ _7"&gt;&lt;/span&gt;tle t&lt;span class="_ _7"&gt;&lt;/span&gt;he p&lt;span class="_ _7"&gt;&lt;/span&gt;re&lt;span class="_ _7"&gt;&lt;/span&gt;se&lt;span class="_ _7"&gt;&lt;/span&gt;nt ob&lt;span class="_ _7"&gt;&lt;/span&gt;lig&lt;span class="_ _7"&gt;&lt;/span&gt;at&lt;span class="_ _7"&gt;&lt;/span&gt;io&lt;span class="_ _7"&gt;&lt;/span&gt;n at th&lt;span class="_ _7"&gt;&lt;/span&gt;e ba&lt;span class="_ _7"&gt;&lt;/span&gt;la&lt;span class="_ _7"&gt;&lt;/span&gt;nce &lt;/span&gt;&lt;span style="display:inherit;clear:left;"&gt;sh&lt;span class="_ _7"&gt;&lt;/span&gt;ee&lt;span class="_ _7"&gt;&lt;/span&gt;t date&lt;span class="_ _7"&gt;&lt;/span&gt;. Pr&lt;span class="_ _7"&gt;&lt;/span&gt;ovi&lt;span class="_ _7"&gt;&lt;/span&gt;si&lt;span class="_ _7"&gt;&lt;/span&gt;on&lt;span class="_ _7"&gt;&lt;/span&gt;s ar&lt;span class="_ _7"&gt;&lt;/span&gt;e reg&lt;span class="_ _7"&gt;&lt;/span&gt;ul&lt;span class="_ _7"&gt;&lt;/span&gt;ar&lt;span class="_ _7"&gt;&lt;/span&gt;ly re&lt;span class="_ _7"&gt;&lt;/span&gt;vi&lt;span class="_ _7"&gt;&lt;/span&gt;ewe&lt;span class="_ _7"&gt;&lt;/span&gt;d and a&lt;span class="_ _7"&gt;&lt;/span&gt;dj&lt;span class="_ _7"&gt;&lt;/span&gt;us&lt;span class="_ _7"&gt;&lt;/span&gt;te&lt;span class="_ _7"&gt;&lt;/span&gt;d as f&lt;span class="_ _7"&gt;&lt;/span&gt;ur&lt;span class="_ _7"&gt;&lt;/span&gt;th&lt;span class="_ _7"&gt;&lt;/span&gt;er &lt;/span&gt;&lt;span style="display:inherit;clear:left;"&gt;inf&lt;span class="_ _7"&gt;&lt;/span&gt;or&lt;span class="_ _7"&gt;&lt;/span&gt;ma&lt;span class="_ _7"&gt;&lt;/span&gt;tio&lt;span class="_ _7"&gt;&lt;/span&gt;n be&lt;span class="_ _7"&gt;&lt;/span&gt;co&lt;span class="_ _7"&gt;&lt;/span&gt;me&lt;span class="_ _7"&gt;&lt;/span&gt;s ava&lt;span class="_ _7"&gt;&lt;/span&gt;il&lt;span class="_ _7"&gt;&lt;/span&gt;ab&lt;span class="_ _7"&gt;&lt;/span&gt;le or c&lt;span class="_ _7"&gt;&lt;/span&gt;irc&lt;span class="_ _7"&gt;&lt;/span&gt;um&lt;span class="_ _7"&gt;&lt;/span&gt;st&lt;span class="_ _7"&gt;&lt;/span&gt;an&lt;span class="_ _7"&gt;&lt;/span&gt;ce&lt;span class="_ _7"&gt;&lt;/span&gt;s ch&lt;span class="_ _7"&gt;&lt;/span&gt;ang&lt;span class="_ _7"&gt;&lt;/span&gt;e. If t&lt;span class="_ _7"&gt;&lt;/span&gt;he &lt;/span&gt;&lt;span style="display:inherit;clear:left;"&gt;ef&lt;span class="_ _9"&gt;&lt;/span&gt;fec&lt;span class="_ _7"&gt;&lt;/span&gt;t of th&lt;span class="_ _7"&gt;&lt;/span&gt;e tim&lt;span class="_ _7"&gt;&lt;/span&gt;e va&lt;span class="_ _7"&gt;&lt;/span&gt;lue o&lt;span class="_ _7"&gt;&lt;/span&gt;f mo&lt;span class="_ _7"&gt;&lt;/span&gt;ney i&lt;span class="_ _7"&gt;&lt;/span&gt;s ma&lt;span class="_ _7"&gt;&lt;/span&gt;ter&lt;span class="_ _7"&gt;&lt;/span&gt;ia&lt;span class="_ _7"&gt;&lt;/span&gt;l, n&lt;span class="_ _7"&gt;&lt;/span&gt;on-cu&lt;span class="_ _7"&gt;&lt;/span&gt;rr&lt;span class="_ _7"&gt;&lt;/span&gt;en&lt;span class="_ _7"&gt;&lt;/span&gt;t pro&lt;span class="_ _7"&gt;&lt;/span&gt;vi&lt;span class="_ _7"&gt;&lt;/span&gt;si&lt;span class="_ _7"&gt;&lt;/span&gt;on&lt;span class="_ _7"&gt;&lt;/span&gt;s &lt;/span&gt;&lt;span style="display:inherit;clear:left;"&gt;are r&lt;span class="_ _7"&gt;&lt;/span&gt;ec&lt;span class="_ _7"&gt;&lt;/span&gt;og&lt;span class="_ _7"&gt;&lt;/span&gt;ni&lt;span class="_ _7"&gt;&lt;/span&gt;se&lt;span class="_ _7"&gt;&lt;/span&gt;d at p&lt;span class="_ _7"&gt;&lt;/span&gt;re&lt;span class="_ _7"&gt;&lt;/span&gt;se&lt;span class="_ _7"&gt;&lt;/span&gt;nt va&lt;span class="_ _7"&gt;&lt;/span&gt;lue b&lt;span class="_ _7"&gt;&lt;/span&gt;y di&lt;span class="_ _7"&gt;&lt;/span&gt;sc&lt;span class="_ _7"&gt;&lt;/span&gt;ou&lt;span class="_ _7"&gt;&lt;/span&gt;ntin&lt;span class="_ _7"&gt;&lt;/span&gt;g the ex&lt;span class="_ _7"&gt;&lt;/span&gt;p&lt;span class="_ _7"&gt;&lt;/span&gt;ec&lt;span class="_ _7"&gt;&lt;/span&gt;ted f&lt;span class="_ _7"&gt;&lt;/span&gt;ut&lt;span class="_ _7"&gt;&lt;/span&gt;ur&lt;span class="_ _7"&gt;&lt;/span&gt;e &lt;/span&gt;&lt;span style="display:inherit;clear:left;"&gt;ca&lt;span class="_ _7"&gt;&lt;/span&gt;sh f&lt;span class="_ _7"&gt;&lt;/span&gt;low&lt;span class="_ _7"&gt;&lt;/span&gt;s at a p&lt;span class="_ _7"&gt;&lt;/span&gt;re-ta&lt;span class="_ _7"&gt;&lt;/span&gt;x ra&lt;span class="_ _7"&gt;&lt;/span&gt;te re&lt;span class="_ _7"&gt;&lt;/span&gt;fle&lt;span class="_ _7"&gt;&lt;/span&gt;c&lt;span class="_ _7"&gt;&lt;/span&gt;ting c&lt;span class="_ _7"&gt;&lt;/span&gt;ur&lt;span class="_ _7"&gt;&lt;/span&gt;ren&lt;span class="_ _7"&gt;&lt;/span&gt;t ma&lt;span class="_ _7"&gt;&lt;/span&gt;rket a&lt;span class="_ _7"&gt;&lt;/span&gt;s&lt;span class="_ _7"&gt;&lt;/span&gt;se&lt;span class="_ _7"&gt;&lt;/span&gt;s&lt;span class="_ _7"&gt;&lt;/span&gt;s&lt;span class="_ _7"&gt;&lt;/span&gt;me&lt;span class="_ _7"&gt;&lt;/span&gt;nt&lt;span class="_ _7"&gt;&lt;/span&gt;s &lt;/span&gt;&lt;span style="display:inherit;clear:left;"&gt;of th&lt;span class="_ _7"&gt;&lt;/span&gt;e tim&lt;span class="_ _7"&gt;&lt;/span&gt;e va&lt;span class="_ _7"&gt;&lt;/span&gt;lue o&lt;span class="_ _7"&gt;&lt;/span&gt;f mo&lt;span class="_ _7"&gt;&lt;/span&gt;ney. Th&lt;span class="_ _7"&gt;&lt;/span&gt;e di&lt;span class="_ _7"&gt;&lt;/span&gt;sc&lt;span class="_ _7"&gt;&lt;/span&gt;ou&lt;span class="_ _7"&gt;&lt;/span&gt;nt ra&lt;span class="_ _7"&gt;&lt;/span&gt;te do&lt;span class="_ _7"&gt;&lt;/span&gt;e&lt;span class="_ _7"&gt;&lt;/span&gt;s not r&lt;span class="_ _7"&gt;&lt;/span&gt;ef&lt;span class="_ _7"&gt;&lt;/span&gt;le&lt;span class="_ _7"&gt;&lt;/span&gt;ct s&lt;span class="_ _7"&gt;&lt;/span&gt;uch &lt;/span&gt;&lt;span style="display:inherit;clear:left;"&gt;ri&lt;span class="_ _7"&gt;&lt;/span&gt;sk&lt;span class="_ _7"&gt;&lt;/span&gt;s tha&lt;span class="_ _7"&gt;&lt;/span&gt;t are t&lt;span class="_ _7"&gt;&lt;/span&gt;ake&lt;span class="_ _7"&gt;&lt;/span&gt;n into c&lt;span class="_ _7"&gt;&lt;/span&gt;on&lt;span class="_ _7"&gt;&lt;/span&gt;si&lt;span class="_ _7"&gt;&lt;/span&gt;de&lt;span class="_ _7"&gt;&lt;/span&gt;ra&lt;span class="_ _7"&gt;&lt;/span&gt;tio&lt;span class="_ _7"&gt;&lt;/span&gt;n in th&lt;span class="_ _7"&gt;&lt;/span&gt;e e&lt;span class="_ _7"&gt;&lt;/span&gt;st&lt;span class="_ _7"&gt;&lt;/span&gt;ima&lt;span class="_ _7"&gt;&lt;/span&gt;ted f&lt;span class="_ _7"&gt;&lt;/span&gt;ut&lt;span class="_ _7"&gt;&lt;/span&gt;ur&lt;span class="_ _7"&gt;&lt;/span&gt;e ca&lt;span class="_ _7"&gt;&lt;/span&gt;sh &lt;/span&gt;&lt;span style="display:inherit;clear:left;"&gt;flo&lt;span class="_ _7"&gt;&lt;/span&gt;w. Revi&lt;span class="_ _7"&gt;&lt;/span&gt;si&lt;span class="_ _7"&gt;&lt;/span&gt;on&lt;span class="_ _7"&gt;&lt;/span&gt;s of e&lt;span class="_ _7"&gt;&lt;/span&gt;s&lt;span class="_ _7"&gt;&lt;/span&gt;tim&lt;span class="_ _7"&gt;&lt;/span&gt;ate&lt;span class="_ _7"&gt;&lt;/span&gt;d c&lt;span class="_ _7"&gt;&lt;/span&gt;as&lt;span class="_ _7"&gt;&lt;/span&gt;h flo&lt;span class="_ _7"&gt;&lt;/span&gt;ws&lt;span class="_ _7"&gt;&lt;/span&gt;, b&lt;span class="_ _7"&gt;&lt;/span&gt;oth am&lt;span class="_ _7"&gt;&lt;/span&gt;ou&lt;span class="_ _7"&gt;&lt;/span&gt;nt an&lt;span class="_ _7"&gt;&lt;/span&gt;d li&lt;span class="_ _7"&gt;&lt;/span&gt;keli&lt;span class="_ _7"&gt;&lt;/span&gt;ho&lt;span class="_ _7"&gt;&lt;/span&gt;od&lt;span class="_ _7"&gt;&lt;/span&gt;, &lt;/span&gt;&lt;span style="display:inherit;clear:left;"&gt;are r&lt;span class="_ _7"&gt;&lt;/span&gt;ec&lt;span class="_ _7"&gt;&lt;/span&gt;og&lt;span class="_ _7"&gt;&lt;/span&gt;ni&lt;span class="_ _7"&gt;&lt;/span&gt;se&lt;span class="_ _7"&gt;&lt;/span&gt;d as o&lt;span class="_ _7"&gt;&lt;/span&gt;pe&lt;span class="_ _7"&gt;&lt;/span&gt;ra&lt;span class="_ _7"&gt;&lt;/span&gt;tin&lt;span class="_ _7"&gt;&lt;/span&gt;g co&lt;span class="_ _7"&gt;&lt;/span&gt;st&lt;span class="_ _7"&gt;&lt;/span&gt;. &lt;/span&gt;&lt;span style="display:inherit;clear:left;"&gt;Cha&lt;span class="_ _7"&gt;&lt;/span&gt;nge&lt;span class="_ _7"&gt;&lt;/span&gt;s to p&lt;span class="_ _7"&gt;&lt;/span&gt;re&lt;span class="_ _7"&gt;&lt;/span&gt;se&lt;span class="_ _7"&gt;&lt;/span&gt;nt va&lt;span class="_ _7"&gt;&lt;/span&gt;lue d&lt;span class="_ _7"&gt;&lt;/span&gt;ue to t&lt;span class="_ _7"&gt;&lt;/span&gt;he p&lt;span class="_ _7"&gt;&lt;/span&gt;as&lt;span class="_ _7"&gt;&lt;/span&gt;s&lt;span class="_ _7"&gt;&lt;/span&gt;ag&lt;span class="_ _7"&gt;&lt;/span&gt;e of ti&lt;span class="_ _7"&gt;&lt;/span&gt;me a&lt;span class="_ _7"&gt;&lt;/span&gt;nd re&lt;span class="_ _7"&gt;&lt;/span&gt;vi&lt;span class="_ _7"&gt;&lt;/span&gt;si&lt;span class="_ _7"&gt;&lt;/span&gt;on&lt;span class="_ _7"&gt;&lt;/span&gt;s &lt;/span&gt;&lt;span style="display:inherit;clear:left;"&gt;of di&lt;span class="_ _7"&gt;&lt;/span&gt;s&lt;span class="_ _7"&gt;&lt;/span&gt;co&lt;span class="_ _7"&gt;&lt;/span&gt;unt r&lt;span class="_ _7"&gt;&lt;/span&gt;ate&lt;span class="_ _7"&gt;&lt;/span&gt;s to r&lt;span class="_ _7"&gt;&lt;/span&gt;ef&lt;span class="_ _7"&gt;&lt;/span&gt;le&lt;span class="_ _7"&gt;&lt;/span&gt;ct p&lt;span class="_ _7"&gt;&lt;/span&gt;rev&lt;span class="_ _7"&gt;&lt;/span&gt;ail&lt;span class="_ _7"&gt;&lt;/span&gt;ing cu&lt;span class="_ _7"&gt;&lt;/span&gt;rr&lt;span class="_ _7"&gt;&lt;/span&gt;ent m&lt;span class="_ _7"&gt;&lt;/span&gt;ar&lt;span class="_ _7"&gt;&lt;/span&gt;ket c&lt;span class="_ _7"&gt;&lt;/span&gt;ond&lt;span class="_ _7"&gt;&lt;/span&gt;it&lt;span class="_ _7"&gt;&lt;/span&gt;ion&lt;span class="_ _7"&gt;&lt;/span&gt;s ar&lt;span class="_ _7"&gt;&lt;/span&gt;e &lt;/span&gt;&lt;span style="display:inherit;clear:left;"&gt;re&lt;span class="_ _7"&gt;&lt;/span&gt;cog&lt;span class="_ _7"&gt;&lt;/span&gt;ni&lt;span class="_ _7"&gt;&lt;/span&gt;s&lt;span class="_ _7"&gt;&lt;/span&gt;ed a&lt;span class="_ _7"&gt;&lt;/span&gt;s a fi&lt;span class="_ _7"&gt;&lt;/span&gt;nan&lt;span class="_ _7"&gt;&lt;/span&gt;ci&lt;span class="_ _7"&gt;&lt;/span&gt;al co&lt;span class="_ _7"&gt;&lt;/span&gt;s&lt;span class="_ _7"&gt;&lt;/span&gt;t. &lt;/span&gt;&lt;span style="display:inherit;clear:left;"&gt;Th&lt;span class="_ _7"&gt;&lt;/span&gt;ere i&lt;span class="_ _7"&gt;&lt;/span&gt;s alw&lt;span class="_ _7"&gt;&lt;/span&gt;ays a r&lt;span class="_ _7"&gt;&lt;/span&gt;is&lt;span class="_ _7"&gt;&lt;/span&gt;k for c&lt;span class="_ _7"&gt;&lt;/span&gt;ha&lt;span class="_ _7"&gt;&lt;/span&gt;ngi&lt;span class="_ _7"&gt;&lt;/span&gt;ng go&lt;span class="_ _7"&gt;&lt;/span&gt;ver&lt;span class="_ _7"&gt;&lt;/span&gt;nm&lt;span class="_ _7"&gt;&lt;/span&gt;ent&lt;span class="_ _7"&gt;&lt;/span&gt;al r&lt;span class="_ _7"&gt;&lt;/span&gt;eg&lt;span class="_ _7"&gt;&lt;/span&gt;ul&lt;span class="_ _7"&gt;&lt;/span&gt;ati&lt;span class="_ _7"&gt;&lt;/span&gt;on&lt;span class="_ _7"&gt;&lt;/span&gt;s an&lt;span class="_ _7"&gt;&lt;/span&gt;d &lt;/span&gt;&lt;span style="display:inherit;clear:left;"&gt;cha&lt;span class="_ _7"&gt;&lt;/span&gt;nge&lt;span class="_ _7"&gt;&lt;/span&gt;s in e&lt;span class="_ _7"&gt;&lt;/span&gt;nv&lt;span class="_ _7"&gt;&lt;/span&gt;iro&lt;span class="_ _7"&gt;&lt;/span&gt;nm&lt;span class="_ _7"&gt;&lt;/span&gt;ent&lt;span class="_ _7"&gt;&lt;/span&gt;al p&lt;span class="_ _7"&gt;&lt;/span&gt;ol&lt;span class="_ _7"&gt;&lt;/span&gt;ici&lt;span class="_ _7"&gt;&lt;/span&gt;e&lt;span class="_ _7"&gt;&lt;/span&gt;s af&lt;span class="_ _7"&gt;&lt;/span&gt;f&lt;span class="_ _7"&gt;&lt;/span&gt;ec&lt;span class="_ _7"&gt;&lt;/span&gt;tin&lt;span class="_ _7"&gt;&lt;/span&gt;g our b&lt;span class="_ _7"&gt;&lt;/span&gt;us&lt;span class="_ _7"&gt;&lt;/span&gt;in&lt;span class="_ _7"&gt;&lt;/span&gt;e&lt;span class="_ _7"&gt;&lt;/span&gt;s&lt;span class="_ _7"&gt;&lt;/span&gt;s as we&lt;span class="_ _7"&gt;&lt;/span&gt;ll a&lt;span class="_ _7"&gt;&lt;/span&gt;s &lt;/span&gt;&lt;span style="display:inherit;clear:left;"&gt;acc&lt;span class="_ _7"&gt;&lt;/span&gt;ou&lt;span class="_ _7"&gt;&lt;/span&gt;nti&lt;span class="_ _7"&gt;&lt;/span&gt;ng e&lt;span class="_ _7"&gt;&lt;/span&gt;st&lt;span class="_ _7"&gt;&lt;/span&gt;ima&lt;span class="_ _7"&gt;&lt;/span&gt;te&lt;span class="_ _7"&gt;&lt;/span&gt;s and j&lt;span class="_ _7"&gt;&lt;/span&gt;ud&lt;span class="_ _7"&gt;&lt;/span&gt;gem&lt;span class="_ _7"&gt;&lt;/span&gt;en&lt;span class="_ _7"&gt;&lt;/span&gt;ts r&lt;span class="_ _7"&gt;&lt;/span&gt;el&lt;span class="_ _7"&gt;&lt;/span&gt;ate&lt;span class="_ _7"&gt;&lt;/span&gt;d to cl&lt;span class="_ _7"&gt;&lt;/span&gt;ima&lt;span class="_ _7"&gt;&lt;/span&gt;te re&lt;span class="_ _7"&gt;&lt;/span&gt;gu&lt;span class="_ _7"&gt;&lt;/span&gt;la&lt;span class="_ _7"&gt;&lt;/span&gt;tio&lt;span class="_ _7"&gt;&lt;/span&gt;n. &lt;/span&gt;&lt;span style="display:inherit;clear:left;"&gt;Ba&lt;span class="_ _7"&gt;&lt;/span&gt;se&lt;span class="_ _7"&gt;&lt;/span&gt;d on o&lt;span class="_ _7"&gt;&lt;/span&gt;ur p&lt;span class="_ _7"&gt;&lt;/span&gt;er&lt;span class="_ _9"&gt;&lt;/span&gt;for&lt;span class="_ _7"&gt;&lt;/span&gt;man&lt;span class="_ _7"&gt;&lt;/span&gt;ce t&lt;span class="_ _7"&gt;&lt;/span&gt;o date&lt;span class="_ _7"&gt;&lt;/span&gt;, cu&lt;span class="_ _7"&gt;&lt;/span&gt;rre&lt;span class="_ _7"&gt;&lt;/span&gt;nt p&lt;span class="_ _7"&gt;&lt;/span&gt;ro&lt;span class="_ _7"&gt;&lt;/span&gt;duc&lt;span class="_ _7"&gt;&lt;/span&gt;t an&lt;span class="_ _7"&gt;&lt;/span&gt;d vo&lt;span class="_ _7"&gt;&lt;/span&gt;lum&lt;span class="_ _7"&gt;&lt;/span&gt;e &lt;/span&gt;&lt;span style="display:inherit;clear:left;"&gt;pl&lt;span class="_ _7"&gt;&lt;/span&gt;an&lt;span class="_ _7"&gt;&lt;/span&gt;s an&lt;span class="_ _7"&gt;&lt;/span&gt;d cur&lt;span class="_ _7"&gt;&lt;/span&gt;re&lt;span class="_ _7"&gt;&lt;/span&gt;nt kn&lt;span class="_ _7"&gt;&lt;/span&gt;ow&lt;span class="_ _7"&gt;&lt;/span&gt;led&lt;span class="_ _7"&gt;&lt;/span&gt;ge o&lt;span class="_ _7"&gt;&lt;/span&gt;f glo&lt;span class="_ _7"&gt;&lt;/span&gt;ba&lt;span class="_ _7"&gt;&lt;/span&gt;l em&lt;span class="_ _7"&gt;&lt;/span&gt;is&lt;span class="_ _7"&gt;&lt;/span&gt;s&lt;span class="_ _7"&gt;&lt;/span&gt;ion&lt;span class="_ _7"&gt;&lt;/span&gt;s re&lt;span class="_ _7"&gt;&lt;/span&gt;gu&lt;span class="_ _7"&gt;&lt;/span&gt;la&lt;span class="_ _7"&gt;&lt;/span&gt;tio&lt;span class="_ _7"&gt;&lt;/span&gt;ns&lt;span class="_ _7"&gt;&lt;/span&gt;, Volvo &lt;/span&gt;&lt;span style="display:inherit;clear:left;"&gt;Ca&lt;span class="_ _7"&gt;&lt;/span&gt;r Gro&lt;span class="_ _7"&gt;&lt;/span&gt;up d&lt;span class="_ _7"&gt;&lt;/span&gt;oe&lt;span class="_ _7"&gt;&lt;/span&gt;s no&lt;span class="_ _7"&gt;&lt;/span&gt;t for&lt;span class="_ _7"&gt;&lt;/span&gt;e&lt;span class="_ _7"&gt;&lt;/span&gt;se&lt;span class="_ _7"&gt;&lt;/span&gt;e any s&lt;span class="_ _7"&gt;&lt;/span&gt;ig&lt;span class="_ _7"&gt;&lt;/span&gt;ni&lt;span class="_ _7"&gt;&lt;/span&gt;fi&lt;span class="_ _7"&gt;&lt;/span&gt;ca&lt;span class="_ _7"&gt;&lt;/span&gt;nt f&lt;span class="_ _7"&gt;&lt;/span&gt;ina&lt;span class="_ _7"&gt;&lt;/span&gt;nc&lt;span class="_ _7"&gt;&lt;/span&gt;ial r&lt;span class="_ _7"&gt;&lt;/span&gt;is&lt;span class="_ _7"&gt;&lt;/span&gt;ks o&lt;span class="_ _7"&gt;&lt;/span&gt;r ju&lt;span class="_ _7"&gt;&lt;/span&gt;dg-&lt;/span&gt;&lt;span style="display:inherit;clear:left;"&gt;me&lt;span class="_ _7"&gt;&lt;/span&gt;nta&lt;span class="_ _7"&gt;&lt;/span&gt;l ac&lt;span class="_ _7"&gt;&lt;/span&gt;co&lt;span class="_ _7"&gt;&lt;/span&gt;unti&lt;span class="_ _7"&gt;&lt;/span&gt;ng i&lt;span class="_ _7"&gt;&lt;/span&gt;s&lt;span class="_ _7"&gt;&lt;/span&gt;su&lt;span class="_ _7"&gt;&lt;/span&gt;es s&lt;span class="_ _7"&gt;&lt;/span&gt;ho&lt;span class="_ _7"&gt;&lt;/span&gt;r&lt;span class="_ _7"&gt;&lt;/span&gt;t to mi&lt;span class="_ _7"&gt;&lt;/span&gt;d-&lt;span class="_ _2"&gt;&lt;/span&gt;te&lt;span class="_ _7"&gt;&lt;/span&gt;rm r&lt;span class="_ _7"&gt;&lt;/span&gt;el&lt;span class="_ _7"&gt;&lt;/span&gt;ate&lt;span class="_ _7"&gt;&lt;/span&gt;d to n&lt;span class="_ _7"&gt;&lt;/span&gt;ot me&lt;span class="_ _7"&gt;&lt;/span&gt;et&lt;span class="_ _7"&gt;&lt;/span&gt;ing &lt;/span&gt;&lt;span style="display:inherit;clear:left;"&gt;global, regional or&lt;span class="_ _2"&gt;&lt;/span&gt; national CO&lt;/span&gt;&lt;span style="display:inherit;clear:left;"&gt; emissions regulations.&lt;/span&gt;&lt;span style="display:inherit;clear:left;"&gt;2&lt;/span&gt;&lt;span style="display:inherit;clear:left;"&gt;Warranties&lt;span class="_ _2"&gt;&lt;/span&gt; &lt;/span&gt;&lt;span style="display:inherit;clear:left;"&gt;The recognition&lt;span class="_ _2"&gt;&lt;/span&gt; and measurement of pro&lt;span class="_ _2"&gt;&lt;/span&gt;visions for product warran&lt;span class="_ _2"&gt;&lt;/span&gt;&lt;span class="ls3 ws3"&gt;-&lt;/span&gt;&lt;/span&gt;&lt;span style="display:inherit;clear:left;"&gt;tie&lt;span class="_ _7"&gt;&lt;/span&gt;s i&lt;span class="_ _7"&gt;&lt;/span&gt;s gen&lt;span class="_ _7"&gt;&lt;/span&gt;er&lt;span class="_ _7"&gt;&lt;/span&gt;al&lt;span class="_ _7"&gt;&lt;/span&gt;ly co&lt;span class="_ _7"&gt;&lt;/span&gt;nne&lt;span class="_ _7"&gt;&lt;/span&gt;ct&lt;span class="_ _7"&gt;&lt;/span&gt;ed w&lt;span class="_ _7"&gt;&lt;/span&gt;ith e&lt;span class="_ _7"&gt;&lt;/span&gt;s&lt;span class="_ _7"&gt;&lt;/span&gt;tim&lt;span class="_ _7"&gt;&lt;/span&gt;ate&lt;span class="_ _7"&gt;&lt;/span&gt;s&lt;span class="_ _7"&gt;&lt;/span&gt;. Es&lt;span class="_ _7"&gt;&lt;/span&gt;ti&lt;span class="_ _7"&gt;&lt;/span&gt;ma&lt;span class="_ _7"&gt;&lt;/span&gt;ted c&lt;span class="_ _7"&gt;&lt;/span&gt;os&lt;span class="_ _7"&gt;&lt;/span&gt;t&lt;span class="_ _7"&gt;&lt;/span&gt;s for &lt;/span&gt;&lt;span style="display:inherit;clear:left;"&gt;pro&lt;span class="_ _7"&gt;&lt;/span&gt;du&lt;span class="_ _7"&gt;&lt;/span&gt;ct w&lt;span class="_ _7"&gt;&lt;/span&gt;ar&lt;span class="_ _7"&gt;&lt;/span&gt;ra&lt;span class="_ _7"&gt;&lt;/span&gt;nti&lt;span class="_ _7"&gt;&lt;/span&gt;es a&lt;span class="_ _7"&gt;&lt;/span&gt;re ch&lt;span class="_ _7"&gt;&lt;/span&gt;ar&lt;span class="_ _7"&gt;&lt;/span&gt;ge&lt;span class="_ _7"&gt;&lt;/span&gt;d to co&lt;span class="_ _7"&gt;&lt;/span&gt;s&lt;span class="_ _7"&gt;&lt;/span&gt;t of s&lt;span class="_ _7"&gt;&lt;/span&gt;ale&lt;span class="_ _7"&gt;&lt;/span&gt;s w&lt;span class="_ _7"&gt;&lt;/span&gt;hen t&lt;span class="_ _7"&gt;&lt;/span&gt;he p&lt;span class="_ _7"&gt;&lt;/span&gt;ro&lt;span class="_ _7"&gt;&lt;/span&gt;duc&lt;span class="_ _7"&gt;&lt;/span&gt;t&lt;span class="_ _7"&gt;&lt;/span&gt;s &lt;/span&gt;&lt;span style="display:inherit;clear:left;"&gt;are sold. Estimated warrant&lt;span class="_ _7"&gt;&lt;/span&gt;y cos&lt;span class="_ _7"&gt;&lt;/span&gt;ts include contractual warrant&lt;span class="_ _7"&gt;&lt;/span&gt;y,&lt;span class="_ _2"&gt;&lt;/span&gt; &lt;/span&gt;&lt;span style="display:inherit;clear:left;"&gt;war&lt;span class="_ _7"&gt;&lt;/span&gt;ra&lt;span class="_ _7"&gt;&lt;/span&gt;nt&lt;span class="_ _7"&gt;&lt;/span&gt;y c&lt;span class="_ _7"&gt;&lt;/span&gt;amp&lt;span class="_ _7"&gt;&lt;/span&gt;ai&lt;span class="_ _7"&gt;&lt;/span&gt;gn&lt;span class="_ _7"&gt;&lt;/span&gt;s (rec&lt;span class="_ _7"&gt;&lt;/span&gt;al&lt;span class="_ _7"&gt;&lt;/span&gt;ls a&lt;span class="_ _7"&gt;&lt;/span&gt;nd b&lt;span class="_ _7"&gt;&lt;/span&gt;uy-ba&lt;span class="_ _7"&gt;&lt;/span&gt;ck&lt;span class="_ _7"&gt;&lt;/span&gt;s) and co&lt;span class="_ _7"&gt;&lt;/span&gt;ver&lt;span class="_ _7"&gt;&lt;/span&gt;age i&lt;span class="_ _7"&gt;&lt;/span&gt;n exce&lt;span class="_ _7"&gt;&lt;/span&gt;s&lt;span class="_ _7"&gt;&lt;/span&gt;s &lt;/span&gt;&lt;span style="display:inherit;clear:left;"&gt;of c&lt;span class="_ _7"&gt;&lt;/span&gt;ont&lt;span class="_ _7"&gt;&lt;/span&gt;ra&lt;span class="_ _7"&gt;&lt;/span&gt;ctu&lt;span class="_ _7"&gt;&lt;/span&gt;al w&lt;span class="_ _7"&gt;&lt;/span&gt;ar&lt;span class="_ _7"&gt;&lt;/span&gt;ra&lt;span class="_ _7"&gt;&lt;/span&gt;nt&lt;span class="_ _7"&gt;&lt;/span&gt;y or c&lt;span class="_ _7"&gt;&lt;/span&gt;am&lt;span class="_ _7"&gt;&lt;/span&gt;pa&lt;span class="_ _7"&gt;&lt;/span&gt;ign&lt;span class="_ _7"&gt;&lt;/span&gt;s&lt;span class="_ _7"&gt;&lt;/span&gt;, wh&lt;span class="_ _7"&gt;&lt;/span&gt;ich i&lt;span class="_ _7"&gt;&lt;/span&gt;s ac&lt;span class="_ _7"&gt;&lt;/span&gt;ce&lt;span class="_ _7"&gt;&lt;/span&gt;pte&lt;span class="_ _7"&gt;&lt;/span&gt;d as a m&lt;span class="_ _7"&gt;&lt;/span&gt;at&lt;span class="_ _7"&gt;&lt;/span&gt;ter &lt;/span&gt;&lt;span style="display:inherit;clear:left;"&gt;of p&lt;span class="_ _7"&gt;&lt;/span&gt;oli&lt;span class="_ _7"&gt;&lt;/span&gt;cy o&lt;span class="_ _7"&gt;&lt;/span&gt;r no&lt;span class="_ _7"&gt;&lt;/span&gt;rm&lt;span class="_ _7"&gt;&lt;/span&gt;al pr&lt;span class="_ _7"&gt;&lt;/span&gt;ac&lt;span class="_ _7"&gt;&lt;/span&gt;ti&lt;span class="_ _7"&gt;&lt;/span&gt;ce i&lt;span class="_ _7"&gt;&lt;/span&gt;n ord&lt;span class="_ _7"&gt;&lt;/span&gt;er to m&lt;span class="_ _7"&gt;&lt;/span&gt;ai&lt;span class="_ _7"&gt;&lt;/span&gt;nt&lt;span class="_ _7"&gt;&lt;/span&gt;ain a g&lt;span class="_ _7"&gt;&lt;/span&gt;oo&lt;span class="_ _7"&gt;&lt;/span&gt;d bu&lt;span class="_ _7"&gt;&lt;/span&gt;si&lt;span class="_ _7"&gt;&lt;/span&gt;ne&lt;span class="_ _7"&gt;&lt;/span&gt;s&lt;span class="_ _7"&gt;&lt;/span&gt;s &lt;/span&gt;&lt;span style="display:inherit;clear:left;"&gt;re&lt;span class="_ _7"&gt;&lt;/span&gt;lat&lt;span class="_ _7"&gt;&lt;/span&gt;io&lt;span class="_ _7"&gt;&lt;/span&gt;n wit&lt;span class="_ _7"&gt;&lt;/span&gt;h the c&lt;span class="_ _7"&gt;&lt;/span&gt;us&lt;span class="_ _7"&gt;&lt;/span&gt;to&lt;span class="_ _7"&gt;&lt;/span&gt;mer. Warr&lt;span class="_ _7"&gt;&lt;/span&gt;ant&lt;span class="_ _7"&gt;&lt;/span&gt;y p&lt;span class="_ _7"&gt;&lt;/span&gt;rov&lt;span class="_ _7"&gt;&lt;/span&gt;i&lt;span class="_ _7"&gt;&lt;/span&gt;sio&lt;span class="_ _7"&gt;&lt;/span&gt;ns a&lt;span class="_ _7"&gt;&lt;/span&gt;re e&lt;span class="_ _7"&gt;&lt;/span&gt;s&lt;span class="_ _7"&gt;&lt;/span&gt;tim&lt;span class="_ _7"&gt;&lt;/span&gt;ate&lt;span class="_ _7"&gt;&lt;/span&gt;d ba&lt;span class="_ _7"&gt;&lt;/span&gt;s&lt;span class="_ _7"&gt;&lt;/span&gt;ed &lt;/span&gt;&lt;span style="display:inherit;clear:left;"&gt;on hi&lt;span class="_ _7"&gt;&lt;/span&gt;s&lt;span class="_ _7"&gt;&lt;/span&gt;tor&lt;span class="_ _7"&gt;&lt;/span&gt;ic&lt;span class="_ _7"&gt;&lt;/span&gt;al c&lt;span class="_ _7"&gt;&lt;/span&gt;la&lt;span class="_ _7"&gt;&lt;/span&gt;ims s&lt;span class="_ _7"&gt;&lt;/span&gt;t&lt;span class="_ _7"&gt;&lt;/span&gt;ati&lt;span class="_ _7"&gt;&lt;/span&gt;s&lt;span class="_ _7"&gt;&lt;/span&gt;tic&lt;span class="_ _7"&gt;&lt;/span&gt;s an&lt;span class="_ _7"&gt;&lt;/span&gt;d th&lt;span class="_ _7"&gt;&lt;/span&gt;e war&lt;span class="_ _7"&gt;&lt;/span&gt;r&lt;span class="_ _7"&gt;&lt;/span&gt;ant&lt;span class="_ _7"&gt;&lt;/span&gt;y p&lt;span class="_ _7"&gt;&lt;/span&gt;er&lt;span class="_ _7"&gt;&lt;/span&gt;io&lt;span class="_ _7"&gt;&lt;/span&gt;d. Q&lt;span class="_ _7"&gt;&lt;/span&gt;ua&lt;span class="_ _7"&gt;&lt;/span&gt;li&lt;span class="_ _7"&gt;&lt;/span&gt;t&lt;span class="_ _7"&gt;&lt;/span&gt;y ind&lt;span class="_ _7"&gt;&lt;/span&gt;ex &lt;/span&gt;&lt;span style="display:inherit;clear:left;"&gt;imp&lt;span class="_ _7"&gt;&lt;/span&gt;rov&lt;span class="_ _7"&gt;&lt;/span&gt;eme&lt;span class="_ _7"&gt;&lt;/span&gt;nt&lt;span class="_ _7"&gt;&lt;/span&gt;s ba&lt;span class="_ _7"&gt;&lt;/span&gt;s&lt;span class="_ _7"&gt;&lt;/span&gt;ed o&lt;span class="_ _7"&gt;&lt;/span&gt;n hi&lt;span class="_ _7"&gt;&lt;/span&gt;sto&lt;span class="_ _7"&gt;&lt;/span&gt;ri&lt;span class="_ _7"&gt;&lt;/span&gt;ca&lt;span class="_ _7"&gt;&lt;/span&gt;l pa&lt;span class="_ _7"&gt;&lt;/span&gt;t&lt;span class="_ _7"&gt;&lt;/span&gt;ter&lt;span class="_ _7"&gt;&lt;/span&gt;ns h&lt;span class="_ _7"&gt;&lt;/span&gt;ave b&lt;span class="_ _7"&gt;&lt;/span&gt;ee&lt;span class="_ _7"&gt;&lt;/span&gt;n re&lt;span class="_ _7"&gt;&lt;/span&gt;fle&lt;span class="_ _7"&gt;&lt;/span&gt;ct&lt;span class="_ _7"&gt;&lt;/span&gt;ed i&lt;span class="_ _7"&gt;&lt;/span&gt;n &lt;/span&gt;&lt;span style="display:inherit;clear:left;"&gt;all c&lt;span class="_ _7"&gt;&lt;/span&gt;ate&lt;span class="_ _7"&gt;&lt;/span&gt;go&lt;span class="_ _7"&gt;&lt;/span&gt;rie&lt;span class="_ _7"&gt;&lt;/span&gt;s o&lt;span class="_ _7"&gt;&lt;/span&gt;f war&lt;span class="_ _7"&gt;&lt;/span&gt;r&lt;span class="_ _7"&gt;&lt;/span&gt;ant&lt;span class="_ _7"&gt;&lt;/span&gt;y. Ref&lt;span class="_ _7"&gt;&lt;/span&gt;un&lt;span class="_ _7"&gt;&lt;/span&gt;ds f&lt;span class="_ _7"&gt;&lt;/span&gt;ro&lt;span class="_ _7"&gt;&lt;/span&gt;m su&lt;span class="_ _7"&gt;&lt;/span&gt;pp&lt;span class="_ _7"&gt;&lt;/span&gt;lie&lt;span class="_ _7"&gt;&lt;/span&gt;r&lt;span class="_ _7"&gt;&lt;/span&gt;s tha&lt;span class="_ _7"&gt;&lt;/span&gt;t de&lt;span class="_ _7"&gt;&lt;/span&gt;cre&lt;span class="_ _7"&gt;&lt;/span&gt;as&lt;span class="_ _7"&gt;&lt;/span&gt;e &lt;/span&gt;&lt;span style="display:inherit;clear:left;"&gt;Volvo Ca&lt;span class="_ _7"&gt;&lt;/span&gt;r Gro&lt;span class="_ _7"&gt;&lt;/span&gt;up’s war&lt;span class="_ _7"&gt;&lt;/span&gt;r&lt;span class="_ _7"&gt;&lt;/span&gt;ant&lt;span class="_ _7"&gt;&lt;/span&gt;y c&lt;span class="_ _7"&gt;&lt;/span&gt;os&lt;span class="_ _7"&gt;&lt;/span&gt;t&lt;span class="_ _7"&gt;&lt;/span&gt;s are r&lt;span class="_ _7"&gt;&lt;/span&gt;ec&lt;span class="_ _7"&gt;&lt;/span&gt;og&lt;span class="_ _7"&gt;&lt;/span&gt;ni&lt;span class="_ _7"&gt;&lt;/span&gt;se&lt;span class="_ _7"&gt;&lt;/span&gt;d to th&lt;span class="_ _7"&gt;&lt;/span&gt;e ex&lt;span class="_ _7"&gt;&lt;/span&gt;ten&lt;span class="_ _7"&gt;&lt;/span&gt;t the&lt;span class="_ _7"&gt;&lt;/span&gt;s&lt;span class="_ _7"&gt;&lt;/span&gt;e &lt;/span&gt;&lt;span style="display:inherit;clear:left;"&gt;are considered t&lt;span class="_ _2"&gt;&lt;/span&gt;o be virtually certain, based on historical&lt;span class="_ _2"&gt;&lt;/span&gt; experi&lt;span class="ls3 ws3"&gt;-&lt;/span&gt;&lt;/span&gt;&lt;span style="display:inherit;clear:left;"&gt;ence. Supplier&lt;span class="_ _2"&gt;&lt;/span&gt; recovery provisions amount t&lt;span class="_ _2"&gt;&lt;/span&gt;o SEK&lt;span class="_ _2"&gt;&lt;/span&gt; 2,523&lt;span class="_ _2"&gt;&lt;/span&gt; (2,453&lt;span class="_ _2"&gt;&lt;/span&gt;) m, &lt;/span&gt;&lt;span style="display:inherit;clear:left;"&gt;&lt;span style="display:inherit;clear:left;"&gt;exclu&lt;span class="_ _7"&gt;&lt;/span&gt;din&lt;span class="_ _7"&gt;&lt;/span&gt;g sup&lt;span class="_ _7"&gt;&lt;/span&gt;pl&lt;span class="_ _7"&gt;&lt;/span&gt;ie&lt;span class="_ _7"&gt;&lt;/span&gt;r re&lt;span class="_ _7"&gt;&lt;/span&gt;cove&lt;span class="_ _7"&gt;&lt;/span&gt;r&lt;span class="_ _7"&gt;&lt;/span&gt;y re&lt;span class="_ _7"&gt;&lt;/span&gt;l&lt;span class="_ _7"&gt;&lt;/span&gt;ate&lt;span class="_ _7"&gt;&lt;/span&gt;d to EX3&lt;span class="_ _7"&gt;&lt;/span&gt;0 bat&lt;span class="_ _7"&gt;&lt;/span&gt;te&lt;span class="_ _7"&gt;&lt;/span&gt;r&lt;span class="_ _7"&gt;&lt;/span&gt;y c&lt;span class="_ _7"&gt;&lt;/span&gt;ell&lt;span class="_ _7"&gt;&lt;/span&gt;s&lt;span class="_ _7"&gt;&lt;/span&gt;.&lt;/span&gt;&lt;span class="fc9"&gt; &lt;/span&gt;&lt;/span&gt;&lt;span style="display:inherit;clear:left;"&gt;EX30 rec&lt;span class="_ _7"&gt;&lt;/span&gt;all &lt;/span&gt;&lt;span style="display:inherit;clear:left;"&gt;On 30 D&lt;span class="_ _7"&gt;&lt;/span&gt;ec&lt;span class="_ _7"&gt;&lt;/span&gt;em&lt;span class="_ _7"&gt;&lt;/span&gt;be&lt;span class="_ _7"&gt;&lt;/span&gt;r 2025, Volvo Ca&lt;span class="_ _7"&gt;&lt;/span&gt;rs i&lt;span class="_ _7"&gt;&lt;/span&gt;s&lt;span class="_ _7"&gt;&lt;/span&gt;su&lt;span class="_ _7"&gt;&lt;/span&gt;ed a p&lt;span class="_ _7"&gt;&lt;/span&gt;re&lt;span class="_ _7"&gt;&lt;/span&gt;ca&lt;span class="_ _7"&gt;&lt;/span&gt;uti&lt;span class="_ _7"&gt;&lt;/span&gt;on&lt;span class="_ _7"&gt;&lt;/span&gt;ar&lt;span class="_ _7"&gt;&lt;/span&gt;y s&lt;span class="_ _7"&gt;&lt;/span&gt;a&lt;span class="_ _7"&gt;&lt;/span&gt;fet&lt;span class="_ _7"&gt;&lt;/span&gt;y &lt;/span&gt;&lt;span style="display:inherit;clear:left;"&gt;not&lt;span class="_ _7"&gt;</t>
  </si>
  <si>
    <t>f1__s8__6__262-1</t>
  </si>
  <si>
    <t>ifrs-full:DisclosureOfOtherProvisionsContingentLiabilitiesAndContingentAssetsExplanatory</t>
  </si>
  <si>
    <t>f1__s8__6__263</t>
  </si>
  <si>
    <t>ifrs-full:DescriptionOfAccountingPolicyForProvisionsExplanatory</t>
  </si>
  <si>
    <t>&lt;span style="display:inherit;clear:left;"&gt;ACCOUNTING&lt;span class="_ _2"&gt;&lt;/span&gt; POLICIES&lt;/span&gt;&lt;span style="display:inherit;clear:left;"&gt;Provisions&lt;/span&gt;&lt;span style="display:inherit;clear:left;"&gt;Pro&lt;span class="_ _7"&gt;&lt;/span&gt;vi&lt;span class="_ _7"&gt;&lt;/span&gt;si&lt;span class="_ _7"&gt;&lt;/span&gt;on&lt;span class="_ _7"&gt;&lt;/span&gt;s are r&lt;span class="_ _7"&gt;&lt;/span&gt;ec&lt;span class="_ _7"&gt;&lt;/span&gt;og&lt;span class="_ _7"&gt;&lt;/span&gt;ni&lt;span class="_ _7"&gt;&lt;/span&gt;se&lt;span class="_ _7"&gt;&lt;/span&gt;d on th&lt;span class="_ _7"&gt;&lt;/span&gt;e b&lt;span class="_ _7"&gt;&lt;/span&gt;al&lt;span class="_ _7"&gt;&lt;/span&gt;anc&lt;span class="_ _7"&gt;&lt;/span&gt;e sh&lt;span class="_ _7"&gt;&lt;/span&gt;ee&lt;span class="_ _7"&gt;&lt;/span&gt;t wh&lt;span class="_ _7"&gt;&lt;/span&gt;en a le&lt;span class="_ _7"&gt;&lt;/span&gt;ga&lt;span class="_ _7"&gt;&lt;/span&gt;l or c&lt;span class="_ _7"&gt;&lt;/span&gt;on-&lt;/span&gt;&lt;span style="display:inherit;clear:left;"&gt;st&lt;span class="_ _7"&gt;&lt;/span&gt;ru&lt;span class="_ _7"&gt;&lt;/span&gt;cti&lt;span class="_ _7"&gt;&lt;/span&gt;ve o&lt;span class="_ _7"&gt;&lt;/span&gt;bli&lt;span class="_ _7"&gt;&lt;/span&gt;gat&lt;span class="_ _7"&gt;&lt;/span&gt;io&lt;span class="_ _7"&gt;&lt;/span&gt;n exi&lt;span class="_ _7"&gt;&lt;/span&gt;st&lt;span class="_ _7"&gt;&lt;/span&gt;s a&lt;span class="_ _7"&gt;&lt;/span&gt;s a re&lt;span class="_ _7"&gt;&lt;/span&gt;su&lt;span class="_ _7"&gt;&lt;/span&gt;lt of a p&lt;span class="_ _7"&gt;&lt;/span&gt;as&lt;span class="_ _7"&gt;&lt;/span&gt;t eve&lt;span class="_ _7"&gt;&lt;/span&gt;nt&lt;span class="_ _7"&gt;&lt;/span&gt;, it is d&lt;span class="_ _7"&gt;&lt;/span&gt;ee&lt;span class="_ _7"&gt;&lt;/span&gt;me&lt;span class="_ _7"&gt;&lt;/span&gt;d &lt;/span&gt;&lt;span style="display:inherit;clear:left;"&gt;mo&lt;span class="_ _7"&gt;&lt;/span&gt;re li&lt;span class="_ _7"&gt;&lt;/span&gt;kely th&lt;span class="_ _7"&gt;&lt;/span&gt;an n&lt;span class="_ _7"&gt;&lt;/span&gt;ot th&lt;span class="_ _7"&gt;&lt;/span&gt;at an o&lt;span class="_ _7"&gt;&lt;/span&gt;ut&lt;span class="_ _7"&gt;&lt;/span&gt;f&lt;span class="_ _7"&gt;&lt;/span&gt;low o&lt;span class="_ _7"&gt;&lt;/span&gt;f re&lt;span class="_ _7"&gt;&lt;/span&gt;s&lt;span class="_ _7"&gt;&lt;/span&gt;ou&lt;span class="_ _7"&gt;&lt;/span&gt;rce&lt;span class="_ _7"&gt;&lt;/span&gt;s wi&lt;span class="_ _7"&gt;&lt;/span&gt;ll b&lt;span class="_ _7"&gt;&lt;/span&gt;e re&lt;span class="_ _7"&gt;&lt;/span&gt;qu&lt;span class="_ _7"&gt;&lt;/span&gt;ire&lt;span class="_ _7"&gt;&lt;/span&gt;d &lt;/span&gt;&lt;span style="display:inherit;clear:left;"&gt;to se&lt;span class="_ _7"&gt;&lt;/span&gt;t&lt;span class="_ _7"&gt;&lt;/span&gt;tle th&lt;span class="_ _7"&gt;&lt;/span&gt;e ob&lt;span class="_ _7"&gt;&lt;/span&gt;lig&lt;span class="_ _7"&gt;&lt;/span&gt;at&lt;span class="_ _7"&gt;&lt;/span&gt;ion a&lt;span class="_ _7"&gt;&lt;/span&gt;nd t&lt;span class="_ _7"&gt;&lt;/span&gt;he am&lt;span class="_ _7"&gt;&lt;/span&gt;ou&lt;span class="_ _7"&gt;&lt;/span&gt;nt c&lt;span class="_ _7"&gt;&lt;/span&gt;an b&lt;span class="_ _7"&gt;&lt;/span&gt;e re&lt;span class="_ _7"&gt;&lt;/span&gt;lia&lt;span class="_ _7"&gt;&lt;/span&gt;bly e&lt;span class="_ _7"&gt;&lt;/span&gt;s&lt;span class="_ _7"&gt;&lt;/span&gt;tim&lt;span class="_ _7"&gt;&lt;/span&gt;ate&lt;span class="_ _7"&gt;&lt;/span&gt;d. &lt;/span&gt;&lt;span style="display:inherit;clear:left;"&gt;Pro&lt;span class="_ _7"&gt;&lt;/span&gt;vi&lt;span class="_ _7"&gt;&lt;/span&gt;si&lt;span class="_ _7"&gt;&lt;/span&gt;on&lt;span class="_ _7"&gt;&lt;/span&gt;s are t&lt;span class="_ _7"&gt;&lt;/span&gt;y&lt;span class="_ _7"&gt;&lt;/span&gt;pi&lt;span class="_ _7"&gt;&lt;/span&gt;ca&lt;span class="_ _7"&gt;&lt;/span&gt;lly s&lt;span class="_ _7"&gt;&lt;/span&gt;et&lt;span class="_ _7"&gt;&lt;/span&gt;t&lt;span class="_ _7"&gt;&lt;/span&gt;led w&lt;span class="_ _7"&gt;&lt;/span&gt;ith&lt;span class="_ _7"&gt;&lt;/span&gt;in 2–&lt;span class="_ _7"&gt;&lt;/span&gt;3 yea&lt;span class="_ _7"&gt;&lt;/span&gt;rs&lt;span class="_ _7"&gt;&lt;/span&gt;. &lt;/span&gt;&lt;span style="display:inherit;clear:left;"&gt;Warranties&lt;/span&gt;&lt;span style="display:inherit;clear:left;"&gt;Warr&lt;span class="_ _7"&gt;&lt;/span&gt;an&lt;span class="_ _7"&gt;&lt;/span&gt;t&lt;span class="_ _7"&gt;&lt;/span&gt;y pro&lt;span class="_ _7"&gt;&lt;/span&gt;vi&lt;span class="_ _7"&gt;&lt;/span&gt;si&lt;span class="_ _7"&gt;&lt;/span&gt;on&lt;span class="_ _7"&gt;&lt;/span&gt;s in&lt;span class="_ _7"&gt;&lt;/span&gt;clud&lt;span class="_ _7"&gt;&lt;/span&gt;e Volvo C&lt;span class="_ _7"&gt;&lt;/span&gt;ar Gr&lt;span class="_ _7"&gt;&lt;/span&gt;ou&lt;span class="_ _7"&gt;&lt;/span&gt;p’s cos&lt;span class="_ _7"&gt;&lt;/span&gt;t of s&lt;span class="_ _7"&gt;&lt;/span&gt;at&lt;span class="_ _7"&gt;&lt;/span&gt;is&lt;span class="_ _7"&gt;&lt;/span&gt;f&lt;span class="_ _7"&gt;&lt;/span&gt;y&lt;span class="_ _7"&gt;&lt;/span&gt;in&lt;span class="_ _7"&gt;&lt;/span&gt;g the &lt;/span&gt;&lt;span style="display:inherit;clear:left;"&gt;cus&lt;span class="_ _7"&gt;&lt;/span&gt;to&lt;span class="_ _7"&gt;&lt;/span&gt;me&lt;span class="_ _7"&gt;&lt;/span&gt;rs w&lt;span class="_ _7"&gt;&lt;/span&gt;ith s&lt;span class="_ _7"&gt;&lt;/span&gt;p&lt;span class="_ _7"&gt;&lt;/span&gt;eci&lt;span class="_ _7"&gt;&lt;/span&gt;f&lt;span class="_ _7"&gt;&lt;/span&gt;ic c&lt;span class="_ _7"&gt;&lt;/span&gt;ont&lt;span class="_ _7"&gt;&lt;/span&gt;ra&lt;span class="_ _7"&gt;&lt;/span&gt;ctu&lt;span class="_ _7"&gt;&lt;/span&gt;al w&lt;span class="_ _7"&gt;&lt;/span&gt;ar&lt;span class="_ _7"&gt;&lt;/span&gt;ra&lt;span class="_ _7"&gt;&lt;/span&gt;nti&lt;span class="_ _7"&gt;&lt;/span&gt;es&lt;span class="_ _7"&gt;&lt;/span&gt;, as w&lt;span class="_ _7"&gt;&lt;/span&gt;el&lt;span class="_ _7"&gt;&lt;/span&gt;l as ot&lt;span class="_ _7"&gt;&lt;/span&gt;he&lt;span class="_ _7"&gt;&lt;/span&gt;r &lt;/span&gt;&lt;span style="display:inherit;clear:left;"&gt;costs not cover&lt;span class="_ _2"&gt;&lt;/span&gt;ed by standard contractual&lt;span class="_ _2"&gt;&lt;/span&gt; commitments. All war&lt;span class="_ _6"&gt;&lt;/span&gt;&lt;span class="ls3 ws3"&gt;-&lt;/span&gt;&lt;/span&gt;&lt;span style="display:inherit;clear:left;"&gt;ra&lt;span class="_ _7"&gt;&lt;/span&gt;nt&lt;span class="_ _7"&gt;&lt;/span&gt;y pr&lt;span class="_ _7"&gt;&lt;/span&gt;ovi&lt;span class="_ _7"&gt;&lt;/span&gt;si&lt;span class="_ _7"&gt;&lt;/span&gt;on&lt;span class="_ _7"&gt;&lt;/span&gt;s ar&lt;span class="_ _7"&gt;&lt;/span&gt;e re&lt;span class="_ _7"&gt;&lt;/span&gt;cog&lt;span class="_ _7"&gt;&lt;/span&gt;ni&lt;span class="_ _7"&gt;&lt;/span&gt;s&lt;span class="_ _7"&gt;&lt;/span&gt;ed at t&lt;span class="_ _7"&gt;&lt;/span&gt;he s&lt;span class="_ _7"&gt;&lt;/span&gt;al&lt;span class="_ _7"&gt;&lt;/span&gt;e of th&lt;span class="_ _7"&gt;&lt;/span&gt;e veh&lt;span class="_ _7"&gt;&lt;/span&gt;ic&lt;span class="_ _7"&gt;&lt;/span&gt;le&lt;span class="_ _7"&gt;&lt;/span&gt;s or sp&lt;span class="_ _7"&gt;&lt;/span&gt;ar&lt;span class="_ _7"&gt;&lt;/span&gt;e &lt;/span&gt;&lt;span style="display:inherit;clear:left;"&gt;pa&lt;span class="_ _7"&gt;&lt;/span&gt;r&lt;span class="_ _7"&gt;&lt;/span&gt;ts&lt;span class="_ _7"&gt;&lt;/span&gt;. T&lt;span class="_ _7"&gt;&lt;/span&gt;he in&lt;span class="_ _7"&gt;&lt;/span&gt;iti&lt;span class="_ _7"&gt;&lt;/span&gt;al c&lt;span class="_ _7"&gt;&lt;/span&gt;al&lt;span class="_ _7"&gt;&lt;/span&gt;cul&lt;span class="_ _7"&gt;&lt;/span&gt;ati&lt;span class="_ _7"&gt;&lt;/span&gt;on&lt;span class="_ _7"&gt;&lt;/span&gt;s of t&lt;span class="_ _7"&gt;&lt;/span&gt;he r&lt;span class="_ _7"&gt;&lt;/span&gt;es&lt;span class="_ _7"&gt;&lt;/span&gt;er&lt;span class="_ _9"&gt;&lt;/span&gt;ves a&lt;span class="_ _7"&gt;&lt;/span&gt;re b&lt;span class="_ _7"&gt;&lt;/span&gt;as&lt;span class="_ _7"&gt;&lt;/span&gt;ed o&lt;span class="_ _7"&gt;&lt;/span&gt;n hi&lt;span class="_ _7"&gt;&lt;/span&gt;sto&lt;span class="_ _7"&gt;&lt;/span&gt;ri&lt;span class="_ _7"&gt;&lt;/span&gt;ca&lt;span class="_ _7"&gt;&lt;/span&gt;l &lt;/span&gt;&lt;span style="display:inherit;clear:left;"&gt;warranty statistics considering known&lt;span class="_ _2"&gt;&lt;/span&gt; qualit&lt;span class="_ _7"&gt;&lt;/span&gt;y impro&lt;span class="_ _2"&gt;&lt;/span&gt;vements&lt;span class="_ _7"&gt;&lt;/span&gt;, costs &lt;/span&gt;&lt;span style="display:inherit;clear:left;"&gt;for r&lt;span class="_ _7"&gt;&lt;/span&gt;em&lt;span class="_ _7"&gt;&lt;/span&gt;ed&lt;span class="_ _7"&gt;&lt;/span&gt;y of d&lt;span class="_ _7"&gt;&lt;/span&gt;ef&lt;span class="_ _7"&gt;&lt;/span&gt;au&lt;span class="_ _7"&gt;&lt;/span&gt;lts e&lt;span class="_ _7"&gt;&lt;/span&gt;tc. T&lt;span class="_ _7"&gt;&lt;/span&gt;he wa&lt;span class="_ _7"&gt;&lt;/span&gt;rr&lt;span class="_ _7"&gt;&lt;/span&gt;an&lt;span class="_ _7"&gt;&lt;/span&gt;t&lt;span class="_ _7"&gt;&lt;/span&gt;y pro&lt;span class="_ _7"&gt;&lt;/span&gt;vi&lt;span class="_ _7"&gt;&lt;/span&gt;si&lt;span class="_ _7"&gt;&lt;/span&gt;on b&lt;span class="_ _7"&gt;&lt;/span&gt;oo&lt;span class="_ _7"&gt;&lt;/span&gt;ked at p&lt;span class="_ _7"&gt;&lt;/span&gt;oi&lt;span class="_ _7"&gt;&lt;/span&gt;nt &lt;/span&gt;&lt;span style="display:inherit;clear:left;"&gt;of s&lt;span class="_ _7"&gt;&lt;/span&gt;al&lt;span class="_ _7"&gt;&lt;/span&gt;e is a&lt;span class="_ _7"&gt;&lt;/span&gt;dju&lt;span class="_ _7"&gt;&lt;/span&gt;st&lt;span class="_ _7"&gt;&lt;/span&gt;ed a&lt;span class="_ _7"&gt;&lt;/span&gt;s ca&lt;span class="_ _7"&gt;&lt;/span&gt;mp&lt;span class="_ _7"&gt;&lt;/span&gt;aig&lt;span class="_ _7"&gt;&lt;/span&gt;n de&lt;span class="_ _7"&gt;&lt;/span&gt;ci&lt;span class="_ _7"&gt;&lt;/span&gt;si&lt;span class="_ _7"&gt;&lt;/span&gt;ons f&lt;span class="_ _7"&gt;&lt;/span&gt;or s&lt;span class="_ _7"&gt;&lt;/span&gt;pe&lt;span class="_ _7"&gt;&lt;/span&gt;ci&lt;span class="_ _7"&gt;&lt;/span&gt;fi&lt;span class="_ _7"&gt;&lt;/span&gt;c qu&lt;span class="_ _7"&gt;&lt;/span&gt;ali&lt;span class="_ _7"&gt;&lt;/span&gt;t&lt;span class="_ _7"&gt;&lt;/span&gt;y pr&lt;span class="_ _7"&gt;&lt;/span&gt;ob-&lt;/span&gt;&lt;span style="display:inherit;clear:left;"&gt;lem&lt;span class="_ _7"&gt;&lt;/span&gt;s ar&lt;span class="_ _7"&gt;&lt;/span&gt;e ma&lt;span class="_ _7"&gt;&lt;/span&gt;de. O&lt;span class="_ _7"&gt;&lt;/span&gt;n a qu&lt;span class="_ _7"&gt;&lt;/span&gt;ar&lt;span class="_ _7"&gt;&lt;/span&gt;te&lt;span class="_ _7"&gt;&lt;/span&gt;rly b&lt;span class="_ _7"&gt;&lt;/span&gt;as&lt;span class="_ _7"&gt;&lt;/span&gt;is t&lt;span class="_ _7"&gt;&lt;/span&gt;he p&lt;span class="_ _7"&gt;&lt;/span&gt;rov&lt;span class="_ _7"&gt;&lt;/span&gt;is&lt;span class="_ _7"&gt;&lt;/span&gt;io&lt;span class="_ _7"&gt;&lt;/span&gt;ns a&lt;span class="_ _7"&gt;&lt;/span&gt;re ad&lt;span class="_ _7"&gt;&lt;/span&gt;ju&lt;span class="_ _7"&gt;&lt;/span&gt;st&lt;span class="_ _7"&gt;&lt;/span&gt;ed to &lt;/span&gt;&lt;span style="display:inherit;clear:left;"&gt;re&lt;span class="_ _7"&gt;&lt;/span&gt;fle&lt;span class="_ _7"&gt;&lt;/span&gt;ct l&lt;span class="_ _7"&gt;&lt;/span&gt;at&lt;span class="_ _7"&gt;&lt;/span&gt;es&lt;span class="_ _7"&gt;&lt;/span&gt;t ava&lt;span class="_ _7"&gt;&lt;/span&gt;il&lt;span class="_ _7"&gt;&lt;/span&gt;ab&lt;span class="_ _7"&gt;&lt;/span&gt;le da&lt;span class="_ _7"&gt;&lt;/span&gt;ta s&lt;span class="_ _7"&gt;&lt;/span&gt;uc&lt;span class="_ _7"&gt;&lt;/span&gt;h as ac&lt;span class="_ _7"&gt;&lt;/span&gt;tu&lt;span class="_ _7"&gt;&lt;/span&gt;al s&lt;span class="_ _7"&gt;&lt;/span&gt;pe&lt;span class="_ _7"&gt;&lt;/span&gt;nd&lt;span class="_ _7"&gt;&lt;/span&gt;, exch&lt;span class="_ _7"&gt;&lt;/span&gt;ang&lt;span class="_ _7"&gt;&lt;/span&gt;e ra&lt;span class="_ _7"&gt;&lt;/span&gt;tes&lt;span class="_ _7"&gt;&lt;/span&gt;, &lt;/span&gt;&lt;span style="display:inherit;clear:left;"&gt;di&lt;span class="_ _7"&gt;&lt;/span&gt;sc&lt;span class="_ _7"&gt;&lt;/span&gt;ou&lt;span class="_ _7"&gt;&lt;/span&gt;nt ra&lt;span class="_ _7"&gt;&lt;/span&gt;te&lt;span class="_ _7"&gt;&lt;/span&gt;s etc&lt;span class="_ _7"&gt;&lt;/span&gt;. Th&lt;span class="_ _7"&gt;&lt;/span&gt;e pro&lt;span class="_ _7"&gt;&lt;/span&gt;vi&lt;span class="_ _7"&gt;&lt;/span&gt;si&lt;span class="_ _7"&gt;&lt;/span&gt;on&lt;span class="_ _7"&gt;&lt;/span&gt;s are r&lt;span class="_ _7"&gt;&lt;/span&gt;ed&lt;span class="_ _7"&gt;&lt;/span&gt;uc&lt;span class="_ _7"&gt;&lt;/span&gt;ed by v&lt;span class="_ _7"&gt;&lt;/span&gt;ir&lt;span class="_ _7"&gt;&lt;/span&gt;t&lt;span class="_ _7"&gt;&lt;/span&gt;ual&lt;span class="_ _7"&gt;&lt;/span&gt;ly ce&lt;span class="_ _7"&gt;&lt;/span&gt;r&lt;span class="_ _7"&gt;&lt;/span&gt;ta&lt;span class="_ _7"&gt;&lt;/span&gt;in &lt;/span&gt;&lt;span style="display:inherit;clear:left;"&gt;warranty reimbursements from suppliers. Generally&lt;span class="_ _2"&gt;&lt;/span&gt;, warranty provi&lt;span class="_ _2"&gt;&lt;/span&gt;&lt;span class="ls3 ws3"&gt;-&lt;/span&gt;&lt;/span&gt;&lt;span style="display:inherit;clear:left;"&gt;si&lt;span class="_ _7"&gt;&lt;/span&gt;on&lt;span class="_ _7"&gt;&lt;/span&gt;s are s&lt;span class="_ _7"&gt;&lt;/span&gt;et&lt;span class="_ _7"&gt;&lt;/span&gt;t&lt;span class="_ _7"&gt;&lt;/span&gt;led w&lt;span class="_ _7"&gt;&lt;/span&gt;ith&lt;span class="_ _7"&gt;&lt;/span&gt;in 2–&lt;span class="_ _7"&gt;&lt;/span&gt;4 ye&lt;span class="_ _7"&gt;&lt;/span&gt;ar&lt;span class="_ _7"&gt;&lt;/span&gt;s&lt;span class="_ _7"&gt;&lt;/span&gt;, pr&lt;span class="_ _7"&gt;&lt;/span&gt;ovi&lt;span class="_ _7"&gt;&lt;/span&gt;si&lt;span class="_ _7"&gt;&lt;/span&gt;on&lt;span class="_ _7"&gt;&lt;/span&gt;s fo&lt;span class="_ _7"&gt;&lt;/span&gt;r bat&lt;span class="_ _7"&gt;&lt;/span&gt;te&lt;span class="_ _7"&gt;&lt;/span&gt;r&lt;span class="_ _7"&gt;&lt;/span&gt;y wa&lt;span class="_ _7"&gt;&lt;/span&gt;rr&lt;span class="_ _7"&gt;&lt;/span&gt;an&lt;span class="_ _7"&gt;&lt;/span&gt;tie&lt;span class="_ _7"&gt;&lt;/span&gt;s &lt;/span&gt;&lt;span style="display:inherit;clear:left;"&gt;are t&lt;span class="_ _7"&gt;&lt;/span&gt;y&lt;span class="_ _7"&gt;&lt;/span&gt;pi&lt;span class="_ _7"&gt;&lt;/span&gt;c&lt;span class="_ _7"&gt;&lt;/span&gt;ally s&lt;span class="_ _7"&gt;&lt;/span&gt;et&lt;span class="_ _7"&gt;&lt;/span&gt;t&lt;span class="_ _7"&gt;&lt;/span&gt;led w&lt;span class="_ _7"&gt;&lt;/span&gt;ith&lt;span class="_ _7"&gt;&lt;/span&gt;in 8 ye&lt;span class="_ _7"&gt;&lt;/span&gt;ar&lt;span class="_ _7"&gt;&lt;/span&gt;s&lt;span class="_ _7"&gt;&lt;/span&gt;.&lt;/span&gt;</t>
  </si>
  <si>
    <t>f1__s8__6__268</t>
  </si>
  <si>
    <t>ifrs-full:DisclosureOfOtherLiabilitiesExplanatory</t>
  </si>
  <si>
    <t>&lt;span style="display:inherit;clear:left;"&gt;NOT&lt;span class="_ _7"&gt;&lt;/span&gt;E 24&lt;/span&gt;&lt;span style="display:inherit;clear:left;"&gt;OTHER CURRENT&lt;span class="_ _2"&gt;&lt;/span&gt; AND NON-CURRENT &lt;span class="ls3 ws3"&gt; &lt;/span&gt;&lt;/span&gt;&lt;span style="display:inherit;clear:left;"&gt;LIABILITIES&lt;/span&gt;&lt;span style="display:inherit;clear:left;position:relative;height:74.89453125px;"&gt;&lt;span class="pp-font-color-override-1" style="position: absolute; display: inline-block; left: 257.109px; top: 0.748047px; width: 27.9727px; white-space: pre; word-spacing: -0.24px; letter-spacing: 0.24px; margin-left: 0px; font-size: 9.6px; font-family: ffb0; -webkit-text-stroke: 0.144px rgba(0, 0, 0, 0);"&gt;&lt;span style="display: inline-block;"&gt;31&lt;/span&gt;&lt;span style="word-spacing: -0.24px; letter-spacing: 0.24px; display: inline-block; margin-left: -0.684px; width: 0px; font-size: 9.6px; font-family: ffb0; -webkit-text-stroke: 0.144px rgba(0, 0, 0, 0);"&gt;&lt;/span&gt;&lt;span style="display: inline-block;"&gt; Dec&lt;/span&gt;&lt;/span&gt;&lt;span class="pp-font-color-override-1" style="position: absolute; display: inline-block; left: 313.078px; top: 0.0039062px; width: 28.0254px; white-space: pre; word-spacing: -0.2496px; letter-spacing: 0.2496px; margin-left: 0px; font-size: 9.6px; font-family: ffb1; -webkit-text-stroke: 0.144px rgba(0, 0, 0, 0);"&gt;&lt;span style="display: inline-block;"&gt;31&lt;/span&gt;&lt;span style="word-spacing: -0.2496px; letter-spacing: 0.2496px; display: inline-block; margin-left: -0.684px; width: 0px; font-size: 9.6px; font-family: ffb1; -webkit-text-stroke: 0.144px rgba(0, 0, 0, 0);"&gt;&lt;/span&gt;&lt;span style="display: inline-block;"&gt; Dec&lt;/span&gt;&lt;/span&gt;&lt;span class="pp-font-color-override-1" style="position: absolute; display: inline-block; left: 0px; top: 10.5391px; width: 125.402px; white-space: pre; word-spacing: -0.189px; letter-spacing: 0.2205px; margin-left: 0px; font-size: 10.5px; font-family: ffb0; -webkit-text-stroke: 0.1575px rgba(0, 0, 0, 0);"&gt;&lt;span style="display: inline-block;"&gt;Other non–&lt;/span&gt;&lt;span style="word-spacing: -0.189px; letter-spacing: 0.2205px; display: inline-block; margin-left: 0px; width: 0.410156px; font-size: 10.5px; font-family: ffb0; -webkit-text-stroke: 0.1575px rgba(0, 0, 0, 0);"&gt;&lt;/span&gt;&lt;span style="display: inline-block;"&gt;current liabilities&lt;/span&gt;&lt;/span&gt;&lt;span class="pp-font-color-override-1" style="position: absolute; display: inline-block; left: 263.859px;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0px; top: 30.9941px; width: 312.99px; white-space: pre; word-spacing: 0px; letter-spacing: 0.0315px; margin-left: 0px; font-size: 10.5px; font-family: ffb2; -webkit-text-stroke: 0.1575px rgba(0, 0, 0, 0);"&gt;&lt;span style="display: inline-block;"&gt;Lia&lt;/span&gt;&lt;span style="word-spacing: 0px; letter-spacing: 0.0315px; display: inline-block; margin-left: 0px; width: 0.410156px; font-size: 10.5px; font-family: ffb2; -webkit-text-stroke: 0.1575px rgba(0, 0, 0, 0);"&gt;&lt;/span&gt;&lt;span style="display: inline-block;"&gt;bili&lt;/span&gt;&lt;span style="word-spacing: 0px; letter-spacing: 0.0315px; display: inline-block; margin-left: 0px; width: 0.410156px; font-size: 10.5px; font-family: ffb2; -webkit-text-stroke: 0.1575px rgba(0, 0, 0, 0);"&gt;&lt;/span&gt;&lt;span style="display: inline-block;"&gt;tie&lt;/span&gt;&lt;span style="word-spacing: 0px; letter-spacing: 0.0315px; display: inline-block; margin-left: 0px; width: 0.410156px; font-size: 10.5px; font-family: ffb2; -webkit-text-stroke: 0.1575px rgba(0, 0, 0, 0);"&gt;&lt;/span&gt;&lt;span style="display: inline-block;"&gt;s re&lt;/span&gt;&lt;span style="word-spacing: 0px; letter-spacing: 0.0315px; display: inline-block; margin-left: 0px; width: 0.410156px; font-size: 10.5px; font-family: ffb2; -webkit-text-stroke: 0.1575px rgba(0, 0, 0, 0);"&gt;&lt;/span&gt;&lt;span style="display: inline-block;"&gt;late&lt;/span&gt;&lt;span style="word-spacing: 0px; letter-spacing: 0.0315px; display: inline-block; margin-left: 0px; width: 0.410156px; font-size: 10.5px; font-family: ffb2; -webkit-text-stroke: 0.1575px rgba(0, 0, 0, 0);"&gt;&lt;/span&gt;&lt;span style="display: inline-block;"&gt;d to re&lt;/span&gt;&lt;span style="word-spacing: 0px; letter-spacing: 0.0315px; display: inline-block; margin-left: 0px; width: 0.410156px; font-size: 10.5px; font-family: ffb2; -webkit-text-stroke: 0.1575px rgba(0, 0, 0, 0);"&gt;&lt;/span&gt;&lt;span style="display: inline-block;"&gt;pur&lt;/span&gt;&lt;span style="word-spacing: 0px; letter-spacing: 0.0315px; display: inline-block; margin-left: 0px; width: 0.410156px; font-size: 10.5px; font-family: ffb2; -webkit-text-stroke: 0.1575px rgba(0, 0, 0, 0);"&gt;&lt;/span&gt;&lt;span style="display: inline-block;"&gt;cha&lt;/span&gt;&lt;span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inline-block;"&gt;mi&lt;/span&gt;&lt;span style="word-spacing: 0px; letter-spacing: 0.0315px; display: inline-block; margin-left: 0px; width: 0.410156px; font-size: 10.5px; font-family: ffb2; -webkit-text-stroke: 0.1575px rgba(0, 0, 0, 0);"&gt;&lt;/span&gt;&lt;span style="display: inline-block;"&gt;tme&lt;/span&gt;&lt;span style="word-spacing: 0px; letter-spacing: 0.0315px; display: inline-block; margin-left: 0px; width: 0.410156px; font-size: 10.5px; font-family: ffb2; -webkit-text-stroke: 0.1575px rgba(0, 0, 0, 0);"&gt;&lt;/span&gt;&lt;span style="display: inline-block;"&gt;nt&lt;/span&gt;&lt;span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38.631px;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inline-block;"&gt;3&lt;/span&gt;&lt;span style="word-spacing: 0.3885px; letter-spacing: -0.3885px; display: inline-block; margin-left: 0px; width: 0.925781px; font-size: 10.5px; font-family: ffb2; -webkit-text-stroke: 0.1575px rgba(0, 0, 0, 0);"&gt;&lt;/span&gt;&lt;span style="display: inline-block;"&gt;,11&lt;/span&gt;&lt;span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29.5723px; font-size: 10.5px; font-family: ffb2; -webkit-text-stroke: 0.1575px rgba(0, 0, 0, 0);"&gt;&lt;span style="display: inline-block;"&gt;&lt;span style="width: 2.625px; display: inline-block;"&gt; &lt;/span&gt;&lt;/span&gt;&lt;/span&gt;&lt;span style="display: inline-block;"&gt;3&lt;/span&gt;&lt;span style="word-spacing: 0.3885px; letter-spacing: -0.3885px; display: inline-block; margin-left: 0px; width: 0.410156px; font-size: 10.5px; font-family: ffb2; -webkit-text-stroke: 0.1575px rgba(0, 0, 0, 0);"&gt;&lt;/span&gt;&lt;span style="display: inline-block;"&gt;,1&lt;/span&gt;&lt;span style="word-spacing: 0.3885px; letter-spacing: -0.3885px; display: inline-block; margin-left: 0px; width: 0.410156px; font-size: 10.5px; font-family: ffb2; -webkit-text-stroke: 0.1575px rgba(0, 0, 0, 0);"&gt;&lt;/span&gt;&lt;span style="display: inline-block;"&gt;0&lt;/span&gt;&lt;span style="word-spacing: 0.3885px; letter-spacing: -0.3885px; display: inline-block; margin-left: 0px; width: 0.410156px; font-size: 10.5px; font-family: ffb2; -webkit-text-stroke: 0.1575px rgba(0, 0, 0, 0);"&gt;&lt;/span&gt;&lt;span style="display: inline-block;"&gt;7&lt;/span&gt;&lt;/span&gt;&lt;/span&gt;&lt;span class="pp-font-color-override-1" style="position: absolute; display: inline-block; left: 0px; top: 46.9629px; width: 332.414px; white-space: pre; word-spacing: -0.063px; letter-spacing: 0.0945px; margin-left: 0px; font-size: 10.5px; font-family: ffb2; -webkit-text-stroke: 0.1575px rgba(0, 0, 0, 0);"&gt;&lt;span style="display: inline-block;"&gt;Oth&lt;/span&gt;&lt;span style="word-spacing: -0.063px; letter-spacing: 0.0945px; display: inline-block; margin-left: 0px; width: 0.410156px; font-size: 10.5px; font-family: ffb2; -webkit-text-stroke: 0.1575px rgba(0, 0, 0, 0);"&gt;&lt;/span&gt;&lt;span style="display: inline-block;"&gt;er liabi&lt;/span&gt;&lt;span style="word-spacing: -0.063px; letter-spacing: 0.0945px; display: inline-block; margin-left: 0px; width: 0.410156px; font-size: 10.5px; font-family: ffb2; -webkit-text-stroke: 0.1575px rgba(0, 0, 0, 0);"&gt;&lt;/span&gt;&lt;span style="display: inline-block;"&gt;litie&lt;/span&gt;&lt;span style="word-spacing: -0.063px; letter-spacing: 0.0945px; display: inline-block; margin-left: 0px; width: 0.410156px; font-size: 10.5px; font-family: ffb2; -webkit-text-stroke: 0.1575px rgba(0, 0, 0, 0);"&gt;&lt;/span&gt;&lt;span style="display: inline-block;"&gt;s&lt;/span&gt;&lt;span style="word-spacing: -0.063px; letter-spacing: 0.0945px; display: inline-block; margin-left: 0px; width: 185.9px; font-size: 10.5px; font-family: ffb2; -webkit-text-stroke: 0.1575px rgba(0, 0, 0, 0);"&gt;&lt;span style="display: inline-block;"&gt; &lt;/span&gt;&lt;/span&gt;&lt;span class="pp-font-color-override-1" style="word-spacing: 0.0315px; letter-spacing: -0.0315px; display: inline-block; margin-left: 0px; font-size: 10.5px; font-family: ffb2; -webkit-text-stroke: 0.1575px rgba(0, 0, 0, 0);"&gt;&lt;span style="display: inline-block;"&gt;3,6&lt;/span&gt;&lt;span style="word-spacing: 0.0315px; letter-spacing: -0.0315px; display: inline-block; margin-left: 0px; width: 0.410156px; font-size: 10.5px; font-family: ffb2; -webkit-text-stroke: 0.1575px rgba(0, 0, 0, 0);"&gt;&lt;/span&gt;&lt;span style="display: inline-block;"&gt;01&lt;/span&gt;&lt;span style="word-spacing: 0.0315px; letter-spacing: -0.0315px; display: inline-block; margin-left: 0px; width: 31.207px; font-size: 10.5px; font-family: ffb2; -webkit-text-stroke: 0.1575px rgba(0, 0, 0, 0);"&gt;&lt;span style="display: inline-block;"&gt;&lt;span style="width: 2.625px; display: inline-block;"&gt; &lt;/span&gt;&lt;/span&gt;&lt;/span&gt;&lt;span class="pp-font-color-override-1" style="word-spacing: 0.3885px; letter-spacing: -0.3885px; display: inline-block; margin-left: 0px; font-size: 10.5px; font-family: ffb2; -webkit-text-stroke: 0.1575px rgba(0, 0, 0, 0);"&gt;&lt;span style="display: inline-block;"&gt;2&lt;/span&gt;&lt;span style="word-spacing: 0.3885px; letter-spacing: -0.3885px; display: inline-block; margin-left: 0px; width: 0.925781px; font-size: 10.5px; font-family: ffb2; -webkit-text-stroke: 0.1575px rgba(0, 0, 0, 0);"&gt;&lt;/span&gt;&lt;span style="display: inline-block;"&gt;,19&lt;/span&gt;&lt;span style="word-spacing: 0.3885px; letter-spacing: -0.3885px; display: inline-block; margin-left: 0px; width: 0.410156px; font-size: 10.5px; font-family: ffb2; -webkit-text-stroke: 0.1575px rgba(0, 0, 0, 0);"&gt;&lt;/span&gt;&lt;span style="display: inline-block;"&gt;1&lt;/span&gt;&lt;/span&gt;&lt;/span&gt;&lt;/span&gt;&lt;span class="pp-font-color-override-1" style="position: absolute; display: inline-block; left: 0px; top: 63.2734px; width: 328.945px; white-space: pre; word-spacing: -0.1995px; letter-spacing: 0.1995px; margin-left: 0px; font-size: 10.5px; font-family: ffb0; -webkit-text-stroke: 0.1575px rgba(0, 0, 0, 0);"&gt;&lt;span style="display: inline-block;"&gt;T&lt;/span&gt;&lt;span style="word-spacing: -0.1995px; letter-spacing: 0.1995px; display: inline-block; margin-left: -1.13625px; width: 0px; font-size: 10.5px; font-family: ffb0; -webkit-text-stroke: 0.1575px rgba(0, 0, 0, 0);"&gt;&lt;/span&gt;&lt;span style="display: inline-block;"&gt;ot&lt;/span&gt;&lt;span style="word-spacing: -0.1995px; letter-spacing: 0.1995px; display: inline-block; margin-left: 0px; width: 0.410156px; font-size: 10.5px; font-family: ffb0; -webkit-text-stroke: 0.1575px rgba(0, 0, 0, 0);"&gt;&lt;/span&gt;&lt;span style="display: inline-block;"&gt;al&lt;/span&gt;&lt;span style="word-spacing: -0.1995px; letter-spacing: 0.1995px; display: inline-block; margin-left: 0px; width: 233.871px; font-size: 10.5px; font-family: ffb0; -webkit-text-stroke: 0.1575px rgba(0, 0, 0, 0);"&gt;&lt;span style="display: inline-block;"&gt; &lt;/span&gt;&lt;/span&gt;&lt;span class="pp-font-color-override-1" style="word-spacing: 0.1365px; letter-spacing: -0.1365px; display: inline-block; margin-left: 0px; font-size: 10.5px; font-family: ffb0; -webkit-text-stroke: 0.1575px rgba(0, 0, 0, 0);"&gt;&lt;span style="display: inline-block;"&gt;6&lt;/span&gt;&lt;span style="word-spacing: 0.1365px; letter-spacing: -0.1365px; display: inline-block; margin-left: 0px; width: 0.410156px; font-size: 10.5px; font-family: ffb0; -webkit-text-stroke: 0.1575px rgba(0, 0, 0, 0);"&gt;&lt;/span&gt;&lt;span style="display: inline-block;"&gt;,71&lt;/span&gt;&lt;span style="word-spacing: 0.1365px; letter-spacing: -0.1365px; display: inline-block; margin-left: 0px; width: 0.410156px; font-size: 10.5px; font-family: ffb0; -webkit-text-stroke: 0.1575px rgba(0, 0, 0, 0);"&gt;&lt;/span&gt;&lt;span style="display: inline-block;"&gt;4&lt;/span&gt;&lt;span style="word-spacing: 0.1365px; letter-spacing: -0.1365px; display: inline-block; margin-left: 0px; width: 24.2988px; font-size: 10.5px; font-family: ffb0; -webkit-text-stroke: 0.1575px rgba(0, 0, 0, 0);"&gt;&lt;span style="display: inline-block;"&gt;&lt;span style="width: 2.625px; display: inline-block;"&gt; &lt;/span&gt;&lt;/span&gt;&lt;/span&gt;&lt;span class="pp-font-color-override-1" style="word-spacing: -0.105px; letter-spacing: 0.105px; display: inline-block; margin-left: 0px; font-size: 10.5px; font-family: ffb0; -webkit-text-stroke: 0.1575px rgba(0, 0, 0, 0);"&gt;&lt;span style="display: inline-block;"&gt;5,&lt;/span&gt;&lt;span style="word-spacing: -0.105px; letter-spacing: 0.105px; display: inline-block; margin-left: 0px; width: 0.410156px; font-size: 10.5px; font-family: ffb0; -webkit-text-stroke: 0.1575px rgba(0, 0, 0, 0);"&gt;&lt;/span&gt;&lt;span style="display: inline-block;"&gt;298&lt;/span&gt;&lt;/span&gt;&lt;/span&gt;&lt;/span&gt;&lt;/span&gt;&lt;span style="display:inherit;clear:left;position:relative;height:126.11328125px;"&gt;&lt;span class="pp-font-color-override-1" style="position: absolute; display: inline-block; left: 257.109px; top: 0.748047px; width: 30.2637px; white-space: pre; word-spacing: 0px; letter-spacing: 0px; margin-left: 0px; font-size: 9.6px; font-family: ffb0; -webkit-text-stroke: 0.144px rgba(0, 0, 0, 0);"&gt;&lt;span style="display: inline-block;"&gt;31 De&lt;/span&gt;&lt;span style="word-spacing: 0px; letter-spacing: 0px; display: inline-block; margin-left: 0px; width: 0.410156px; font-size: 9.6px; font-family: ffb0;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ffb1; -webkit-text-stroke: 0.144px rgba(0, 0, 0, 0);"&gt;&lt;span style="display: inline-block;"&gt;31 De&lt;/span&gt;&lt;span style="word-spacing: 0px; letter-spacing: 0px; display: inline-block; margin-left: 0px; width: 0.410156px; font-size: 9.6px; font-family: ffb1; -webkit-text-stroke: 0.144px rgba(0, 0, 0, 0);"&gt;&lt;/span&gt;&lt;span style="display: inline-block;"&gt;c &lt;/span&gt;&lt;/span&gt;&lt;span class="pp-font-color-override-1" style="position: absolute; display: inline-block; left: 0px; top: 10.5391px; width: 102.428px; white-space: pre; word-spacing: -0.189px; letter-spacing: 0.2205px; margin-left: 0px; font-size: 10.5px; font-family: ffb0; -webkit-text-stroke: 0.1575px rgba(0, 0, 0, 0);"&gt;&lt;span style="display: inline-block;"&gt;Other current l&lt;/span&gt;&lt;span style="word-spacing: -0.189px; letter-spacing: 0.2205px; display: inline-block; margin-left: -0.684px; width: 0px; font-size: 10.5px; font-family: ffb0; -webkit-text-stroke: 0.1575px rgba(0, 0, 0, 0);"&gt;&lt;/span&gt;&lt;span style="display: inline-block;"&gt;iabilities&lt;/span&gt;&lt;/span&gt;&lt;span class="pp-font-color-override-1" style="position: absolute; display: inline-block; left: 0px; top: 33.1191px; width: 312.475px; white-space: pre; word-spacing: 0px; letter-spacing: 0.0315px; margin-left: 0px; font-size: 10.5px; font-family: ffb2; -webkit-text-stroke: 0.1575px rgba(0, 0, 0, 0);"&gt;&lt;span style="display: inline-block;"&gt;Accr&lt;/span&gt;&lt;span style="word-spacing: 0px; letter-spacing: 0.0315px; display: inline-block; margin-left: 0px; width: 0.410156px; font-size: 10.5px; font-family: ffb2; -webkit-text-stroke: 0.1575px rgba(0, 0, 0, 0);"&gt;&lt;/span&gt;&lt;span style="display: inline-block;"&gt;ue&lt;/span&gt;&lt;span style="word-spacing: 0px; letter-spacing: 0.0315px; display: inline-block; margin-left: 0px; width: 0.410156px; font-size: 10.5px; font-family: ffb2; -webkit-text-stroke: 0.1575px rgba(0, 0, 0, 0);"&gt;&lt;/span&gt;&lt;span style="display: inline-block;"&gt;d ex&lt;/span&gt;&lt;span style="word-spacing: 0px; letter-spacing: 0.0315px; display: inline-block; margin-left: 0px; width: 0.410156px; font-size: 10.5px; font-family: ffb2; -webkit-text-stroke: 0.1575px rgba(0, 0, 0, 0);"&gt;&lt;/span&gt;&lt;span style="display: inline-block;"&gt;pe&lt;/span&gt;&lt;span style="word-spacing: 0px; letter-spacing: 0.0315px; display: inline-block; margin-left: 0px; width: 0.410156px; font-size: 10.5px; font-family: ffb2; -webkit-text-stroke: 0.1575px rgba(0, 0, 0, 0);"&gt;&lt;/span&gt;&lt;span style="display: inline-block;"&gt;ns&lt;/span&gt;&lt;span style="word-spacing: 0px; letter-spacing: 0.0315px; display: inline-block; margin-left: 0px; width: 0.410156px; font-size: 10.5px; font-family: ffb2; -webkit-text-stroke: 0.1575px rgba(0, 0, 0, 0);"&gt;&lt;/span&gt;&lt;span style="display: inline-block;"&gt;es a&lt;/span&gt;&lt;span style="word-spacing: 0px; letter-spacing: 0.0315px; display: inline-block; margin-left: 0px; width: 0.410156px; font-size: 10.5px; font-family: ffb2; -webkit-text-stroke: 0.1575px rgba(0, 0, 0, 0);"&gt;&lt;/span&gt;&lt;span style="display: inline-block;"&gt;nd p&lt;/span&gt;&lt;span style="word-spacing: 0px; letter-spacing: 0.0315px; display: inline-block; margin-left: 0px; width: 0.410156px; font-size: 10.5px; font-family: ffb2; -webkit-text-stroke: 0.1575px rgba(0, 0, 0, 0);"&gt;&lt;/span&gt;&lt;span style="display: inline-block;"&gt;rep&lt;/span&gt;&lt;span style="word-spacing: 0px; letter-spacing: 0.0315px; display: inline-block; margin-left: 0px; width: 0.410156px; font-size: 10.5px; font-family: ffb2; -webkit-text-stroke: 0.1575px rgba(0, 0, 0, 0);"&gt;&lt;/span&gt;&lt;span style="display: inline-block;"&gt;ai&lt;/span&gt;&lt;span style="word-spacing: 0px; letter-spacing: 0.0315px; display: inline-block; margin-left: 0px; width: 0.410156px; font-size: 10.5px; font-family: ffb2; -webkit-text-stroke: 0.1575px rgba(0, 0, 0, 0);"&gt;&lt;/span&gt;&lt;span style="display: inline-block;"&gt;d inc&lt;/span&gt;&lt;span style="word-spacing: 0px; letter-spacing: 0.0315px; display: inline-block; margin-left: 0px; width: 0.410156px; font-size: 10.5px; font-family: ffb2; -webkit-text-stroke: 0.1575px rgba(0, 0, 0, 0);"&gt;&lt;/span&gt;&lt;span style="display: inline-block;"&gt;om&lt;/span&gt;&lt;span style="word-spacing: 0px; letter-spacing: 0.0315px; display: inline-block; margin-left: 0px; width: 0.410156px; font-size: 10.5px; font-family: ffb2; -webkit-text-stroke: 0.1575px rgba(0, 0, 0, 0);"&gt;&lt;/span&gt;&lt;span style="display: inline-block;"&gt;e&lt;/span&gt;&lt;span style="word-spacing: 0px; letter-spacing: 0.0315px; display: inline-block; margin-left: 0px; width: 63.7384px;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inline-block;"&gt;19,6&lt;/span&gt;&lt;span style="word-spacing: -0.0105px; letter-spacing: 0.0105px; display: inline-block; margin-left: 0px; width: 0.410156px; font-size: 10.5px; font-family: ffb2; -webkit-text-stroke: 0.1575px rgba(0, 0, 0, 0);"&gt;&lt;/span&gt;&lt;span style="display: inline-block;"&gt;45&lt;/span&gt;&lt;span style="word-spacing: -0.0105px; letter-spacing: 0.0105px; display: inline-block; margin-left: 0px; width: 24.2988px;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inline-block;"&gt;2&lt;/span&gt;&lt;span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0.925781px; font-size: 10.5px; font-family: ffb2; -webkit-text-stroke: 0.1575px rgba(0, 0, 0, 0);"&gt;&lt;/span&gt;&lt;span style="display: inline-block;"&gt;,11&lt;/span&gt;&lt;span style="word-spacing: 0.3885px; letter-spacing: -0.3885px; display: inline-block; margin-left: 0px; width: 0.410156px; font-size: 10.5px; font-family: ffb2; -webkit-text-stroke: 0.1575px rgba(0, 0, 0, 0);"&gt;&lt;/span&gt;&lt;span style="display: inline-block;"&gt;0&lt;/span&gt;&lt;/span&gt;&lt;/span&gt;&lt;/span&gt;&lt;span class="pp-font-color-override-1" style="position: absolute; display: inline-block; left: 263.859px;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0px; top: 49.0879px; width: 310.945px; white-space: pre; word-spacing: 0px; letter-spacing: 0.0315px; margin-left: 0px; font-size: 10.5px; font-family: ffb2; -webkit-text-stroke: 0.1575px rgba(0, 0, 0, 0);"&gt;&lt;span style="display: inline-block;"&gt;Lia&lt;/span&gt;&lt;span style="word-spacing: 0px; letter-spacing: 0.0315px; display: inline-block; margin-left: 0px; width: 0.410156px; font-size: 10.5px; font-family: ffb2; -webkit-text-stroke: 0.1575px rgba(0, 0, 0, 0);"&gt;&lt;/span&gt;&lt;span style="display: inline-block;"&gt;bili&lt;/span&gt;&lt;span style="word-spacing: 0px; letter-spacing: 0.0315px; display: inline-block; margin-left: 0px; width: 0.410156px; font-size: 10.5px; font-family: ffb2; -webkit-text-stroke: 0.1575px rgba(0, 0, 0, 0);"&gt;&lt;/span&gt;&lt;span style="display: inline-block;"&gt;tie&lt;/span&gt;&lt;span style="word-spacing: 0px; letter-spacing: 0.0315px; display: inline-block; margin-left: 0px; width: 0.410156px; font-size: 10.5px; font-family: ffb2; -webkit-text-stroke: 0.1575px rgba(0, 0, 0, 0);"&gt;&lt;/span&gt;&lt;span style="display: inline-block;"&gt;s re&lt;/span&gt;&lt;span style="word-spacing: 0px; letter-spacing: 0.0315px; display: inline-block; margin-left: 0px; width: 0.410156px; font-size: 10.5px; font-family: ffb2; -webkit-text-stroke: 0.1575px rgba(0, 0, 0, 0);"&gt;&lt;/span&gt;&lt;span style="display: inline-block;"&gt;late&lt;/span&gt;&lt;span style="word-spacing: 0px; letter-spacing: 0.0315px; display: inline-block; margin-left: 0px; width: 0.410156px; font-size: 10.5px; font-family: ffb2; -webkit-text-stroke: 0.1575px rgba(0, 0, 0, 0);"&gt;&lt;/span&gt;&lt;span style="display: inline-block;"&gt;d to re&lt;/span&gt;&lt;span style="word-spacing: 0px; letter-spacing: 0.0315px; display: inline-block; margin-left: 0px; width: 0.410156px; font-size: 10.5px; font-family: ffb2; -webkit-text-stroke: 0.1575px rgba(0, 0, 0, 0);"&gt;&lt;/span&gt;&lt;span style="display: inline-block;"&gt;pur&lt;/span&gt;&lt;span style="word-spacing: 0px; letter-spacing: 0.0315px; display: inline-block; margin-left: 0px; width: 0.410156px; font-size: 10.5px; font-family: ffb2; -webkit-text-stroke: 0.1575px rgba(0, 0, 0, 0);"&gt;&lt;/span&gt;&lt;span style="display: inline-block;"&gt;cha&lt;/span&gt;&lt;span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inline-block;"&gt;mi&lt;/span&gt;&lt;span style="word-spacing: 0px; letter-spacing: 0.0315px; display: inline-block; margin-left: 0px; width: 0.410156px; font-size: 10.5px; font-family: ffb2; -webkit-text-stroke: 0.1575px rgba(0, 0, 0, 0);"&gt;&lt;/span&gt;&lt;span style="display: inline-block;"&gt;tme&lt;/span&gt;&lt;span style="word-spacing: 0px; letter-spacing: 0.0315px; display: inline-block; margin-left: 0px; width: 0.410156px; font-size: 10.5px; font-family: ffb2; -webkit-text-stroke: 0.1575px rgba(0, 0, 0, 0);"&gt;&lt;/span&gt;&lt;span style="display: inline-block;"&gt;nt&lt;/span&gt;&lt;span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29.5723px; font-size: 10.5px; font-family: ffb2; -webkit-text-stroke: 0.1575px rgba(0, 0, 0, 0);"&gt;&lt;span style="display: inline-block;"&gt; &lt;/span&gt;&lt;/span&gt;&lt;span class="pp-font-color-override-1" style="word-spacing: 0.0945px; letter-spacing: -0.0945px; display: inline-block; margin-left: 0px; font-size: 10.5px; font-family: ffb2; -webkit-text-stroke: 0.1575px rgba(0, 0, 0, 0);"&gt;&lt;span style="display: inline-block;"&gt;15&lt;/span&gt;&lt;span style="word-spacing: 0.0945px; letter-spacing: -0.0945px; display: inline-block; margin-left: 0px; width: 0.410156px; font-size: 10.5px; font-family: ffb2; -webkit-text-stroke: 0.1575px rgba(0, 0, 0, 0);"&gt;&lt;/span&gt;&lt;span style="display: inline-block;"&gt;,&lt;/span&gt;&lt;span style="word-spacing: 0.0945px; letter-spacing: -0.0945px; display: inline-block; margin-left: 0px; width: 0.410156px; font-size: 10.5px; font-family: ffb2; -webkit-text-stroke: 0.1575px rgba(0, 0, 0, 0);"&gt;&lt;/span&gt;&lt;span style="display: inline-block;"&gt;367&lt;/span&gt;&lt;span style="word-spacing: 0.0945px; letter-spacing: -0.0945px; display: inline-block; margin-left: 0px; width: 24.2988px; font-size: 10.5px; font-family: ffb2; -webkit-text-stroke: 0.1575px rgba(0, 0, 0, 0);"&gt;&lt;span style="display: inline-block;"&gt;&lt;span style="width: 2.625px; display: inline-block;"&gt; &lt;/span&gt;&lt;/span&gt;&lt;/span&gt;&lt;span class="pp-font-color-override-1" style="word-spacing: 0.3885px; letter-spacing: -0.3885px; display: inline-block; margin-left: 0px; font-size: 10.5px; font-family: ffb2; -webkit-text-stroke: 0.1575px rgba(0, 0, 0, 0);"&gt;&lt;span style="display: inline-block;"&gt;1&lt;/span&gt;&lt;span style="word-spacing: 0.3885px; letter-spacing: -0.3885px; display: inline-block; margin-left: 0px; width: 0.410156px; font-size: 10.5px; font-family: ffb2; -webkit-text-stroke: 0.1575px rgba(0, 0, 0, 0);"&gt;&lt;/span&gt;&lt;span style="display: inline-block;"&gt;4&lt;/span&gt;&lt;span style="word-spacing: 0.3885px; letter-spacing: -0.3885px; display: inline-block; margin-left: 0px; width: 0.410156px; font-size: 10.5px; font-family: ffb2; -webkit-text-stroke: 0.1575px rgba(0, 0, 0, 0);"&gt;&lt;/span&gt;&lt;span style="display: inline-block;"&gt;,1&lt;/span&gt;&lt;span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0.925781px; font-size: 10.5px; font-family: ffb2; -webkit-text-stroke: 0.1575px rgba(0, 0, 0, 0);"&gt;&lt;/span&gt;&lt;span style="display: inline-block;"&gt;4&lt;/span&gt;&lt;/span&gt;&lt;/span&gt;&lt;/span&gt;&lt;span class="pp-font-color-override-1" style="position: absolute; display: inline-block; left: 319.906px;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0px; top: 65.7754px; width: 320.871px; white-space: pre; word-spacing: -0.1575px; letter-spacing: 0.189px; margin-left: 0px; font-size: 10.5px; font-family: ffb2; -webkit-text-stroke: 0.1575px rgba(0, 0, 0, 0);"&gt;&lt;span style="display: inline-block;"&gt;Personnel related liabilit&lt;/span&gt;&lt;span style="word-spacing: -0.1575px; letter-spacing: 0.189px; display: inline-block; margin-left: -0.684px; width: 0px; font-size: 10.5px; font-family: ffb2; -webkit-text-stroke: 0.1575px rgba(0, 0, 0, 0);"&gt;&lt;/span&gt;&lt;span style="display: inline-block;"&gt;ie&lt;/span&gt;&lt;span style="word-spacing: -0.1575px; letter-spacing: 0.189px; display: inline-block; margin-left: 0px; width: 0.410156px; font-size: 10.5px; font-family: ffb2; -webkit-text-stroke: 0.1575px rgba(0, 0, 0, 0);"&gt;&lt;/span&gt;&lt;span style="display: inline-block;"&gt;s&lt;/span&gt;&lt;span style="word-spacing: -0.1575px; letter-spacing: 0.189px; display: inline-block; margin-left: 0px; width: 124.77px; font-size: 10.5px; font-family: ffb2; -webkit-text-stroke: 0.1575px rgba(0, 0, 0, 0);"&gt;&lt;span style="display: inline-block;"&gt; &lt;/span&gt;&lt;/span&gt;&lt;span class="pp-font-color-override-1" style="word-spacing: -0.21px; letter-spacing: 0.21px; display: inline-block; margin-left: 0px; font-size: 10.5px; font-family: ffb2; -webkit-text-stroke: 0.1575px rgba(0, 0, 0, 0);"&gt;&lt;span style="display: inline-block;"&gt;5,946&lt;/span&gt;&lt;span style="word-spacing: -0.21px; letter-spacing: 0.21px; display: inline-block; margin-left: 0px; width: 29.5723px; font-size: 10.5px; font-family: ffb2; -webkit-text-stroke: 0.1575px rgba(0, 0, 0, 0);"&gt;&lt;span style="display: inline-block;"&gt; &lt;/span&gt;&lt;/span&gt;&lt;span class="pp-font-color-override-1" style="word-spacing: 0.546px; letter-spacing: -0.546px; display: inline-block; margin-left: 0px; font-size: 10.5px; font-family: ffb2; -webkit-text-stroke: 0.1575px rgba(0, 0, 0, 0);"&gt;&lt;span style="display: inline-block;"&gt;7,&lt;/span&gt;&lt;span style="word-spacing: 0.546px; letter-spacing: -0.546px; display: inline-block; margin-left: 0px; width: 0.410156px; font-size: 10.5px; font-family: ffb2; -webkit-text-stroke: 0.1575px rgba(0, 0, 0, 0);"&gt;&lt;/span&gt;&lt;span style="display: inline-block;"&gt;1&lt;/span&gt;&lt;span style="word-spacing: 0.546px; letter-spacing: -0.546px; display: inline-block; margin-left: 0px; width: 0.410156px; font-size: 10.5px; font-family: ffb2; -webkit-text-stroke: 0.1575px rgba(0, 0, 0, 0);"&gt;&lt;/span&gt;&lt;span style="display: inline-block;"&gt;5&lt;/span&gt;&lt;span style="word-spacing: 0.546px; letter-spacing: -0.546px; display: inline-block; margin-left: 0px; width: 0.925781px; font-size: 10.5px; font-family: ffb2; -webkit-text-stroke: 0.1575px rgba(0, 0, 0, 0);"&gt;&lt;/span&gt;&lt;span style="display: inline-block;"&gt;4&lt;/span&gt;&lt;/span&gt;&lt;/span&gt;&lt;/span&gt;&lt;span class="pp-font-color-override-1" style="position: absolute; display: inline-block; left: 0px; top: 81.7441px; width: 333.768px; white-space: pre; word-spacing: -0.063px; letter-spacing: 0.0945px; margin-left: 0px; font-size: 10.5px; font-family: ffb2; -webkit-text-stroke: 0.1575px rgba(0, 0, 0, 0);"&gt;&lt;span style="display: inline-block;"&gt;V&lt;/span&gt;&lt;span style="word-spacing: -0.063px; letter-spacing: 0.0945px; display: inline-block; margin-left: -0.684px; width: 0px; font-size: 10.5px; font-family: ffb2; -webkit-text-stroke: 0.1575px rgba(0, 0, 0, 0);"&gt;&lt;/span&gt;&lt;span style="display: inline-block;"&gt;A&lt;/span&gt;&lt;span style="word-spacing: -0.063px; letter-spacing: 0.0945px; display: inline-block; margin-left: -0.6</t>
  </si>
  <si>
    <t>f1__s8__6__27</t>
  </si>
  <si>
    <t>ifrs-full:DescriptionOfAccountingPolicyForFunctionalCurrencyExplanatory</t>
  </si>
  <si>
    <t>f1__s8__6__271</t>
  </si>
  <si>
    <t>ifrs-full:DisclosureOfAccruedExpensesAndOtherLiabilitiesExplanatory</t>
  </si>
  <si>
    <t>&lt;span style="display:inherit;clear:left;position:relative;height:126.11328125px;"&gt;&lt;span class="pp-font-color-override-1" style="position: absolute; display: inline-block; left: 257.109px; top: 0.748047px; width: 30.2637px; white-space: pre; word-spacing: 0px; letter-spacing: 0px; margin-left: 0px; font-size: 9.6px; font-family: ffb0; -webkit-text-stroke: 0.144px rgba(0, 0, 0, 0);"&gt;&lt;span style="display: inline-block;"&gt;31 De&lt;/span&gt;&lt;span style="word-spacing: 0px; letter-spacing: 0px; display: inline-block; margin-left: 0px; width: 0.410156px; font-size: 9.6px; font-family: ffb0; -webkit-text-stroke: 0.144px rgba(0, 0, 0, 0);"&gt;&lt;/span&gt;&lt;span style="display: inline-block;"&gt;c &lt;/span&gt;&lt;/span&gt;&lt;span class="pp-font-color-override-1" style="position: absolute; display: inline-block; left: 313.078px; top: 0.0039062px; width: 30.2637px; white-space: pre; word-spacing: 0px; letter-spacing: 0px; margin-left: 0px; font-size: 9.6px; font-family: ffb1; -webkit-text-stroke: 0.144px rgba(0, 0, 0, 0);"&gt;&lt;span style="display: inline-block;"&gt;31 De&lt;/span&gt;&lt;span style="word-spacing: 0px; letter-spacing: 0px; display: inline-block; margin-left: 0px; width: 0.410156px; font-size: 9.6px; font-family: ffb1; -webkit-text-stroke: 0.144px rgba(0, 0, 0, 0);"&gt;&lt;/span&gt;&lt;span style="display: inline-block;"&gt;c &lt;/span&gt;&lt;/span&gt;&lt;span class="pp-font-color-override-1" style="position: absolute; display: inline-block; left: 0px; top: 10.5391px; width: 102.428px; white-space: pre; word-spacing: -0.189px; letter-spacing: 0.2205px; margin-left: 0px; font-size: 10.5px; font-family: ffb0; -webkit-text-stroke: 0.1575px rgba(0, 0, 0, 0);"&gt;&lt;span style="display: inline-block;"&gt;Other current l&lt;/span&gt;&lt;span style="word-spacing: -0.189px; letter-spacing: 0.2205px; display: inline-block; margin-left: -0.684px; width: 0px; font-size: 10.5px; font-family: ffb0; -webkit-text-stroke: 0.1575px rgba(0, 0, 0, 0);"&gt;&lt;/span&gt;&lt;span style="display: inline-block;"&gt;iabilities&lt;/span&gt;&lt;/span&gt;&lt;span class="pp-font-color-override-1" style="position: absolute; display: inline-block; left: 0px; top: 33.1191px; width: 312.475px; white-space: pre; word-spacing: 0px; letter-spacing: 0.0315px; margin-left: 0px; font-size: 10.5px; font-family: ffb2; -webkit-text-stroke: 0.1575px rgba(0, 0, 0, 0);"&gt;&lt;span style="display: inline-block;"&gt;Accr&lt;/span&gt;&lt;span style="word-spacing: 0px; letter-spacing: 0.0315px; display: inline-block; margin-left: 0px; width: 0.410156px; font-size: 10.5px; font-family: ffb2; -webkit-text-stroke: 0.1575px rgba(0, 0, 0, 0);"&gt;&lt;/span&gt;&lt;span style="display: inline-block;"&gt;ue&lt;/span&gt;&lt;span style="word-spacing: 0px; letter-spacing: 0.0315px; display: inline-block; margin-left: 0px; width: 0.410156px; font-size: 10.5px; font-family: ffb2; -webkit-text-stroke: 0.1575px rgba(0, 0, 0, 0);"&gt;&lt;/span&gt;&lt;span style="display: inline-block;"&gt;d ex&lt;/span&gt;&lt;span style="word-spacing: 0px; letter-spacing: 0.0315px; display: inline-block; margin-left: 0px; width: 0.410156px; font-size: 10.5px; font-family: ffb2; -webkit-text-stroke: 0.1575px rgba(0, 0, 0, 0);"&gt;&lt;/span&gt;&lt;span style="display: inline-block;"&gt;pe&lt;/span&gt;&lt;span style="word-spacing: 0px; letter-spacing: 0.0315px; display: inline-block; margin-left: 0px; width: 0.410156px; font-size: 10.5px; font-family: ffb2; -webkit-text-stroke: 0.1575px rgba(0, 0, 0, 0);"&gt;&lt;/span&gt;&lt;span style="display: inline-block;"&gt;ns&lt;/span&gt;&lt;span style="word-spacing: 0px; letter-spacing: 0.0315px; display: inline-block; margin-left: 0px; width: 0.410156px; font-size: 10.5px; font-family: ffb2; -webkit-text-stroke: 0.1575px rgba(0, 0, 0, 0);"&gt;&lt;/span&gt;&lt;span style="display: inline-block;"&gt;es a&lt;/span&gt;&lt;span style="word-spacing: 0px; letter-spacing: 0.0315px; display: inline-block; margin-left: 0px; width: 0.410156px; font-size: 10.5px; font-family: ffb2; -webkit-text-stroke: 0.1575px rgba(0, 0, 0, 0);"&gt;&lt;/span&gt;&lt;span style="display: inline-block;"&gt;nd p&lt;/span&gt;&lt;span style="word-spacing: 0px; letter-spacing: 0.0315px; display: inline-block; margin-left: 0px; width: 0.410156px; font-size: 10.5px; font-family: ffb2; -webkit-text-stroke: 0.1575px rgba(0, 0, 0, 0);"&gt;&lt;/span&gt;&lt;span style="display: inline-block;"&gt;rep&lt;/span&gt;&lt;span style="word-spacing: 0px; letter-spacing: 0.0315px; display: inline-block; margin-left: 0px; width: 0.410156px; font-size: 10.5px; font-family: ffb2; -webkit-text-stroke: 0.1575px rgba(0, 0, 0, 0);"&gt;&lt;/span&gt;&lt;span style="display: inline-block;"&gt;ai&lt;/span&gt;&lt;span style="word-spacing: 0px; letter-spacing: 0.0315px; display: inline-block; margin-left: 0px; width: 0.410156px; font-size: 10.5px; font-family: ffb2; -webkit-text-stroke: 0.1575px rgba(0, 0, 0, 0);"&gt;&lt;/span&gt;&lt;span style="display: inline-block;"&gt;d inc&lt;/span&gt;&lt;span style="word-spacing: 0px; letter-spacing: 0.0315px; display: inline-block; margin-left: 0px; width: 0.410156px; font-size: 10.5px; font-family: ffb2; -webkit-text-stroke: 0.1575px rgba(0, 0, 0, 0);"&gt;&lt;/span&gt;&lt;span style="display: inline-block;"&gt;om&lt;/span&gt;&lt;span style="word-spacing: 0px; letter-spacing: 0.0315px; display: inline-block; margin-left: 0px; width: 0.410156px; font-size: 10.5px; font-family: ffb2; -webkit-text-stroke: 0.1575px rgba(0, 0, 0, 0);"&gt;&lt;/span&gt;&lt;span style="display: inline-block;"&gt;e&lt;/span&gt;&lt;span style="word-spacing: 0px; letter-spacing: 0.0315px; display: inline-block; margin-left: 0px; width: 63.7384px;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inline-block;"&gt;19,6&lt;/span&gt;&lt;span style="word-spacing: -0.0105px; letter-spacing: 0.0105px; display: inline-block; margin-left: 0px; width: 0.410156px; font-size: 10.5px; font-family: ffb2; -webkit-text-stroke: 0.1575px rgba(0, 0, 0, 0);"&gt;&lt;/span&gt;&lt;span style="display: inline-block;"&gt;45&lt;/span&gt;&lt;span style="word-spacing: -0.0105px; letter-spacing: 0.0105px; display: inline-block; margin-left: 0px; width: 24.2988px;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inline-block;"&gt;2&lt;/span&gt;&lt;span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0.925781px; font-size: 10.5px; font-family: ffb2; -webkit-text-stroke: 0.1575px rgba(0, 0, 0, 0);"&gt;&lt;/span&gt;&lt;span style="display: inline-block;"&gt;,11&lt;/span&gt;&lt;span style="word-spacing: 0.3885px; letter-spacing: -0.3885px; display: inline-block; margin-left: 0px; width: 0.410156px; font-size: 10.5px; font-family: ffb2; -webkit-text-stroke: 0.1575px rgba(0, 0, 0, 0);"&gt;&lt;/span&gt;&lt;span style="display: inline-block;"&gt;0&lt;/span&gt;&lt;/span&gt;&lt;/span&gt;&lt;/span&gt;&lt;span class="pp-font-color-override-1" style="position: absolute; display: inline-block; left: 263.859px;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0px; top: 49.0879px; width: 310.945px; white-space: pre; word-spacing: 0px; letter-spacing: 0.0315px; margin-left: 0px; font-size: 10.5px; font-family: ffb2; -webkit-text-stroke: 0.1575px rgba(0, 0, 0, 0);"&gt;&lt;span style="display: inline-block;"&gt;Lia&lt;/span&gt;&lt;span style="word-spacing: 0px; letter-spacing: 0.0315px; display: inline-block; margin-left: 0px; width: 0.410156px; font-size: 10.5px; font-family: ffb2; -webkit-text-stroke: 0.1575px rgba(0, 0, 0, 0);"&gt;&lt;/span&gt;&lt;span style="display: inline-block;"&gt;bili&lt;/span&gt;&lt;span style="word-spacing: 0px; letter-spacing: 0.0315px; display: inline-block; margin-left: 0px; width: 0.410156px; font-size: 10.5px; font-family: ffb2; -webkit-text-stroke: 0.1575px rgba(0, 0, 0, 0);"&gt;&lt;/span&gt;&lt;span style="display: inline-block;"&gt;tie&lt;/span&gt;&lt;span style="word-spacing: 0px; letter-spacing: 0.0315px; display: inline-block; margin-left: 0px; width: 0.410156px; font-size: 10.5px; font-family: ffb2; -webkit-text-stroke: 0.1575px rgba(0, 0, 0, 0);"&gt;&lt;/span&gt;&lt;span style="display: inline-block;"&gt;s re&lt;/span&gt;&lt;span style="word-spacing: 0px; letter-spacing: 0.0315px; display: inline-block; margin-left: 0px; width: 0.410156px; font-size: 10.5px; font-family: ffb2; -webkit-text-stroke: 0.1575px rgba(0, 0, 0, 0);"&gt;&lt;/span&gt;&lt;span style="display: inline-block;"&gt;late&lt;/span&gt;&lt;span style="word-spacing: 0px; letter-spacing: 0.0315px; display: inline-block; margin-left: 0px; width: 0.410156px; font-size: 10.5px; font-family: ffb2; -webkit-text-stroke: 0.1575px rgba(0, 0, 0, 0);"&gt;&lt;/span&gt;&lt;span style="display: inline-block;"&gt;d to re&lt;/span&gt;&lt;span style="word-spacing: 0px; letter-spacing: 0.0315px; display: inline-block; margin-left: 0px; width: 0.410156px; font-size: 10.5px; font-family: ffb2; -webkit-text-stroke: 0.1575px rgba(0, 0, 0, 0);"&gt;&lt;/span&gt;&lt;span style="display: inline-block;"&gt;pur&lt;/span&gt;&lt;span style="word-spacing: 0px; letter-spacing: 0.0315px; display: inline-block; margin-left: 0px; width: 0.410156px; font-size: 10.5px; font-family: ffb2; -webkit-text-stroke: 0.1575px rgba(0, 0, 0, 0);"&gt;&lt;/span&gt;&lt;span style="display: inline-block;"&gt;cha&lt;/span&gt;&lt;span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inline-block;"&gt;mi&lt;/span&gt;&lt;span style="word-spacing: 0px; letter-spacing: 0.0315px; display: inline-block; margin-left: 0px; width: 0.410156px; font-size: 10.5px; font-family: ffb2; -webkit-text-stroke: 0.1575px rgba(0, 0, 0, 0);"&gt;&lt;/span&gt;&lt;span style="display: inline-block;"&gt;tme&lt;/span&gt;&lt;span style="word-spacing: 0px; letter-spacing: 0.0315px; display: inline-block; margin-left: 0px; width: 0.410156px; font-size: 10.5px; font-family: ffb2; -webkit-text-stroke: 0.1575px rgba(0, 0, 0, 0);"&gt;&lt;/span&gt;&lt;span style="display: inline-block;"&gt;nt&lt;/span&gt;&lt;span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29.5723px; font-size: 10.5px; font-family: ffb2; -webkit-text-stroke: 0.1575px rgba(0, 0, 0, 0);"&gt;&lt;span style="display: inline-block;"&gt; &lt;/span&gt;&lt;/span&gt;&lt;span class="pp-font-color-override-1" style="word-spacing: 0.0945px; letter-spacing: -0.0945px; display: inline-block; margin-left: 0px; font-size: 10.5px; font-family: ffb2; -webkit-text-stroke: 0.1575px rgba(0, 0, 0, 0);"&gt;&lt;span style="display: inline-block;"&gt;15&lt;/span&gt;&lt;span style="word-spacing: 0.0945px; letter-spacing: -0.0945px; display: inline-block; margin-left: 0px; width: 0.410156px; font-size: 10.5px; font-family: ffb2; -webkit-text-stroke: 0.1575px rgba(0, 0, 0, 0);"&gt;&lt;/span&gt;&lt;span style="display: inline-block;"&gt;,&lt;/span&gt;&lt;span style="word-spacing: 0.0945px; letter-spacing: -0.0945px; display: inline-block; margin-left: 0px; width: 0.410156px; font-size: 10.5px; font-family: ffb2; -webkit-text-stroke: 0.1575px rgba(0, 0, 0, 0);"&gt;&lt;/span&gt;&lt;span style="display: inline-block;"&gt;367&lt;/span&gt;&lt;span style="word-spacing: 0.0945px; letter-spacing: -0.0945px; display: inline-block; margin-left: 0px; width: 24.2988px; font-size: 10.5px; font-family: ffb2; -webkit-text-stroke: 0.1575px rgba(0, 0, 0, 0);"&gt;&lt;span style="display: inline-block;"&gt;&lt;span style="width: 2.625px; display: inline-block;"&gt; &lt;/span&gt;&lt;/span&gt;&lt;/span&gt;&lt;span class="pp-font-color-override-1" style="word-spacing: 0.3885px; letter-spacing: -0.3885px; display: inline-block; margin-left: 0px; font-size: 10.5px; font-family: ffb2; -webkit-text-stroke: 0.1575px rgba(0, 0, 0, 0);"&gt;&lt;span style="display: inline-block;"&gt;1&lt;/span&gt;&lt;span style="word-spacing: 0.3885px; letter-spacing: -0.3885px; display: inline-block; margin-left: 0px; width: 0.410156px; font-size: 10.5px; font-family: ffb2; -webkit-text-stroke: 0.1575px rgba(0, 0, 0, 0);"&gt;&lt;/span&gt;&lt;span style="display: inline-block;"&gt;4&lt;/span&gt;&lt;span style="word-spacing: 0.3885px; letter-spacing: -0.3885px; display: inline-block; margin-left: 0px; width: 0.410156px; font-size: 10.5px; font-family: ffb2; -webkit-text-stroke: 0.1575px rgba(0, 0, 0, 0);"&gt;&lt;/span&gt;&lt;span style="display: inline-block;"&gt;,1&lt;/span&gt;&lt;span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0.925781px; font-size: 10.5px; font-family: ffb2; -webkit-text-stroke: 0.1575px rgba(0, 0, 0, 0);"&gt;&lt;/span&gt;&lt;span style="display: inline-block;"&gt;4&lt;/span&gt;&lt;/span&gt;&lt;/span&gt;&lt;/span&gt;&lt;span class="pp-font-color-override-1" style="position: absolute; display: inline-block; left: 319.906px;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0px; top: 65.7754px; width: 320.871px; white-space: pre; word-spacing: -0.1575px; letter-spacing: 0.189px; margin-left: 0px; font-size: 10.5px; font-family: ffb2; -webkit-text-stroke: 0.1575px rgba(0, 0, 0, 0);"&gt;&lt;span style="display: inline-block;"&gt;Personnel related liabilit&lt;/span&gt;&lt;span style="word-spacing: -0.1575px; letter-spacing: 0.189px; display: inline-block; margin-left: -0.684px; width: 0px; font-size: 10.5px; font-family: ffb2; -webkit-text-stroke: 0.1575px rgba(0, 0, 0, 0);"&gt;&lt;/span&gt;&lt;span style="display: inline-block;"&gt;ie&lt;/span&gt;&lt;span style="word-spacing: -0.1575px; letter-spacing: 0.189px; display: inline-block; margin-left: 0px; width: 0.410156px; font-size: 10.5px; font-family: ffb2; -webkit-text-stroke: 0.1575px rgba(0, 0, 0, 0);"&gt;&lt;/span&gt;&lt;span style="display: inline-block;"&gt;s&lt;/span&gt;&lt;span style="word-spacing: -0.1575px; letter-spacing: 0.189px; display: inline-block; margin-left: 0px; width: 124.77px; font-size: 10.5px; font-family: ffb2; -webkit-text-stroke: 0.1575px rgba(0, 0, 0, 0);"&gt;&lt;span style="display: inline-block;"&gt; &lt;/span&gt;&lt;/span&gt;&lt;span class="pp-font-color-override-1" style="word-spacing: -0.21px; letter-spacing: 0.21px; display: inline-block; margin-left: 0px; font-size: 10.5px; font-family: ffb2; -webkit-text-stroke: 0.1575px rgba(0, 0, 0, 0);"&gt;&lt;span style="display: inline-block;"&gt;5,946&lt;/span&gt;&lt;span style="word-spacing: -0.21px; letter-spacing: 0.21px; display: inline-block; margin-left: 0px; width: 29.5723px; font-size: 10.5px; font-family: ffb2; -webkit-text-stroke: 0.1575px rgba(0, 0, 0, 0);"&gt;&lt;span style="display: inline-block;"&gt; &lt;/span&gt;&lt;/span&gt;&lt;span class="pp-font-color-override-1" style="word-spacing: 0.546px; letter-spacing: -0.546px; display: inline-block; margin-left: 0px; font-size: 10.5px; font-family: ffb2; -webkit-text-stroke: 0.1575px rgba(0, 0, 0, 0);"&gt;&lt;span style="display: inline-block;"&gt;7,&lt;/span&gt;&lt;span style="word-spacing: 0.546px; letter-spacing: -0.546px; display: inline-block; margin-left: 0px; width: 0.410156px; font-size: 10.5px; font-family: ffb2; -webkit-text-stroke: 0.1575px rgba(0, 0, 0, 0);"&gt;&lt;/span&gt;&lt;span style="display: inline-block;"&gt;1&lt;/span&gt;&lt;span style="word-spacing: 0.546px; letter-spacing: -0.546px; display: inline-block; margin-left: 0px; width: 0.410156px; font-size: 10.5px; font-family: ffb2; -webkit-text-stroke: 0.1575px rgba(0, 0, 0, 0);"&gt;&lt;/span&gt;&lt;span style="display: inline-block;"&gt;5&lt;/span&gt;&lt;span style="word-spacing: 0.546px; letter-spacing: -0.546px; display: inline-block; margin-left: 0px; width: 0.925781px; font-size: 10.5px; font-family: ffb2; -webkit-text-stroke: 0.1575px rgba(0, 0, 0, 0);"&gt;&lt;/span&gt;&lt;span style="display: inline-block;"&gt;4&lt;/span&gt;&lt;/span&gt;&lt;/span&gt;&lt;/span&gt;&lt;span class="pp-font-color-override-1" style="position: absolute; display: inline-block; left: 0px; top: 81.7441px; width: 333.768px; white-space: pre; word-spacing: -0.063px; letter-spacing: 0.0945px; margin-left: 0px; font-size: 10.5px; font-family: ffb2; -webkit-text-stroke: 0.1575px rgba(0, 0, 0, 0);"&gt;&lt;span style="display: inline-block;"&gt;V&lt;/span&gt;&lt;span style="word-spacing: -0.063px; letter-spacing: 0.0945px; display: inline-block; margin-left: -0.684px; width: 0px; font-size: 10.5px; font-family: ffb2; -webkit-text-stroke: 0.1575px rgba(0, 0, 0, 0);"&gt;&lt;/span&gt;&lt;span style="display: inline-block;"&gt;A&lt;/span&gt;&lt;span style="word-spacing: -0.063px; letter-spacing: 0.0945px; display: inline-block; margin-left: -0.684px; width: 0px; font-size: 10.5px; font-family: ffb2; -webkit-text-stroke: 0.1575px rgba(0, 0, 0, 0);"&gt;&lt;/span&gt;&lt;span style="display: inline-block;"&gt;T liabili&lt;/span&gt;&lt;span style="word-spacing: -0.063px; letter-spacing: 0.0945px; display: inline-block; margin-left: 0px; width: 0.410156px; font-size: 10.5px; font-family: ffb2; -webkit-text-stroke: 0.1575px rgba(0, 0, 0, 0);"&gt;&lt;/span&gt;&lt;span style="display: inline-block;"&gt;ties&lt;/span&gt;&lt;span style="word-spacing: -0.063px; letter-spacing: 0.0945px; display: inline-block; margin-left: 0px; width: 192.873px; font-size: 10.5px; font-family: ffb2; -webkit-text-stroke: 0.1575px rgba(0, 0, 0, 0);"&gt;&lt;span style="display: inline-block;"&gt; &lt;/span&gt;&lt;/span&gt;&lt;span class="pp-font-color-override-1" style="word-spacing: -0.147px; letter-spacing: 0.147px; display: inline-block; margin-left: 0px; font-size: 10.5px; font-family: ffb2; -webkit-text-stroke: 0.1575px rgba(0, 0, 0, 0);"&gt;&lt;span style="display: inline-block;"&gt;3,36&lt;/span&gt;&lt;span style="word-spacing: -0.147px; letter-spacing: 0.147px; display: inline-block; margin-left: 0px; width: 0.410156px; font-size: 10.5px; font-family: ffb2; -webkit-text-stroke: 0.1575px rgba(0, 0, 0, 0);"&gt;&lt;/span&gt;&lt;span style="display: inline-block;"&gt;4&lt;/span&gt;&lt;span style="word-spacing: -0.147px; letter-spacing: 0.147px; display: inline-block; margin-left: 0px; width: 29.5723px;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inline-block;"&gt;5&lt;/span&gt;&lt;span style="word-spacing: 0.3885px; letter-spacing: -0.3885px; display: inline-block; margin-left: 0px; width: 0.925781px; font-size: 10.5px; font-family: ffb2; -webkit-text-stroke: 0.1575px rgba(0, 0, 0, 0);"&gt;&lt;/span&gt;&lt;span style="display: inline-block;"&gt;,17&lt;/span&gt;&lt;span style="word-spacing: 0.3885px; letter-spacing: -0.3885px; display: inline-block; margin-left: 0px; width: 0.410156px; font-size: 10.5px; font-family: ffb2; -webkit-text-stroke: 0.1575px rgba(0, 0, 0, 0);"&gt;&lt;/span&gt;&lt;span style="display: inline-block;"&gt;2&lt;/span&gt;&lt;/span&gt;&lt;/span&gt;&lt;/span&gt;&lt;span class="pp-font-color-override-1" style="position: absolute; display: inline-block; left: 0px; top: 97.6973px; width: 327.615px; white-space: pre; word-spacing: -0.063px; letter-spacing: 0.0945px; margin-left: 0px; font-size: 10.5px; font-family: ffb2; -webkit-text-stroke: 0.1575px rgba(0, 0, 0, 0);"&gt;&lt;span style="display: inline-block;"&gt;Oth&lt;/span&gt;&lt;span style="word-spacing: -0.063px; letter-spacing: 0.0945px; display: inline-block; margin-left: 0px; width: 0.410156px; font-size: 10.5px; font-family: ffb2; -webkit-text-stroke: 0.1575px rgba(0, 0, 0, 0);"&gt;&lt;/span&gt;&lt;span style="display: inline-block;"&gt;er liabi&lt;/span&gt;&lt;span style="word-spacing: -0.063px; letter-spacing: 0.0945px; display: inline-block; margin-left: 0px; width: 0.410156px; font-size: 10.5px; font-family: ffb2; -webkit-text-stroke: 0.1575px rgba(0, 0, 0, 0);"&gt;&lt;/span&gt;&lt;span style="display: inline-block;"&gt;litie&lt;/span&gt;&lt;span style="word-spacing: -0.063px; letter-spacing: 0.0945px; display: inline-block; margin-left: 0px; width: 0.410156px; font-size: 10.5px; font-family: ffb2; -webkit-text-stroke: 0.1575px rgba(0, 0, 0, 0);"&gt;&lt;/span&gt;&lt;span style="display: inline-block;"&gt;s&lt;/span&gt;&lt;span style="word-spacing: -0.063px; letter-spacing: 0.0945px; display: inline-block; margin-left: 0px; width: 185.9px; font-size: 10.5px; font-family: ffb2; -webkit-text-stroke: 0.1575px rgba(0, 0, 0, 0);"&gt;&lt;span style="display: inline-block;"&gt; &lt;/span&gt;&lt;/span&gt;&lt;span class="pp-font-color-override-1" style="word-spacing: 0.42px; letter-spacing: -0.42px; display: inline-block; margin-left: 0px; font-size: 10.5px; font-family: ffb2; -webkit-text-stroke: 0.1575px rgba(0, 0, 0, 0);"&gt;&lt;span style="display: inline-block;"&gt;3&lt;/span&gt;&lt;span style="word-spacing: 0.42px; letter-spacing: -0.42px; display: inline-block; margin-left: 0px; width: 0.410156px; font-size: 10.5px; font-family: ffb2; -webkit-text-stroke: 0.1575px rgba(0, 0, 0, 0);"&gt;&lt;/span&gt;&lt;span style="display: inline-block;"&gt;,&lt;/span&gt;&lt;span style="word-spacing: 0.42px; letter-spacing: -0.42px; display: inline-block; margin-left: 0px; width: 0.410156px; font-size: 10.5px; font-family: ffb2; -webkit-text-stroke: 0.1575px rgba(0, 0, 0, 0);"&gt;&lt;/span&gt;&lt;span style="display: inline-block;"&gt;74&lt;/span&gt;&lt;span style="word-spacing: 0.42px; letter-spacing: -0.42px; display: inline-block; margin-left: 0px; width: 0.410156px; font-size: 10.5px; font-family: ffb2; -webkit-text-stroke: 0.1575px rgba(0, 0, 0, 0);"&gt;&lt;/span&gt;&lt;span style="display: inline-block;"&gt;5&lt;/span&gt;&lt;span style="word-spacing: 0.42px; letter-spacing: -0.42px; display: inline-block; margin-left: 0px; width: 27.0469px; font-size: 10.5px; font-family: ffb2;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ffb2; -webkit-text-stroke: 0.1575px rgba(0, 0, 0, 0);"&gt;&lt;span style="display: inline-block;"&gt;3&lt;/span&gt;&lt;span style="word-spacing: 0.273px; letter-spacing: -0.273px; display: inline-block; margin-left: 0px; width: 0.410156px; font-size: 10.5px; font-family: ffb2; -webkit-text-stroke: 0.1575px rgba(0, 0, 0, 0);"&gt;&lt;/span&gt;&lt;span style="display: inline-block;"&gt;,7&lt;/span&gt;&lt;span style="word-spacing: 0.273px; letter-spacing: -0.273px; display: inline-block; margin-left: 0px; width: 0.410156px; font-size: 10.5px; font-family: ffb2; -webkit-text-stroke: 0.1575px rgba(0, 0, 0, 0);"&gt;&lt;/span&gt;&lt;span style="display: inline-block;"&gt;5&lt;/span&gt;&lt;span style="word-spacing: 0.273px; letter-spacing: -0.273px; display: inline-block; margin-left: 0px; width: 0.410156px; font-size: 10.5px; font-family: ffb2; -webkit-text-stroke: 0.1575px rgba(0, 0, 0, 0);"&gt;&lt;/span&gt;&lt;span style="display: inline-block;"&gt;0&lt;/span&gt;&lt;/span&gt;&lt;/span&gt;&lt;/span&gt;&lt;span class="pp-font-color-override-1" style="position: absolute; display: inline-block; left: 275.666px; top: 114.492px; width: 46.6934px; white-space: pre; word-spacing: -0.105px; letter-spacing: 0.105px; margin-left: 0px; font-size: 10.5px; font-family: ffb0; -webkit-text-stroke: 0.1575px rgba(0, 0, 0, 0);"&gt;&lt;span style="word-spacing: -0.105px; letter-spacing: 0.105px; display: inline-block; margin-left: 0px; width: 17.1504px; font-size: 10.5px; font-family: ffb0; -webkit-text-stroke: 0.1575px rgba(0, 0, 0, 0);"&gt;&lt;span style="display: inline-block;"&gt; &lt;/span&gt;&lt;/span&gt;&lt;span class="pp-font-color-override-1" style="word-spacing: -0.042px; letter-spacing: 0.042px; display: inline-block; margin-left: 0px; font-size: 10.5px; font-family: ffb0; -webkit-text-stroke: 0.1575px rgba(0, 0, 0, 0);"&gt;&lt;span style="display: inline-block;"&gt;53&lt;/span&gt;&lt;span style="word-spacing: -0.042px; letter-spacing: 0.042px; display: inline-block; margin-left: 0px; width: 0.410156px; font-size: 10.5px; font-family: ffb0; -webkit-text-stroke: 0.1575px rgba(0, 0, 0, 0);"&gt;&lt;/span&gt;&lt;span style="display: inline-block;"&gt;,320&lt;/span&gt;&lt;/span&gt;&lt;/span&gt;&lt;span class="pp-font-color-override-1" style="position: absolute; display: inline-block; left: 0px; top: 114.492px; width: 245.748px; white-space: pre; word-spacing: -0.1995px; letter-spacing: 0.1995px; margin-left: 0px; font-size: 10.5px; font-family: ffb0; -webkit-text-stroke: 0.1575px rgba(0, 0, 0, 0);"&gt;&lt;span style="display: inline-block;"&gt;T&lt;/span&gt;&lt;span style="word-spacing: -0.1995px; letter-spacing: 0.1995px; display: inline-block; margin-left: -1.13625px; width: 0px; font-size: 10.5px; font-family: ffb0; -webkit-text-stroke: 0.1575px rgba(0, 0, 0, 0);"&gt;&lt;/span&gt;&lt;span style="display: inline-block;"&gt;ot&lt;/span&gt;&lt;span style="word-spacing: -0.1995px; letter-spacing: 0.1995px; display: inline-block; margin-left: 0px; width: 0.410156px; font-size: 10.5px; font-family: ffb0; -webkit-text-stroke: 0.1575px rgba(0, 0, 0, 0);"&gt;&lt;/span&gt;&lt;span style="display: inline-block;"&gt;al&lt;/span&gt;&lt;span style="word-spacing: -0.1995px; letter-spacing: 0.1995px; display: inline-block; margin-left: 0px; width: 223.306px; font-size: 10.5px; font-family: ffb0; -webkit-text-stroke: 0.1575px rgba(0, 0, 0, 0);"&gt;&lt;span style="display: inline-block;"&gt; &lt;/span&gt;&lt;/span&gt;&lt;/span&gt;&lt;span class="pp-font-color-override-1" style="position: absolute; display: inline-block; left: 245.748px; top: 114.492px; width: 29.918px; white-space: pre; word-spacing: -0.105px; letter-spacing: 0.105px; margin-left: 0px; font-size: 10.5px; font-family: ffb0; -webkit-text-stroke: 0.1575px rgba(0, 0, 0, 0);"&gt;&lt;span style="display: inline-block;"&gt;48&lt;/span&gt;&lt;span style="word-spacing: -0.105px; letter-spacing: 0.105px; display: inline-block; margin-left: 0px; width: 0.410156px; font-size: 10.5px; font-family: ffb0; -webkit-text-stroke: 0.1575px rgba(0, 0, 0, 0);"&gt;&lt;/span&gt;&lt;span style="display: inline-block;"&gt;,067&lt;/span&gt;&lt;/span&gt;&lt;/span&gt;</t>
  </si>
  <si>
    <t>f1__s8__6__274</t>
  </si>
  <si>
    <t>ifrs-full:DisclosureOfContingentLiabilitiesExplanatory</t>
  </si>
  <si>
    <t>&lt;span style="display:inherit;clear:left;"&gt;NOT&lt;span class="_ _7"&gt;&lt;/span&gt;E 25&lt;/span&gt;&lt;span style="display:inherit;clear:left;"&gt;CONTINGENT LIABILITIES AND &lt;span class="ls3 ws3"&gt; &lt;/span&gt;&lt;/span&gt;&lt;span style="display:inherit;clear:left;"&gt;PLEDGED ASS&lt;span class="_ _7"&gt;&lt;/span&gt;ETS&lt;/span&gt;&lt;span style="display:inherit;clear:left;"&gt;ACCOUNTING&lt;span class="_ _2"&gt;&lt;/span&gt; POLICIES&lt;/span&gt;&lt;span style="display:inherit;clear:left;"&gt;Whe&lt;span class="_ _7"&gt;&lt;/span&gt;n a p&lt;span class="_ _7"&gt;&lt;/span&gt;os&lt;span class="_ _7"&gt;&lt;/span&gt;s&lt;span class="_ _7"&gt;&lt;/span&gt;ib&lt;span class="_ _7"&gt;&lt;/span&gt;le ob&lt;span class="_ _7"&gt;&lt;/span&gt;lig&lt;span class="_ _7"&gt;&lt;/span&gt;ati&lt;span class="_ _7"&gt;&lt;/span&gt;on d&lt;span class="_ _7"&gt;&lt;/span&gt;oe&lt;span class="_ _7"&gt;&lt;/span&gt;s no&lt;span class="_ _7"&gt;&lt;/span&gt;t me&lt;span class="_ _7"&gt;&lt;/span&gt;et th&lt;span class="_ _7"&gt;&lt;/span&gt;e cr&lt;span class="_ _7"&gt;&lt;/span&gt;ite&lt;span class="_ _7"&gt;&lt;/span&gt;ri&lt;span class="_ _7"&gt;&lt;/span&gt;a for r&lt;span class="_ _7"&gt;&lt;/span&gt;ec&lt;span class="_ _7"&gt;&lt;/span&gt;og&lt;span class="_ _7"&gt;&lt;/span&gt;ni-&lt;/span&gt;&lt;span style="display:inherit;clear:left;"&gt;tio&lt;span class="_ _7"&gt;&lt;/span&gt;n as a li&lt;span class="_ _7"&gt;&lt;/span&gt;ab&lt;span class="_ _7"&gt;&lt;/span&gt;ili&lt;span class="_ _7"&gt;&lt;/span&gt;t&lt;span class="_ _7"&gt;&lt;/span&gt;y it m&lt;span class="_ _7"&gt;&lt;/span&gt;ay be d&lt;span class="_ _7"&gt;&lt;/span&gt;is&lt;span class="_ _7"&gt;&lt;/span&gt;cl&lt;span class="_ _7"&gt;&lt;/span&gt;os&lt;span class="_ _7"&gt;&lt;/span&gt;e&lt;span class="_ _7"&gt;&lt;/span&gt;d as a co&lt;span class="_ _7"&gt;&lt;/span&gt;nti&lt;span class="_ _7"&gt;&lt;/span&gt;nge&lt;span class="_ _7"&gt;&lt;/span&gt;nt li&lt;span class="_ _7"&gt;&lt;/span&gt;ab&lt;span class="_ _7"&gt;&lt;/span&gt;ili&lt;span class="_ _7"&gt;&lt;/span&gt;t&lt;span class="_ _7"&gt;&lt;/span&gt;y. The&lt;span class="_ _7"&gt;&lt;/span&gt;se &lt;/span&gt;&lt;span style="display:inherit;clear:left;"&gt;possib&lt;span class="_ _7"&gt;&lt;/span&gt;le obli&lt;span class="_ _2"&gt;&lt;/span&gt;gations derive from past e&lt;span class="_ _2"&gt;&lt;/span&gt;vents and their&lt;span class="_ _2"&gt;&lt;/span&gt; existence will &lt;/span&gt;&lt;span style="display:inherit;clear:left;"&gt;be confirmed only&lt;span class="_ _2"&gt;&lt;/span&gt; when one or sev&lt;span class="_ _2"&gt;&lt;/span&gt;eral uncert&lt;span class="_ _7"&gt;&lt;/span&gt;ain future&lt;span class="_ _2"&gt;&lt;/span&gt; events, &lt;/span&gt;&lt;span style="display:inherit;clear:left;"&gt;whi&lt;span class="_ _7"&gt;&lt;/span&gt;ch ar&lt;span class="_ _7"&gt;&lt;/span&gt;e no&lt;span class="_ _7"&gt;&lt;/span&gt;t ent&lt;span class="_ _7"&gt;&lt;/span&gt;ire&lt;span class="_ _7"&gt;&lt;/span&gt;ly wi&lt;span class="_ _7"&gt;&lt;/span&gt;th&lt;span class="_ _7"&gt;&lt;/span&gt;in Volvo Ca&lt;span class="_ _7"&gt;&lt;/span&gt;r Gr&lt;span class="_ _7"&gt;&lt;/span&gt;oup&lt;span class="_ _7"&gt;&lt;/span&gt;’s cont&lt;span class="_ _7"&gt;&lt;/span&gt;rol&lt;span class="_ _7"&gt;&lt;/span&gt;, t&lt;span class="_ _7"&gt;&lt;/span&gt;ake pl&lt;span class="_ _7"&gt;&lt;/span&gt;a&lt;span class="_ _7"&gt;&lt;/span&gt;ce or &lt;/span&gt;&lt;span style="display:inherit;clear:left;"&gt;fa&lt;span class="_ _7"&gt;&lt;/span&gt;il to t&lt;span class="_ _7"&gt;&lt;/span&gt;ake pl&lt;span class="_ _7"&gt;&lt;/span&gt;ac&lt;span class="_ _7"&gt;&lt;/span&gt;e. A c&lt;span class="_ _7"&gt;&lt;/span&gt;ont&lt;span class="_ _7"&gt;&lt;/span&gt;ing&lt;span class="_ _7"&gt;&lt;/span&gt;ent l&lt;span class="_ _7"&gt;&lt;/span&gt;ia&lt;span class="_ _7"&gt;&lt;/span&gt;bil&lt;span class="_ _7"&gt;&lt;/span&gt;it&lt;span class="_ _7"&gt;&lt;/span&gt;y c&lt;span class="_ _7"&gt;&lt;/span&gt;oul&lt;span class="_ _7"&gt;&lt;/span&gt;d al&lt;span class="_ _7"&gt;&lt;/span&gt;so e&lt;span class="_ _7"&gt;&lt;/span&gt;xi&lt;span class="_ _7"&gt;&lt;/span&gt;st f&lt;span class="_ _7"&gt;&lt;/span&gt;or a p&lt;span class="_ _7"&gt;&lt;/span&gt;re&lt;span class="_ _7"&gt;&lt;/span&gt;se&lt;span class="_ _7"&gt;&lt;/span&gt;nt &lt;/span&gt;&lt;span style="display:inherit;clear:left;"&gt;ob&lt;span class="_ _7"&gt;&lt;/span&gt;lig&lt;span class="_ _7"&gt;&lt;/span&gt;ati&lt;span class="_ _7"&gt;&lt;/span&gt;on&lt;span class="_ _7"&gt;&lt;/span&gt;, du&lt;span class="_ _7"&gt;&lt;/span&gt;e to a pa&lt;span class="_ _7"&gt;&lt;/span&gt;st e&lt;span class="_ _7"&gt;&lt;/span&gt;ven&lt;span class="_ _7"&gt;&lt;/span&gt;t, w&lt;span class="_ _7"&gt;&lt;/span&gt;her&lt;span class="_ _7"&gt;&lt;/span&gt;e an o&lt;span class="_ _7"&gt;&lt;/span&gt;ut&lt;span class="_ _7"&gt;&lt;/span&gt;f&lt;span class="_ _7"&gt;&lt;/span&gt;low o&lt;span class="_ _7"&gt;&lt;/span&gt;f re&lt;span class="_ _7"&gt;&lt;/span&gt;s&lt;span class="_ _7"&gt;&lt;/span&gt;our&lt;span class="_ _7"&gt;&lt;/span&gt;ce&lt;span class="_ _7"&gt;&lt;/span&gt;s is l&lt;span class="_ _7"&gt;&lt;/span&gt;es&lt;span class="_ _7"&gt;&lt;/span&gt;s &lt;/span&gt;&lt;span style="display:inherit;clear:left;"&gt;like&lt;span class="_ _7"&gt;&lt;/span&gt;ly (&lt;span class="_ _2"&gt;&lt;/span&gt;&amp;lt;50 per c&lt;span class="_ _7"&gt;&lt;/span&gt;ent) o&lt;span class="_ _7"&gt;&lt;/span&gt;r wh&lt;span class="_ _7"&gt;&lt;/span&gt;en th&lt;span class="_ _7"&gt;&lt;/span&gt;e am&lt;span class="_ _7"&gt;&lt;/span&gt;ou&lt;span class="_ _7"&gt;&lt;/span&gt;nt of t&lt;span class="_ _7"&gt;&lt;/span&gt;he ob&lt;span class="_ _7"&gt;&lt;/span&gt;lig&lt;span class="_ _7"&gt;&lt;/span&gt;at&lt;span class="_ _7"&gt;&lt;/span&gt;io&lt;span class="_ _7"&gt;&lt;/span&gt;n ca&lt;span class="_ _7"&gt;&lt;/span&gt;nno&lt;span class="_ _7"&gt;&lt;/span&gt;t be &lt;/span&gt;&lt;span style="display:inherit;clear:left;"&gt;reliably&lt;span class="_ _2"&gt;&lt;/span&gt; measured.&lt;/span&gt;&lt;span style="display:inherit;clear:left;"&gt;CRITICAL A&lt;span class="_ _2"&gt;&lt;/span&gt;CC&lt;span class="_ _7"&gt;&lt;/span&gt;OUNTING ESTIMA&lt;span class="_ _6"&gt;&lt;/span&gt;TES AND JUDGEMENTS&lt;/span&gt;&lt;span style="display:inherit;clear:left;"&gt;Legal&lt;span class="_ _2"&gt;&lt;/span&gt; proceedings&lt;/span&gt;&lt;span style="display:inherit;clear:left;"&gt;Co&lt;span class="_ _7"&gt;&lt;/span&gt;mp&lt;span class="_ _7"&gt;&lt;/span&gt;ani&lt;span class="_ _7"&gt;&lt;/span&gt;es w&lt;span class="_ _7"&gt;&lt;/span&gt;it&lt;span class="_ _7"&gt;&lt;/span&gt;hin Volvo C&lt;span class="_ _7"&gt;&lt;/span&gt;ar G&lt;span class="_ _7"&gt;&lt;/span&gt;ro&lt;span class="_ _7"&gt;&lt;/span&gt;up ma&lt;span class="_ _7"&gt;&lt;/span&gt;y at tim&lt;span class="_ _7"&gt;&lt;/span&gt;e&lt;span class="_ _7"&gt;&lt;/span&gt;s be i&lt;span class="_ _7"&gt;&lt;/span&gt;nvolv&lt;span class="_ _7"&gt;&lt;/span&gt;ed i&lt;span class="_ _7"&gt;&lt;/span&gt;n leg&lt;span class="_ _7"&gt;&lt;/span&gt;al &lt;/span&gt;&lt;span style="display:inherit;clear:left;"&gt;pro&lt;span class="_ _7"&gt;&lt;/span&gt;ce&lt;span class="_ _7"&gt;&lt;/span&gt;e&lt;span class="_ _7"&gt;&lt;/span&gt;din&lt;span class="_ _7"&gt;&lt;/span&gt;gs&lt;span class="_ _7"&gt;&lt;/span&gt;, s&lt;span class="_ _7"&gt;&lt;/span&gt;uch p&lt;span class="_ _7"&gt;&lt;/span&gt;ro&lt;span class="_ _7"&gt;&lt;/span&gt;ce&lt;span class="_ _7"&gt;&lt;/span&gt;ed&lt;span class="_ _7"&gt;&lt;/span&gt;ing&lt;span class="_ _7"&gt;&lt;/span&gt;s m&lt;span class="_ _7"&gt;&lt;/span&gt;ay co&lt;span class="_ _7"&gt;&lt;/span&gt;ver a r&lt;span class="_ _7"&gt;&lt;/span&gt;ang&lt;span class="_ _7"&gt;&lt;/span&gt;e of d&lt;span class="_ _7"&gt;&lt;/span&gt;if&lt;span class="_ _9"&gt;&lt;/span&gt;fer&lt;span class="_ _7"&gt;&lt;/span&gt;ent m&lt;span class="_ _7"&gt;&lt;/span&gt;at&lt;span class="_ _2"&gt;&lt;/span&gt;-&lt;/span&gt;&lt;span style="display:inherit;clear:left;"&gt;ter&lt;span class="_ _7"&gt;&lt;/span&gt;s in v&lt;span class="_ _7"&gt;&lt;/span&gt;ar&lt;span class="_ _7"&gt;&lt;/span&gt;iou&lt;span class="_ _7"&gt;&lt;/span&gt;s ju&lt;span class="_ _7"&gt;&lt;/span&gt;ri&lt;span class="_ _7"&gt;&lt;/span&gt;sd&lt;span class="_ _7"&gt;&lt;/span&gt;ic&lt;span class="_ _7"&gt;&lt;/span&gt;tio&lt;span class="_ _7"&gt;&lt;/span&gt;ns&lt;span class="_ _7"&gt;&lt;/span&gt;. T&lt;span class="_ _7"&gt;&lt;/span&gt;he&lt;span class="_ _7"&gt;&lt;/span&gt;s&lt;span class="_ _7"&gt;&lt;/span&gt;e inc&lt;span class="_ _7"&gt;&lt;/span&gt;lud&lt;span class="_ _7"&gt;&lt;/span&gt;e, b&lt;span class="_ _7"&gt;&lt;/span&gt;ut ar&lt;span class="_ _7"&gt;&lt;/span&gt;e no&lt;span class="_ _7"&gt;&lt;/span&gt;t lim&lt;span class="_ _7"&gt;&lt;/span&gt;ite&lt;span class="_ _7"&gt;&lt;/span&gt;d to, &lt;/span&gt;&lt;span style="display:inherit;clear:left;"&gt;com&lt;span class="_ _7"&gt;&lt;/span&gt;me&lt;span class="_ _7"&gt;&lt;/span&gt;rci&lt;span class="_ _7"&gt;&lt;/span&gt;al d&lt;span class="_ _7"&gt;&lt;/span&gt;is&lt;span class="_ _7"&gt;&lt;/span&gt;pu&lt;span class="_ _7"&gt;&lt;/span&gt;tes s&lt;span class="_ _7"&gt;&lt;/span&gt;uc&lt;span class="_ _7"&gt;&lt;/span&gt;h as a&lt;span class="_ _7"&gt;&lt;/span&gt;lleg&lt;span class="_ _7"&gt;&lt;/span&gt;ed b&lt;span class="_ _7"&gt;&lt;/span&gt;re&lt;span class="_ _7"&gt;&lt;/span&gt;ach o&lt;span class="_ _7"&gt;&lt;/span&gt;f co&lt;span class="_ _7"&gt;&lt;/span&gt;ntr&lt;span class="_ _7"&gt;&lt;/span&gt;ac&lt;span class="_ _7"&gt;&lt;/span&gt;t&lt;span class="_ _7"&gt;&lt;/span&gt;, ins&lt;span class="_ _7"&gt;&lt;/span&gt;u&lt;span class="_ _7"&gt;&lt;/span&gt;f&lt;span class="_ _7"&gt;&lt;/span&gt;f&lt;span class="_ _7"&gt;&lt;/span&gt;ici&lt;span class="_ _7"&gt;&lt;/span&gt;ent &lt;/span&gt;&lt;span style="display:inherit;clear:left;"&gt;supplies of goods or&lt;span class="_ _2"&gt;&lt;/span&gt; ser&lt;span class="_ _7"&gt;&lt;/span&gt;vices&lt;span class="_ _7"&gt;&lt;/span&gt;, product l&lt;span class="_ _2"&gt;&lt;/span&gt;iabilit&lt;span class="_ _7"&gt;&lt;/span&gt;y&lt;span class="_ _2"&gt;&lt;/span&gt;, patent i&lt;span class="_ _2"&gt;&lt;/span&gt;nf&lt;span class="_ _7"&gt;&lt;/span&gt;ringement&lt;span class="_ _2"&gt;&lt;/span&gt; &lt;/span&gt;&lt;span style="display:inherit;clear:left;"&gt;or in&lt;span class="_ _7"&gt;&lt;/span&gt;f&lt;span class="_ _7"&gt;&lt;/span&gt;rin&lt;span class="_ _7"&gt;&lt;/span&gt;gem&lt;span class="_ _7"&gt;&lt;/span&gt;en&lt;span class="_ _7"&gt;&lt;/span&gt;t of ot&lt;span class="_ _7"&gt;&lt;/span&gt;he&lt;span class="_ _7"&gt;&lt;/span&gt;r int&lt;span class="_ _7"&gt;&lt;/span&gt;ang&lt;span class="_ _7"&gt;&lt;/span&gt;ib&lt;span class="_ _7"&gt;&lt;/span&gt;le r&lt;span class="_ _7"&gt;&lt;/span&gt;igh&lt;span class="_ _7"&gt;&lt;/span&gt;ts&lt;span class="_ _7"&gt;&lt;/span&gt;. Th&lt;span class="_ _7"&gt;&lt;/span&gt;e va&lt;span class="_ _7"&gt;&lt;/span&gt;ri&lt;span class="_ _7"&gt;&lt;/span&gt;ou&lt;span class="_ _7"&gt;&lt;/span&gt;s mat&lt;span class="_ _7"&gt;&lt;/span&gt;te&lt;span class="_ _7"&gt;&lt;/span&gt;r&lt;span class="_ _7"&gt;&lt;/span&gt;s &lt;/span&gt;&lt;span style="display:inherit;clear:left;"&gt;ra&lt;span class="_ _7"&gt;&lt;/span&gt;is&lt;span class="_ _7"&gt;&lt;/span&gt;ed a&lt;span class="_ _7"&gt;&lt;/span&gt;re o&lt;span class="_ _7"&gt;&lt;/span&gt;f&lt;span class="_ _7"&gt;&lt;/span&gt;ten o&lt;span class="_ _7"&gt;&lt;/span&gt;f a di&lt;span class="_ _7"&gt;&lt;/span&gt;f&lt;span class="_ _7"&gt;&lt;/span&gt;f&lt;span class="_ _7"&gt;&lt;/span&gt;ic&lt;span class="_ _7"&gt;&lt;/span&gt;ult an&lt;span class="_ _7"&gt;&lt;/span&gt;d co&lt;span class="_ _7"&gt;&lt;/span&gt;mp&lt;span class="_ _7"&gt;&lt;/span&gt;lex na&lt;span class="_ _7"&gt;&lt;/span&gt;tur&lt;span class="_ _7"&gt;&lt;/span&gt;e ma&lt;span class="_ _7"&gt;&lt;/span&gt;ki&lt;span class="_ _7"&gt;&lt;/span&gt;ng th&lt;span class="_ _7"&gt;&lt;/span&gt;em &lt;/span&gt;&lt;span style="display:inherit;clear:left;"&gt;leg&lt;span class="_ _7"&gt;&lt;/span&gt;all&lt;span class="_ _7"&gt;&lt;/span&gt;y com&lt;span class="_ _7"&gt;&lt;/span&gt;pl&lt;span class="_ _7"&gt;&lt;/span&gt;ic&lt;span class="_ _7"&gt;&lt;/span&gt;ate&lt;span class="_ _7"&gt;&lt;/span&gt;d, a&lt;span class="_ _7"&gt;&lt;/span&gt;nd i&lt;span class="_ _7"&gt;&lt;/span&gt;t is th&lt;span class="_ _7"&gt;&lt;/span&gt;er&lt;span class="_ _7"&gt;&lt;/span&gt;ef&lt;span class="_ _7"&gt;&lt;/span&gt;ore d&lt;span class="_ _7"&gt;&lt;/span&gt;if&lt;span class="_ _9"&gt;&lt;/span&gt;fi&lt;span class="_ _7"&gt;&lt;/span&gt;cult to p&lt;span class="_ _7"&gt;&lt;/span&gt;re&lt;span class="_ _7"&gt;&lt;/span&gt;di&lt;span class="_ _7"&gt;&lt;/span&gt;ct th&lt;span class="_ _7"&gt;&lt;/span&gt;e f&lt;span class="_ _7"&gt;&lt;/span&gt;ina&lt;span class="_ _7"&gt;&lt;/span&gt;l &lt;/span&gt;&lt;span style="display:inherit;clear:left;"&gt;out&lt;span class="_ _7"&gt;&lt;/span&gt;co&lt;span class="_ _7"&gt;&lt;/span&gt;me o&lt;span class="_ _7"&gt;&lt;/span&gt;f suc&lt;span class="_ _7"&gt;&lt;/span&gt;h ma&lt;span class="_ _7"&gt;&lt;/span&gt;tt&lt;span class="_ _7"&gt;&lt;/span&gt;er&lt;span class="_ _7"&gt;&lt;/span&gt;s&lt;span class="_ _7"&gt;&lt;/span&gt;. The c&lt;span class="_ _7"&gt;&lt;/span&gt;om&lt;span class="_ _7"&gt;&lt;/span&gt;pa&lt;span class="_ _7"&gt;&lt;/span&gt;nie&lt;span class="_ _7"&gt;&lt;/span&gt;s w&lt;span class="_ _7"&gt;&lt;/span&gt;ith&lt;span class="_ _7"&gt;&lt;/span&gt;in Volvo C&lt;span class="_ _7"&gt;&lt;/span&gt;ar Gr&lt;span class="_ _7"&gt;&lt;/span&gt;ou&lt;span class="_ _7"&gt;&lt;/span&gt;p &lt;/span&gt;&lt;span style="display:inherit;clear:left;"&gt;wor&lt;span class="_ _7"&gt;&lt;/span&gt;k clo&lt;span class="_ _7"&gt;&lt;/span&gt;s&lt;span class="_ _7"&gt;&lt;/span&gt;ely w&lt;span class="_ _7"&gt;&lt;/span&gt;ith l&lt;span class="_ _7"&gt;&lt;/span&gt;ega&lt;span class="_ _7"&gt;&lt;/span&gt;l ad&lt;span class="_ _7"&gt;&lt;/span&gt;vi&lt;span class="_ _7"&gt;&lt;/span&gt;s&lt;span class="_ _7"&gt;&lt;/span&gt;or&lt;span class="_ _7"&gt;&lt;/span&gt;s an&lt;span class="_ _7"&gt;&lt;/span&gt;d oth&lt;span class="_ _7"&gt;&lt;/span&gt;er ex&lt;span class="_ _7"&gt;&lt;/span&gt;pe&lt;span class="_ _7"&gt;&lt;/span&gt;r&lt;span class="_ _7"&gt;&lt;/span&gt;t&lt;span class="_ _7"&gt;&lt;/span&gt;s in th&lt;span class="_ _7"&gt;&lt;/span&gt;e var&lt;span class="_ _7"&gt;&lt;/span&gt;io&lt;span class="_ _7"&gt;&lt;/span&gt;us &lt;/span&gt;&lt;span style="display:inherit;clear:left;"&gt;matters in each&lt;span class="_ _2"&gt;&lt;/span&gt; jurisdiction. A provision is&lt;span class="_ _2"&gt;&lt;/span&gt; made when it is&lt;span class="_ _2"&gt;&lt;/span&gt; deter&lt;span class="_ _2"&gt;&lt;/span&gt;&lt;span class="ls3 ws3"&gt;-&lt;/span&gt;&lt;/span&gt;&lt;span style="display:inherit;clear:left;"&gt;min&lt;span class="_ _7"&gt;&lt;/span&gt;ed t&lt;span class="_ _7"&gt;&lt;/span&gt;hat a&lt;span class="_ _7"&gt;&lt;/span&gt;n ad&lt;span class="_ _7"&gt;&lt;/span&gt;ver&lt;span class="_ _7"&gt;&lt;/span&gt;s&lt;span class="_ _7"&gt;&lt;/span&gt;e ou&lt;span class="_ _7"&gt;&lt;/span&gt;tco&lt;span class="_ _7"&gt;&lt;/span&gt;me i&lt;span class="_ _7"&gt;&lt;/span&gt;s mo&lt;span class="_ _7"&gt;&lt;/span&gt;re li&lt;span class="_ _7"&gt;&lt;/span&gt;kely t&lt;span class="_ _7"&gt;&lt;/span&gt;han n&lt;span class="_ _7"&gt;&lt;/span&gt;ot&lt;span class="_ _7"&gt;&lt;/span&gt;, an&lt;span class="_ _7"&gt;&lt;/span&gt;d the &lt;/span&gt;&lt;span style="display:inherit;clear:left;"&gt;amo&lt;span class="_ _7"&gt;&lt;/span&gt;un&lt;span class="_ _7"&gt;&lt;/span&gt;t of th&lt;span class="_ _7"&gt;&lt;/span&gt;e lo&lt;span class="_ _7"&gt;&lt;/span&gt;s&lt;span class="_ _7"&gt;&lt;/span&gt;s ca&lt;span class="_ _7"&gt;&lt;/span&gt;n be r&lt;span class="_ _7"&gt;&lt;/span&gt;eli&lt;span class="_ _7"&gt;&lt;/span&gt;ab&lt;span class="_ _7"&gt;&lt;/span&gt;ly e&lt;span class="_ _7"&gt;&lt;/span&gt;st&lt;span class="_ _7"&gt;&lt;/span&gt;ima&lt;span class="_ _7"&gt;&lt;/span&gt;ted&lt;span class="_ _7"&gt;&lt;/span&gt;. In i&lt;span class="_ _7"&gt;&lt;/span&gt;ns&lt;span class="_ _7"&gt;&lt;/span&gt;t&lt;span class="_ _7"&gt;&lt;/span&gt;anc&lt;span class="_ _7"&gt;&lt;/span&gt;e&lt;span class="_ _7"&gt;&lt;/span&gt;s whe&lt;span class="_ _7"&gt;&lt;/span&gt;re &lt;/span&gt;&lt;span style="display:inherit;clear:left;"&gt;the&lt;span class="_ _7"&gt;&lt;/span&gt;s&lt;span class="_ _7"&gt;&lt;/span&gt;e cri&lt;span class="_ _7"&gt;&lt;/span&gt;ter&lt;span class="_ _7"&gt;&lt;/span&gt;ia a&lt;span class="_ _7"&gt;&lt;/span&gt;re n&lt;span class="_ _7"&gt;&lt;/span&gt;ot me&lt;span class="_ _7"&gt;&lt;/span&gt;t, a c&lt;span class="_ _7"&gt;&lt;/span&gt;on&lt;span class="_ _7"&gt;&lt;/span&gt;ting&lt;span class="_ _7"&gt;&lt;/span&gt;en&lt;span class="_ _7"&gt;&lt;/span&gt;t lia&lt;span class="_ _7"&gt;&lt;/span&gt;bil&lt;span class="_ _7"&gt;&lt;/span&gt;it&lt;span class="_ _7"&gt;&lt;/span&gt;y h&lt;span class="_ _7"&gt;&lt;/span&gt;as b&lt;span class="_ _7"&gt;&lt;/span&gt;ee&lt;span class="_ _7"&gt;&lt;/span&gt;n di&lt;span class="_ _7"&gt;&lt;/span&gt;sc&lt;span class="_ _7"&gt;&lt;/span&gt;los&lt;span class="_ _7"&gt;&lt;/span&gt;e&lt;span class="_ _7"&gt;&lt;/span&gt;d &lt;/span&gt;&lt;span style="display:inherit;clear:left;"&gt;pro&lt;span class="_ _7"&gt;&lt;/span&gt;vi&lt;span class="_ _7"&gt;&lt;/span&gt;de&lt;span class="_ _7"&gt;&lt;/span&gt;d the r&lt;span class="_ _7"&gt;&lt;/span&gt;is&lt;span class="_ _7"&gt;&lt;/span&gt;k qu&lt;span class="_ _7"&gt;&lt;/span&gt;ali&lt;span class="_ _7"&gt;&lt;/span&gt;f&lt;span class="_ _7"&gt;&lt;/span&gt;ie&lt;span class="_ _7"&gt;&lt;/span&gt;s as s&lt;span class="_ _7"&gt;&lt;/span&gt;uc&lt;span class="_ _7"&gt;&lt;/span&gt;h a lia&lt;span class="_ _7"&gt;&lt;/span&gt;bil&lt;span class="_ _7"&gt;&lt;/span&gt;it&lt;span class="_ _7"&gt;&lt;/span&gt;y. &lt;/span&gt;&lt;span style="display:inherit;clear:left;"&gt;Oth&lt;span class="_ _7"&gt;&lt;/span&gt;er pro&lt;span class="_ _7"&gt;&lt;/span&gt;ce&lt;span class="_ _7"&gt;&lt;/span&gt;ss&lt;span class="_ _7"&gt;&lt;/span&gt;es &lt;/span&gt;&lt;span style="display:inherit;clear:left;"&gt;Volvo Ca&lt;span class="_ _7"&gt;&lt;/span&gt;r Gro&lt;span class="_ _7"&gt;&lt;/span&gt;up i&lt;span class="_ _7"&gt;&lt;/span&gt;s as we&lt;span class="_ _7"&gt;&lt;/span&gt;ll&lt;span class="_ _7"&gt;&lt;/span&gt;, li&lt;span class="_ _7"&gt;&lt;/span&gt;ke oth&lt;span class="_ _7"&gt;&lt;/span&gt;er g&lt;span class="_ _7"&gt;&lt;/span&gt;lob&lt;span class="_ _7"&gt;&lt;/span&gt;al c&lt;span class="_ _7"&gt;&lt;/span&gt;omp&lt;span class="_ _7"&gt;&lt;/span&gt;an&lt;span class="_ _7"&gt;&lt;/span&gt;ie&lt;span class="_ _7"&gt;&lt;/span&gt;s&lt;span class="_ _7"&gt;&lt;/span&gt;, fr&lt;span class="_ _7"&gt;&lt;/span&gt;om ti&lt;span class="_ _7"&gt;&lt;/span&gt;me to &lt;/span&gt;&lt;span style="display:inherit;clear:left;"&gt;tim&lt;span class="_ _7"&gt;&lt;/span&gt;e invo&lt;span class="_ _7"&gt;&lt;/span&gt;lve&lt;span class="_ _7"&gt;&lt;/span&gt;d in p&lt;span class="_ _7"&gt;&lt;/span&gt;ro&lt;span class="_ _7"&gt;&lt;/span&gt;ce&lt;span class="_ _7"&gt;&lt;/span&gt;s&lt;span class="_ _7"&gt;&lt;/span&gt;se&lt;span class="_ _7"&gt;&lt;/span&gt;s o&lt;span class="_ _7"&gt;&lt;/span&gt;f var&lt;span class="_ _7"&gt;&lt;/span&gt;y&lt;span class="_ _7"&gt;&lt;/span&gt;in&lt;span class="_ _7"&gt;&lt;/span&gt;g sc&lt;span class="_ _7"&gt;&lt;/span&gt;op&lt;span class="_ _7"&gt;&lt;/span&gt;e an&lt;span class="_ _7"&gt;&lt;/span&gt;d in va&lt;span class="_ _7"&gt;&lt;/span&gt;ri&lt;span class="_ _7"&gt;&lt;/span&gt;ou&lt;span class="_ _7"&gt;&lt;/span&gt;s st&lt;span class="_ _7"&gt;&lt;/span&gt;ag&lt;span class="_ _7"&gt;&lt;/span&gt;es &lt;/span&gt;&lt;span style="display:inherit;clear:left;"&gt;wit&lt;span class="_ _7"&gt;&lt;/span&gt;h reg&lt;span class="_ _7"&gt;&lt;/span&gt;ar&lt;span class="_ _7"&gt;&lt;/span&gt;ds t&lt;span class="_ _7"&gt;&lt;/span&gt;o for i&lt;span class="_ _7"&gt;&lt;/span&gt;ns&lt;span class="_ _7"&gt;&lt;/span&gt;t&lt;span class="_ _7"&gt;&lt;/span&gt;anc&lt;span class="_ _7"&gt;&lt;/span&gt;e im&lt;span class="_ _7"&gt;&lt;/span&gt;po&lt;span class="_ _7"&gt;&lt;/span&gt;r&lt;span class="_ _7"&gt;&lt;/span&gt;t dut&lt;span class="_ _7"&gt;&lt;/span&gt;ie&lt;span class="_ _7"&gt;&lt;/span&gt;s an&lt;span class="_ _7"&gt;&lt;/span&gt;d tr&lt;span class="_ _7"&gt;&lt;/span&gt;an&lt;span class="_ _7"&gt;&lt;/span&gt;sf&lt;span class="_ _7"&gt;&lt;/span&gt;er p&lt;span class="_ _7"&gt;&lt;/span&gt;ri&lt;span class="_ _7"&gt;&lt;/span&gt;ce&lt;span class="_ _7"&gt;&lt;/span&gt;s. T&lt;span class="_ _7"&gt;&lt;/span&gt;he&lt;span class="_ _7"&gt;&lt;/span&gt;s&lt;span class="_ _7"&gt;&lt;/span&gt;e &lt;/span&gt;&lt;span style="display:inherit;clear:left;"&gt;pro&lt;span class="_ _7"&gt;&lt;/span&gt;ce&lt;span class="_ _7"&gt;&lt;/span&gt;s&lt;span class="_ _7"&gt;&lt;/span&gt;s&lt;span class="_ _7"&gt;&lt;/span&gt;e&lt;span class="_ _7"&gt;&lt;/span&gt;s are e&lt;span class="_ _7"&gt;&lt;/span&gt;valu&lt;span class="_ _7"&gt;&lt;/span&gt;ate&lt;span class="_ _7"&gt;&lt;/span&gt;d re&lt;span class="_ _7"&gt;&lt;/span&gt;gu&lt;span class="_ _7"&gt;&lt;/span&gt;la&lt;span class="_ _7"&gt;&lt;/span&gt;rly, an&lt;span class="_ _7"&gt;&lt;/span&gt;d pro&lt;span class="_ _7"&gt;&lt;/span&gt;vi&lt;span class="_ _7"&gt;&lt;/span&gt;si&lt;span class="_ _7"&gt;&lt;/span&gt;on&lt;span class="_ _7"&gt;&lt;/span&gt;s are m&lt;span class="_ _7"&gt;&lt;/span&gt;ad&lt;span class="_ _7"&gt;&lt;/span&gt;e wh&lt;span class="_ _7"&gt;&lt;/span&gt;en i&lt;span class="_ _7"&gt;&lt;/span&gt;t &lt;/span&gt;&lt;span style="display:inherit;clear:left;"&gt;is m&lt;span class="_ _7"&gt;&lt;/span&gt;ore l&lt;span class="_ _7"&gt;&lt;/span&gt;ikel&lt;span class="_ _7"&gt;&lt;/span&gt;y tha&lt;span class="_ _7"&gt;&lt;/span&gt;n not t&lt;span class="_ _7"&gt;&lt;/span&gt;ha&lt;span class="_ _7"&gt;&lt;/span&gt;t add&lt;span class="_ _7"&gt;&lt;/span&gt;it&lt;span class="_ _7"&gt;&lt;/span&gt;ion&lt;span class="_ _7"&gt;&lt;/span&gt;al f&lt;span class="_ _7"&gt;&lt;/span&gt;ee&lt;span class="_ _7"&gt;&lt;/span&gt;s mu&lt;span class="_ _7"&gt;&lt;/span&gt;st b&lt;span class="_ _7"&gt;&lt;/span&gt;e p&lt;span class="_ _7"&gt;&lt;/span&gt;aid&lt;span class="_ _7"&gt;&lt;/span&gt;, an&lt;span class="_ _7"&gt;&lt;/span&gt;d th&lt;span class="_ _7"&gt;&lt;/span&gt;e &lt;/span&gt;&lt;span style="display:inherit;clear:left;"&gt;out&lt;span class="_ _7"&gt;&lt;/span&gt;co&lt;span class="_ _7"&gt;&lt;/span&gt;me c&lt;span class="_ _7"&gt;&lt;/span&gt;an b&lt;span class="_ _7"&gt;&lt;/span&gt;e re&lt;span class="_ _7"&gt;&lt;/span&gt;lia&lt;span class="_ _7"&gt;&lt;/span&gt;bly e&lt;span class="_ _7"&gt;&lt;/span&gt;s&lt;span class="_ _7"&gt;&lt;/span&gt;tim&lt;span class="_ _7"&gt;&lt;/span&gt;ate&lt;span class="_ _7"&gt;&lt;/span&gt;d. I&lt;span class="_ _7"&gt;&lt;/span&gt;f it i&lt;span class="_ _7"&gt;&lt;/span&gt;s no&lt;span class="_ _7"&gt;&lt;/span&gt;t pro&lt;span class="_ _7"&gt;&lt;/span&gt;ba&lt;span class="_ _7"&gt;&lt;/span&gt;bl&lt;span class="_ _7"&gt;&lt;/span&gt;e tha&lt;span class="_ _7"&gt;&lt;/span&gt;t the &lt;/span&gt;&lt;span style="display:inherit;clear:left;"&gt;ad&lt;span class="_ _7"&gt;&lt;/span&gt;dit&lt;span class="_ _7"&gt;&lt;/span&gt;ion&lt;span class="_ _7"&gt;&lt;/span&gt;al f&lt;span class="_ _7"&gt;&lt;/span&gt;ee&lt;span class="_ _7"&gt;&lt;/span&gt;s wi&lt;span class="_ _7"&gt;&lt;/span&gt;ll b&lt;span class="_ _7"&gt;&lt;/span&gt;e pa&lt;span class="_ _7"&gt;&lt;/span&gt;id b&lt;span class="_ _7"&gt;&lt;/span&gt;ut th&lt;span class="_ _7"&gt;&lt;/span&gt;e ri&lt;span class="_ _7"&gt;&lt;/span&gt;sk i&lt;span class="_ _7"&gt;&lt;/span&gt;s mo&lt;span class="_ _7"&gt;&lt;/span&gt;re th&lt;span class="_ _7"&gt;&lt;/span&gt;an r&lt;span class="_ _7"&gt;&lt;/span&gt;em&lt;span class="_ _7"&gt;&lt;/span&gt;ote, s&lt;span class="_ _7"&gt;&lt;/span&gt;uc&lt;span class="_ _7"&gt;&lt;/span&gt;h &lt;/span&gt;&lt;span style="display:inherit;clear:left;"&gt;&lt;span&gt;&lt;span style="display:inherit;clear:left;"&gt;amo&lt;span class="_ _7"&gt;&lt;/span&gt;un&lt;span class="_ _7"&gt;&lt;/span&gt;ts a&lt;span class="_ _7"&gt;&lt;/span&gt;re di&lt;span class="_ _7"&gt;&lt;/span&gt;s&lt;span class="_ _7"&gt;&lt;/span&gt;clo&lt;span class="_ _7"&gt;&lt;/span&gt;se&lt;span class="_ _7"&gt;&lt;/span&gt;d as c&lt;span class="_ _7"&gt;&lt;/span&gt;on&lt;span class="_ _7"&gt;&lt;/span&gt;tin&lt;span class="_ _7"&gt;&lt;/span&gt;gen&lt;span class="_ _7"&gt;&lt;/span&gt;t lia&lt;span class="_ _7"&gt;&lt;/span&gt;bi&lt;span class="_ _7"&gt;&lt;/span&gt;lit&lt;span class="_ _7"&gt;&lt;/span&gt;ie&lt;span class="_ _7"&gt;&lt;/span&gt;s.&lt;/span&gt;&lt;/span&gt; &lt;/span&gt;&lt;span style="display:inherit;clear:left;position:relative;height:147.990234375px;"&gt;&lt;span class="pp-font-color-override-1" style="position: absolute; display: inline-block; left: 259.031px; top: 0.748047px; width: 30.2637px; white-space: pre; word-spacing: 0px; letter-spacing: 0px; margin-left: 0px; font-size: 9.6px; font-family: ffb0; -webkit-text-stroke: 0.144px rgba(0, 0, 0, 0);"&gt;&lt;span style="display: inline-block;"&gt;31 De&lt;/span&gt;&lt;span style="word-spacing: 0px; letter-spacing: 0px; display: inline-block; margin-left: 0px; width: 0.410156px; font-size: 9.6px; font-family: ffb0; -webkit-text-stroke: 0.144px rgba(0, 0, 0, 0);"&gt;&lt;/span&gt;&lt;span style="display: inline-block;"&gt;c &lt;/span&gt;&lt;/span&gt;&lt;span class="pp-font-color-override-1" style="position: absolute; display: inline-block; left: 314.391px; top: 0.0039062px; width: 30.2637px; white-space: pre; word-spacing: 0px; letter-spacing: 0px; margin-left: 0px; font-size: 9.6px; font-family: ffb1; -webkit-text-stroke: 0.144px rgba(0, 0, 0, 0);"&gt;&lt;span style="display: inline-block;"&gt;31 De&lt;/span&gt;&lt;span style="word-spacing: 0px; letter-spacing: 0px; display: inline-block; margin-left: 0px; width: 0.410156px; font-size: 9.6px; font-family: ffb1; -webkit-text-stroke: 0.144px rgba(0, 0, 0, 0);"&gt;&lt;/span&gt;&lt;span style="display: inline-block;"&gt;c &lt;/span&gt;&lt;/span&gt;&lt;span class="pp-font-color-override-1" style="position: absolute; display: inline-block; left: 1.14062px; top: 10.5391px; width: 92.127px; white-space: pre; word-spacing: -0.126px; letter-spacing: 0.1575px; margin-left: 0px; font-size: 10.5px; font-family: ffb0; -webkit-text-stroke: 0.1575px rgba(0, 0, 0, 0);"&gt;&lt;span style="display: inline-block;"&gt;Contingen&lt;/span&gt;&lt;span style="word-spacing: -0.126px; letter-spacing: 0.1575px; display: inline-block; margin-left: 0px; width: 0.410156px; font-size: 10.5px; font-family: ffb0; -webkit-text-stroke: 0.1575px rgba(0, 0, 0, 0);"&gt;&lt;/span&gt;&lt;span style="display: inline-block;"&gt;t liabilities&lt;/span&gt;&lt;/span&gt;&lt;span class="pp-font-color-override-1" style="position: absolute; display: inline-block; left: 264.047px;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319.844px;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1.14062px; top: 33.1191px; width: 316.98px; white-space: pre; word-spacing: 0px; letter-spacing: 0.0315px; margin-left: 0px; font-size: 10.5px; font-family: ffb2; -webkit-text-stroke: 0.1575px rgba(0, 0, 0, 0);"&gt;&lt;span style="display: inline-block;"&gt;Gua&lt;/span&gt;&lt;span style="word-spacing: 0px; letter-spacing: 0.0315px; display: inline-block; margin-left: 0px; width: 0.410156px; font-size: 10.5px; font-family: ffb2; -webkit-text-stroke: 0.1575px rgba(0, 0, 0, 0);"&gt;&lt;/span&gt;&lt;span style="display: inline-block;"&gt;ra&lt;/span&gt;&lt;span style="word-spacing: 0px; letter-spacing: 0.0315px; display: inline-block; margin-left: 0px; width: 0.410156px; font-size: 10.5px; font-family: ffb2; -webkit-text-stroke: 0.1575px rgba(0, 0, 0, 0);"&gt;&lt;/span&gt;&lt;span style="display: inline-block;"&gt;ntee&lt;/span&gt;&lt;span style="word-spacing: 0px; letter-spacing: 0.0315px; display: inline-block; margin-left: 0px; width: 0.410156px; font-size: 10.5px; font-family: ffb2; -webkit-text-stroke: 0.1575px rgba(0, 0, 0, 0);"&gt;&lt;/span&gt;&lt;span style="display: inline-block;"&gt;s to in&lt;/span&gt;&lt;span style="word-spacing: 0px; letter-spacing: 0.0315px; display: inline-block; margin-left: 0px; width: 0.410156px; font-size: 10.5px; font-family: ffb2; -webkit-text-stroke: 0.1575px rgba(0, 0, 0, 0);"&gt;&lt;/span&gt;&lt;span style="display: inline-block;"&gt;su&lt;/span&gt;&lt;span style="word-spacing: 0px; letter-spacing: 0.0315px; display: inline-block; margin-left: 0px; width: 0.410156px; font-size: 10.5px; font-family: ffb2; -webkit-text-stroke: 0.1575px rgba(0, 0, 0, 0);"&gt;&lt;/span&gt;&lt;span style="display: inline-block;"&gt;ra&lt;/span&gt;&lt;span style="word-spacing: 0px; letter-spacing: 0.0315px; display: inline-block; margin-left: 0px; width: 0.410156px; font-size: 10.5px; font-family: ffb2; -webkit-text-stroke: 0.1575px rgba(0, 0, 0, 0);"&gt;&lt;/span&gt;&lt;span style="display: inline-block;"&gt;nc&lt;/span&gt;&lt;span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inline-block;"&gt;pa&lt;/span&gt;&lt;span style="word-spacing: 0px; letter-spacing: 0.0315px; display: inline-block; margin-left: 0px; width: 0.410156px; font-size: 10.5px; font-family: ffb2; -webkit-text-stroke: 0.1575px rgba(0, 0, 0, 0);"&gt;&lt;/span&gt;&lt;span style="display: inline-block;"&gt;ny FP&lt;/span&gt;&lt;span style="word-spacing: 0px; letter-spacing: 0.0315px; display: inline-block; margin-left: 0px; width: 0.410156px; font-size: 10.5px; font-family: ffb2; -webkit-text-stroke: 0.1575px rgba(0, 0, 0, 0);"&gt;&lt;/span&gt;&lt;span style="display: inline-block;"&gt;G&lt;/span&gt;&lt;span style="word-spacing: 0px; letter-spacing: 0.0315px; display: inline-block; margin-left: 0px; width: 79.8983px;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inline-block;"&gt;291&lt;/span&gt;&lt;span style="word-spacing: 0.0105px; letter-spacing: -0.0105px; display: inline-block; margin-left: 0px; width: 36.498px; font-size: 10.5px; font-family: ffb2; -webkit-text-stroke: 0.1575px rgba(0, 0, 0, 0);"&gt;&lt;span style="display: inline-block;"&gt;&lt;span style="width: 2.625px; display: inline-block;"&gt; &lt;/span&gt;&lt;/span&gt;&lt;/span&gt;&lt;/span&gt;&lt;span class="pp-font-color-override-1" style="word-spacing: 0px; letter-spacing: 0px; display: inline-block; margin-left: 0px; font-size: 10.5px; font-family: ffb2; -webkit-text-stroke: 0.1575px rgba(0, 0, 0, 0);"&gt;&lt;span style="display: inline-block;"&gt;278&lt;/span&gt;&lt;/span&gt;&lt;/span&gt;&lt;span class="pp-font-color-override-1" style="position: absolute; display: inline-block; left: 1.14062px; top: 49.0879px; width: 334.436px; white-space: pre; word-spacing: -0.231px; letter-spacing: 0.2625px; margin-left: 0px; font-size: 10.5px; font-family: ffb2; -webkit-text-stroke: 0.1575px rgba(0, 0, 0, 0);"&gt;&lt;span style="display: inline-block;"&gt;Legal&lt;/span&gt;&lt;span style="word-spacing: -0.231px; letter-spacing: 0.2625px; display: inline-block; margin-left: -0.684px; width: 0px; font-size: 10.5px; font-family: ffb2; -webkit-text-stroke: 0.1575px rgba(0, 0, 0, 0);"&gt;&lt;/span&gt;&lt;span style="display: inline-block;"&gt; claims&lt;/span&gt;&lt;span style="word-spacing: -0.231px; letter-spacing: 0.2625px; display: inline-block; margin-left: 0px; width: 213.088px; font-size: 10.5px; font-family: ffb2; -webkit-text-stroke: 0.1575px rgba(0, 0, 0, 0);"&gt;&lt;span style="display: inline-block;"&gt; &lt;/span&gt;&lt;/span&gt;&lt;span class="pp-font-color-override-1" style="word-spacing: -0.1365px; letter-spacing: 0.1365px; display: inline-block; margin-left: 0px; font-size: 10.5px; font-family: ffb2; -webkit-text-stroke: 0.1575px rgba(0, 0, 0, 0);"&gt;&lt;span style="display: inline-block;"&gt;50&lt;/span&gt;&lt;span style="word-spacing: -0.1365px; letter-spacing: 0.1365px; display: inline-block; margin-left: 0px; width: 43.869px;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inline-block;"&gt;19&lt;/span&gt;&lt;/span&gt;&lt;/span&gt;&lt;/span&gt;&lt;span class="pp-font-color-override-1" style="position: absolute; display: inline-block; left: 64.5938px; top: 64.8867px; width: 6.62695px; white-space: pre; word-spacing: 0px; letter-spacing: 0px; margin-left: 0px; font-size: 6.1215px; font-family: ffb2; -webkit-text-stroke: 0.0918225px rgba(0, 0, 0, 0);"&gt;&lt;span style="display: inline-block;"&gt;1) &lt;/span&gt;&lt;/span&gt;&lt;span class="pp-font-color-override-1" style="position: absolute; display: inline-block; left: 1.14062px; top: 65.041px; width: 56.1855px; white-space: pre; word-spacing: -0.231px; letter-spacing: 0.2625px; margin-left: 0px; font-size: 10.5px; font-family: ffb2; -webkit-text-stroke: 0.1575px rgba(0, 0, 0, 0);"&gt;&lt;span style="display: inline-block;"&gt;Other c&lt;/span&gt;&lt;span style="word-spacing: -0.231px; letter-spacing: 0.2625px; display: inline-block; margin-left: -0.684px; width: 0px; font-size: 10.5px; font-family: ffb2; -webkit-text-stroke: 0.1575px rgba(0, 0, 0, 0);"&gt;&lt;/span&gt;&lt;span style="display: inline-block;"&gt;laims&lt;/span&gt;&lt;/span&gt;&lt;span class="pp-font-color-override-1" style="position: absolute; display: inline-block; left: 271px; top: 65.041px; width: 69.7207px; white-space: pre; word-spacing: 0px; letter-spacing: 0px; margin-left: 0px; font-size: 10.5px; font-family: ffb2; -webkit-text-stroke: 0.1575px rgba(0, 0, 0, 0);"&gt;&lt;span style="display: inline-block;"&gt;289&lt;/span&gt;&lt;span style="word-spacing: 0px; letter-spacing: 0px; display: inline-block; margin-left: 0px; width: 38.1855px;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inline-block;"&gt;231&lt;/span&gt;&lt;/span&gt;&lt;/span&gt;&lt;span class="pp-font-color-override-1" style="position: absolute; display: inline-block; left: 1.14062px; top: 80.9941px; width: 324.773px; white-space: pre; word-spacing: -0.147px; letter-spacing: 0.1785px; margin-left: 0px; font-size: 10.5px; font-family: ffb2; -webkit-text-stroke: 0.1575px rgba(0, 0, 0, 0);"&gt;&lt;span style="display: inline-block;"&gt;Guarantee commitments&lt;/span&gt;&lt;span style="word-spacing: -0.147px; letter-spacing: 0.1785px; display: inline-block; margin-left: 0px; width: 158.877px; font-size: 10.5px; font-family: ffb2; -webkit-text-stroke: 0.1575px rgba(0, 0, 0, 0);"&gt;&lt;span style="display: inline-block;"&gt; &lt;/span&gt;&lt;/span&gt;&lt;span class="pp-font-color-override-1" style="word-spacing: 0px; letter-spacing: 0px; display: inline-block; margin-left: 0px; font-size: 10.5px; font-family: ffb2; -webkit-text-stroke: 0.1575px rgba(0, 0, 0, 0);"&gt;&lt;span style="display: inline-block;"&gt;9&lt;/span&gt;&lt;span style="word-spacing: 0px; letter-spacing: 0px; display: inline-block; margin-left: 0px; width: 48.867px; font-size: 10.5px; font-family: ffb2; -webkit-text-stroke: 0.1575px rgba(0, 0, 0, 0);"&gt;&lt;span style="display: inline-block;"&gt; &lt;/span&gt;&lt;/span&gt;&lt;span style="display: inline-block;"&gt;9&lt;/span&gt;&lt;/span&gt;&lt;/span&gt;&lt;span class="pp-font-color-override-1" style="position: absolute; display: inline-block; left: 131.812px; top: 96.8086px; width: 10.1719px; white-space: pre; word-spacing: 0.0061215px; letter-spacing: -0.0061215px; margin-left: 0px; font-size: 6.1215px; font-family: ffb2; -webkit-text-stroke: 0.0918225px rgba(0, 0, 0, 0);"&gt;&lt;span style="display: inline-block;"&gt;2)3)&lt;/span&gt;&lt;/span&gt;&lt;span class="pp-font-color-override-1" style="position: absolute; display: inline-block; left: 1.14062px; top: 96.9629px; width: 116.988px; white-space: pre; word-spacing: -0.1365px; letter-spacing: 0.168px; margin-left: 0px; font-size: 10.5px; font-family: ffb2; -webkit-text-stroke: 0.1575px rgba(0, 0, 0, 0);"&gt;&lt;span style="display: inline-block;"&gt;Other contingent liabilities&lt;/span&gt;&lt;/span&gt;&lt;span class="pp-font-color-override-1" style="position: absolute; display: inline-block; left: 272.141px; top: 96.9629px; width: 66.082px; white-space: pre; word-spacing: 0.0735px; letter-spacing: -0.0735px; margin-left: 0px; font-size: 10.5px; font-family: ffb2; -webkit-text-stroke: 0.1575px rgba(0, 0, 0, 0);"&gt;&lt;span style="display: inline-block;"&gt;14&lt;/span&gt;&lt;span style="word-spacing: 0.0735px; letter-spacing: -0.0735px; display: inline-block; margin-left: 0px; width: 0.410156px; font-size: 10.5px; font-family: ffb2; -webkit-text-stroke: 0.1575px rgba(0, 0, 0, 0);"&gt;&lt;/span&gt;&lt;span style="display: inline-block;"&gt;3&lt;/span&gt;&lt;span style="word-spacing: 0.0735px; letter-spacing: -0.0735px; display: inline-block; margin-left: 0px; width: 25.7227px; font-size: 10.5px; font-family: ffb2; -webkit-text-stroke: 0.1575px rgba(0, 0, 0, 0);"&gt;&lt;span style="display: inline-block;"&gt;&lt;span style="width: 2.625px; display: inline-block;"&gt; &lt;/span&gt;&lt;/span&gt;&lt;/span&gt;&lt;span class="pp-font-color-override-1" style="word-spacing: -0.1575px; letter-spacing: 0.1575px; display: inline-block; margin-left: 0px; font-size: 10.5px; font-family: ffb2; -webkit-text-stroke: 0.1575px rgba(0, 0, 0, 0);"&gt;&lt;span style="display: inline-block;"&gt;3,433&lt;/span&gt;&lt;/span&gt;&lt;/span&gt;&lt;span class="pp-font-color-override-1" style="position: absolute; display: inline-block; left: 1.14062px; top: 112.664px; width: 328.928px; white-space: pre; word-spacing: -0.1995px; letter-spacing: 0.1995px; margin-left: 0px; font-size: 10.5px; font-family: ffb0; -webkit-text-stroke: 0.1575px rgba(0, 0, 0, 0);"&gt;&lt;span style="display: inline-block;"&gt;T&lt;/span&gt;&lt;span style="word-spacing: -0.1995px; letter-spacing: 0.1995px; display: inline-block; margin-left: -1.13625px; width: 0px; font-size: 10.5px; font-family: ffb0; -webkit-text-stroke: 0.1575px rgba(0, 0, 0, 0);"&gt;&lt;/span&gt;&lt;span style="display: inline-block;"&gt;ot&lt;/span&gt;&lt;span style="word-spacing: -0.1995px; letter-spacing: 0.1995px; display: inline-block; margin-left: 0px; width: 0.410156px; font-size: 10.5px; font-family: ffb0; -webkit-text-stroke: 0.1575px rgba(0, 0, 0, 0);"&gt;&lt;/span&gt;&lt;span style="display: inline-block;"&gt;al&lt;/span&gt;&lt;span style="word-spacing: -0.1995px; letter-spacing: 0.1995px; display: inline-block; margin-left: 0px; width: 241.57px; font-size: 10.5px; font-family: ffb0; -webkit-text-stroke: 0.1575px rgba(0, 0, 0, 0);"&gt;&lt;span style="display: inline-block;"&gt; &lt;/span&gt;&lt;/span&gt;&lt;span class="pp-font-color-override-1" style="word-spacing: -0.0735px; letter-spacing: 0.0735px;</t>
  </si>
  <si>
    <t>f1__s8__6__275</t>
  </si>
  <si>
    <t>ifrs-full:DisclosureOfCommitmentsAndContingentLiabilitiesExplanatory</t>
  </si>
  <si>
    <t>f1__s8__6__277</t>
  </si>
  <si>
    <t>ifrs-full:DescriptionOfAccountingPolicyForContingentLiabilitiesAndContingentAssetsExplanatory</t>
  </si>
  <si>
    <t>&lt;span style="display:inherit;clear:left;"&gt;ACCOUNTING&lt;span class="_ _2"&gt;&lt;/span&gt; POLICIES&lt;/span&gt;&lt;span style="display:inherit;clear:left;"&gt;Whe&lt;span class="_ _7"&gt;&lt;/span&gt;n a p&lt;span class="_ _7"&gt;&lt;/span&gt;os&lt;span class="_ _7"&gt;&lt;/span&gt;s&lt;span class="_ _7"&gt;&lt;/span&gt;ib&lt;span class="_ _7"&gt;&lt;/span&gt;le ob&lt;span class="_ _7"&gt;&lt;/span&gt;lig&lt;span class="_ _7"&gt;&lt;/span&gt;ati&lt;span class="_ _7"&gt;&lt;/span&gt;on d&lt;span class="_ _7"&gt;&lt;/span&gt;oe&lt;span class="_ _7"&gt;&lt;/span&gt;s no&lt;span class="_ _7"&gt;&lt;/span&gt;t me&lt;span class="_ _7"&gt;&lt;/span&gt;et th&lt;span class="_ _7"&gt;&lt;/span&gt;e cr&lt;span class="_ _7"&gt;&lt;/span&gt;ite&lt;span class="_ _7"&gt;&lt;/span&gt;ri&lt;span class="_ _7"&gt;&lt;/span&gt;a for r&lt;span class="_ _7"&gt;&lt;/span&gt;ec&lt;span class="_ _7"&gt;&lt;/span&gt;og&lt;span class="_ _7"&gt;&lt;/span&gt;ni-&lt;/span&gt;&lt;span style="display:inherit;clear:left;"&gt;tio&lt;span class="_ _7"&gt;&lt;/span&gt;n as a li&lt;span class="_ _7"&gt;&lt;/span&gt;ab&lt;span class="_ _7"&gt;&lt;/span&gt;ili&lt;span class="_ _7"&gt;&lt;/span&gt;t&lt;span class="_ _7"&gt;&lt;/span&gt;y it m&lt;span class="_ _7"&gt;&lt;/span&gt;ay be d&lt;span class="_ _7"&gt;&lt;/span&gt;is&lt;span class="_ _7"&gt;&lt;/span&gt;cl&lt;span class="_ _7"&gt;&lt;/span&gt;os&lt;span class="_ _7"&gt;&lt;/span&gt;e&lt;span class="_ _7"&gt;&lt;/span&gt;d as a co&lt;span class="_ _7"&gt;&lt;/span&gt;nti&lt;span class="_ _7"&gt;&lt;/span&gt;nge&lt;span class="_ _7"&gt;&lt;/span&gt;nt li&lt;span class="_ _7"&gt;&lt;/span&gt;ab&lt;span class="_ _7"&gt;&lt;/span&gt;ili&lt;span class="_ _7"&gt;&lt;/span&gt;t&lt;span class="_ _7"&gt;&lt;/span&gt;y. The&lt;span class="_ _7"&gt;&lt;/span&gt;se &lt;/span&gt;&lt;span style="display:inherit;clear:left;"&gt;possib&lt;span class="_ _7"&gt;&lt;/span&gt;le obli&lt;span class="_ _2"&gt;&lt;/span&gt;gations derive from past e&lt;span class="_ _2"&gt;&lt;/span&gt;vents and their&lt;span class="_ _2"&gt;&lt;/span&gt; existence will &lt;/span&gt;&lt;span style="display:inherit;clear:left;"&gt;be confirmed only&lt;span class="_ _2"&gt;&lt;/span&gt; when one or sev&lt;span class="_ _2"&gt;&lt;/span&gt;eral uncert&lt;span class="_ _7"&gt;&lt;/span&gt;ain future&lt;span class="_ _2"&gt;&lt;/span&gt; events, &lt;/span&gt;&lt;span style="display:inherit;clear:left;"&gt;whi&lt;span class="_ _7"&gt;&lt;/span&gt;ch ar&lt;span class="_ _7"&gt;&lt;/span&gt;e no&lt;span class="_ _7"&gt;&lt;/span&gt;t ent&lt;span class="_ _7"&gt;&lt;/span&gt;ire&lt;span class="_ _7"&gt;&lt;/span&gt;ly wi&lt;span class="_ _7"&gt;&lt;/span&gt;th&lt;span class="_ _7"&gt;&lt;/span&gt;in Volvo Ca&lt;span class="_ _7"&gt;&lt;/span&gt;r Gr&lt;span class="_ _7"&gt;&lt;/span&gt;oup&lt;span class="_ _7"&gt;&lt;/span&gt;’s cont&lt;span class="_ _7"&gt;&lt;/span&gt;rol&lt;span class="_ _7"&gt;&lt;/span&gt;, t&lt;span class="_ _7"&gt;&lt;/span&gt;ake pl&lt;span class="_ _7"&gt;&lt;/span&gt;a&lt;span class="_ _7"&gt;&lt;/span&gt;ce or &lt;/span&gt;&lt;span style="display:inherit;clear:left;"&gt;fa&lt;span class="_ _7"&gt;&lt;/span&gt;il to t&lt;span class="_ _7"&gt;&lt;/span&gt;ake pl&lt;span class="_ _7"&gt;&lt;/span&gt;ac&lt;span class="_ _7"&gt;&lt;/span&gt;e. A c&lt;span class="_ _7"&gt;&lt;/span&gt;ont&lt;span class="_ _7"&gt;&lt;/span&gt;ing&lt;span class="_ _7"&gt;&lt;/span&gt;ent l&lt;span class="_ _7"&gt;&lt;/span&gt;ia&lt;span class="_ _7"&gt;&lt;/span&gt;bil&lt;span class="_ _7"&gt;&lt;/span&gt;it&lt;span class="_ _7"&gt;&lt;/span&gt;y c&lt;span class="_ _7"&gt;&lt;/span&gt;oul&lt;span class="_ _7"&gt;&lt;/span&gt;d al&lt;span class="_ _7"&gt;&lt;/span&gt;so e&lt;span class="_ _7"&gt;&lt;/span&gt;xi&lt;span class="_ _7"&gt;&lt;/span&gt;st f&lt;span class="_ _7"&gt;&lt;/span&gt;or a p&lt;span class="_ _7"&gt;&lt;/span&gt;re&lt;span class="_ _7"&gt;&lt;/span&gt;se&lt;span class="_ _7"&gt;&lt;/span&gt;nt &lt;/span&gt;&lt;span style="display:inherit;clear:left;"&gt;ob&lt;span class="_ _7"&gt;&lt;/span&gt;lig&lt;span class="_ _7"&gt;&lt;/span&gt;ati&lt;span class="_ _7"&gt;&lt;/span&gt;on&lt;span class="_ _7"&gt;&lt;/span&gt;, du&lt;span class="_ _7"&gt;&lt;/span&gt;e to a pa&lt;span class="_ _7"&gt;&lt;/span&gt;st e&lt;span class="_ _7"&gt;&lt;/span&gt;ven&lt;span class="_ _7"&gt;&lt;/span&gt;t, w&lt;span class="_ _7"&gt;&lt;/span&gt;her&lt;span class="_ _7"&gt;&lt;/span&gt;e an o&lt;span class="_ _7"&gt;&lt;/span&gt;ut&lt;span class="_ _7"&gt;&lt;/span&gt;f&lt;span class="_ _7"&gt;&lt;/span&gt;low o&lt;span class="_ _7"&gt;&lt;/span&gt;f re&lt;span class="_ _7"&gt;&lt;/span&gt;s&lt;span class="_ _7"&gt;&lt;/span&gt;our&lt;span class="_ _7"&gt;&lt;/span&gt;ce&lt;span class="_ _7"&gt;&lt;/span&gt;s is l&lt;span class="_ _7"&gt;&lt;/span&gt;es&lt;span class="_ _7"&gt;&lt;/span&gt;s &lt;/span&gt;&lt;span style="display:inherit;clear:left;"&gt;like&lt;span class="_ _7"&gt;&lt;/span&gt;ly (&lt;span class="_ _2"&gt;&lt;/span&gt;&amp;lt;50 per c&lt;span class="_ _7"&gt;&lt;/span&gt;ent) o&lt;span class="_ _7"&gt;&lt;/span&gt;r wh&lt;span class="_ _7"&gt;&lt;/span&gt;en th&lt;span class="_ _7"&gt;&lt;/span&gt;e am&lt;span class="_ _7"&gt;&lt;/span&gt;ou&lt;span class="_ _7"&gt;&lt;/span&gt;nt of t&lt;span class="_ _7"&gt;&lt;/span&gt;he ob&lt;span class="_ _7"&gt;&lt;/span&gt;lig&lt;span class="_ _7"&gt;&lt;/span&gt;at&lt;span class="_ _7"&gt;&lt;/span&gt;io&lt;span class="_ _7"&gt;&lt;/span&gt;n ca&lt;span class="_ _7"&gt;&lt;/span&gt;nno&lt;span class="_ _7"&gt;&lt;/span&gt;t be &lt;/span&gt;&lt;span style="display:inherit;clear:left;"&gt;reliably&lt;span class="_ _2"&gt;&lt;/span&gt; measured.&lt;/span&gt;</t>
  </si>
  <si>
    <t>f1__s8__6__278</t>
  </si>
  <si>
    <t>ifrs-full:DisclosureOfCollateralExplanatory</t>
  </si>
  <si>
    <t>&lt;span style="display:inherit;clear:left;"&gt;PLEDGED ASS&lt;span class="_ _7"&gt;&lt;/span&gt;ETS&lt;/span&gt;&lt;span style="display:inherit;clear:left;"&gt;ACCOUNTING&lt;span class="_ _2"&gt;&lt;/span&gt; POLICIES&lt;/span&gt;&lt;span style="display:inherit;clear:left;"&gt;Whe&lt;span class="_ _7"&gt;&lt;/span&gt;n a p&lt;span class="_ _7"&gt;&lt;/span&gt;os&lt;span class="_ _7"&gt;&lt;/span&gt;s&lt;span class="_ _7"&gt;&lt;/span&gt;ib&lt;span class="_ _7"&gt;&lt;/span&gt;le ob&lt;span class="_ _7"&gt;&lt;/span&gt;lig&lt;span class="_ _7"&gt;&lt;/span&gt;ati&lt;span class="_ _7"&gt;&lt;/span&gt;on d&lt;span class="_ _7"&gt;&lt;/span&gt;oe&lt;span class="_ _7"&gt;&lt;/span&gt;s no&lt;span class="_ _7"&gt;&lt;/span&gt;t me&lt;span class="_ _7"&gt;&lt;/span&gt;et th&lt;span class="_ _7"&gt;&lt;/span&gt;e cr&lt;span class="_ _7"&gt;&lt;/span&gt;ite&lt;span class="_ _7"&gt;&lt;/span&gt;ri&lt;span class="_ _7"&gt;&lt;/span&gt;a for r&lt;span class="_ _7"&gt;&lt;/span&gt;ec&lt;span class="_ _7"&gt;&lt;/span&gt;og&lt;span class="_ _7"&gt;&lt;/span&gt;ni-&lt;/span&gt;&lt;span style="display:inherit;clear:left;"&gt;tio&lt;span class="_ _7"&gt;&lt;/span&gt;n as a li&lt;span class="_ _7"&gt;&lt;/span&gt;ab&lt;span class="_ _7"&gt;&lt;/span&gt;ili&lt;span class="_ _7"&gt;&lt;/span&gt;t&lt;span class="_ _7"&gt;&lt;/span&gt;y it m&lt;span class="_ _7"&gt;&lt;/span&gt;ay be d&lt;span class="_ _7"&gt;&lt;/span&gt;is&lt;span class="_ _7"&gt;&lt;/span&gt;cl&lt;span class="_ _7"&gt;&lt;/span&gt;os&lt;span class="_ _7"&gt;&lt;/span&gt;e&lt;span class="_ _7"&gt;&lt;/span&gt;d as a co&lt;span class="_ _7"&gt;&lt;/span&gt;nti&lt;span class="_ _7"&gt;&lt;/span&gt;nge&lt;span class="_ _7"&gt;&lt;/span&gt;nt li&lt;span class="_ _7"&gt;&lt;/span&gt;ab&lt;span class="_ _7"&gt;&lt;/span&gt;ili&lt;span class="_ _7"&gt;&lt;/span&gt;t&lt;span class="_ _7"&gt;&lt;/span&gt;y. The&lt;span class="_ _7"&gt;&lt;/span&gt;se &lt;/span&gt;&lt;span style="display:inherit;clear:left;"&gt;possib&lt;span class="_ _7"&gt;&lt;/span&gt;le obli&lt;span class="_ _2"&gt;&lt;/span&gt;gations derive from past e&lt;span class="_ _2"&gt;&lt;/span&gt;vents and their&lt;span class="_ _2"&gt;&lt;/span&gt; existence will &lt;/span&gt;&lt;span style="display:inherit;clear:left;"&gt;be confirmed only&lt;span class="_ _2"&gt;&lt;/span&gt; when one or sev&lt;span class="_ _2"&gt;&lt;/span&gt;eral uncert&lt;span class="_ _7"&gt;&lt;/span&gt;ain future&lt;span class="_ _2"&gt;&lt;/span&gt; events, &lt;/span&gt;&lt;span style="display:inherit;clear:left;"&gt;whi&lt;span class="_ _7"&gt;&lt;/span&gt;ch ar&lt;span class="_ _7"&gt;&lt;/span&gt;e no&lt;span class="_ _7"&gt;&lt;/span&gt;t ent&lt;span class="_ _7"&gt;&lt;/span&gt;ire&lt;span class="_ _7"&gt;&lt;/span&gt;ly wi&lt;span class="_ _7"&gt;&lt;/span&gt;th&lt;span class="_ _7"&gt;&lt;/span&gt;in Volvo Ca&lt;span class="_ _7"&gt;&lt;/span&gt;r Gr&lt;span class="_ _7"&gt;&lt;/span&gt;oup&lt;span class="_ _7"&gt;&lt;/span&gt;’s cont&lt;span class="_ _7"&gt;&lt;/span&gt;rol&lt;span class="_ _7"&gt;&lt;/span&gt;, t&lt;span class="_ _7"&gt;&lt;/span&gt;ake pl&lt;span class="_ _7"&gt;&lt;/span&gt;a&lt;span class="_ _7"&gt;&lt;/span&gt;ce or &lt;/span&gt;&lt;span style="display:inherit;clear:left;"&gt;fa&lt;span class="_ _7"&gt;&lt;/span&gt;il to t&lt;span class="_ _7"&gt;&lt;/span&gt;ake pl&lt;span class="_ _7"&gt;&lt;/span&gt;ac&lt;span class="_ _7"&gt;&lt;/span&gt;e. A c&lt;span class="_ _7"&gt;&lt;/span&gt;ont&lt;span class="_ _7"&gt;&lt;/span&gt;ing&lt;span class="_ _7"&gt;&lt;/span&gt;ent l&lt;span class="_ _7"&gt;&lt;/span&gt;ia&lt;span class="_ _7"&gt;&lt;/span&gt;bil&lt;span class="_ _7"&gt;&lt;/span&gt;it&lt;span class="_ _7"&gt;&lt;/span&gt;y c&lt;span class="_ _7"&gt;&lt;/span&gt;oul&lt;span class="_ _7"&gt;&lt;/span&gt;d al&lt;span class="_ _7"&gt;&lt;/span&gt;so e&lt;span class="_ _7"&gt;&lt;/span&gt;xi&lt;span class="_ _7"&gt;&lt;/span&gt;st f&lt;span class="_ _7"&gt;&lt;/span&gt;or a p&lt;span class="_ _7"&gt;&lt;/span&gt;re&lt;span class="_ _7"&gt;&lt;/span&gt;se&lt;span class="_ _7"&gt;&lt;/span&gt;nt &lt;/span&gt;&lt;span style="display:inherit;clear:left;"&gt;ob&lt;span class="_ _7"&gt;&lt;/span&gt;lig&lt;span class="_ _7"&gt;&lt;/span&gt;ati&lt;span class="_ _7"&gt;&lt;/span&gt;on&lt;span class="_ _7"&gt;&lt;/span&gt;, du&lt;span class="_ _7"&gt;&lt;/span&gt;e to a pa&lt;span class="_ _7"&gt;&lt;/span&gt;st e&lt;span class="_ _7"&gt;&lt;/span&gt;ven&lt;span class="_ _7"&gt;&lt;/span&gt;t, w&lt;span class="_ _7"&gt;&lt;/span&gt;her&lt;span class="_ _7"&gt;&lt;/span&gt;e an o&lt;span class="_ _7"&gt;&lt;/span&gt;ut&lt;span class="_ _7"&gt;&lt;/span&gt;f&lt;span class="_ _7"&gt;&lt;/span&gt;low o&lt;span class="_ _7"&gt;&lt;/span&gt;f re&lt;span class="_ _7"&gt;&lt;/span&gt;s&lt;span class="_ _7"&gt;&lt;/span&gt;our&lt;span class="_ _7"&gt;&lt;/span&gt;ce&lt;span class="_ _7"&gt;&lt;/span&gt;s is l&lt;span class="_ _7"&gt;&lt;/span&gt;es&lt;span class="_ _7"&gt;&lt;/span&gt;s &lt;/span&gt;&lt;span style="display:inherit;clear:left;"&gt;like&lt;span class="_ _7"&gt;&lt;/span&gt;ly (&lt;span class="_ _2"&gt;&lt;/span&gt;&amp;lt;50 per c&lt;span class="_ _7"&gt;&lt;/span&gt;ent) o&lt;span class="_ _7"&gt;&lt;/span&gt;r wh&lt;span class="_ _7"&gt;&lt;/span&gt;en th&lt;span class="_ _7"&gt;&lt;/span&gt;e am&lt;span class="_ _7"&gt;&lt;/span&gt;ou&lt;span class="_ _7"&gt;&lt;/span&gt;nt of t&lt;span class="_ _7"&gt;&lt;/span&gt;he ob&lt;span class="_ _7"&gt;&lt;/span&gt;lig&lt;span class="_ _7"&gt;&lt;/span&gt;at&lt;span class="_ _7"&gt;&lt;/span&gt;io&lt;span class="_ _7"&gt;&lt;/span&gt;n ca&lt;span class="_ _7"&gt;&lt;/span&gt;nno&lt;span class="_ _7"&gt;&lt;/span&gt;t be &lt;/span&gt;&lt;span style="display:inherit;clear:left;"&gt;reliably&lt;span class="_ _2"&gt;&lt;/span&gt; measured.&lt;/span&gt;&lt;span style="display:inherit;clear:left;"&gt;CRITICAL A&lt;span class="_ _2"&gt;&lt;/span&gt;CC&lt;span class="_ _7"&gt;&lt;/span&gt;OUNTING ESTIMA&lt;span class="_ _6"&gt;&lt;/span&gt;TES AND JUDGEMENTS&lt;/span&gt;&lt;span style="display:inherit;clear:left;"&gt;Legal&lt;span class="_ _2"&gt;&lt;/span&gt; proceedings&lt;/span&gt;&lt;span style="display:inherit;clear:left;"&gt;Co&lt;span class="_ _7"&gt;&lt;/span&gt;mp&lt;span class="_ _7"&gt;&lt;/span&gt;ani&lt;span class="_ _7"&gt;&lt;/span&gt;es w&lt;span class="_ _7"&gt;&lt;/span&gt;it&lt;span class="_ _7"&gt;&lt;/span&gt;hin Volvo C&lt;span class="_ _7"&gt;&lt;/span&gt;ar G&lt;span class="_ _7"&gt;&lt;/span&gt;ro&lt;span class="_ _7"&gt;&lt;/span&gt;up ma&lt;span class="_ _7"&gt;&lt;/span&gt;y at tim&lt;span class="_ _7"&gt;&lt;/span&gt;e&lt;span class="_ _7"&gt;&lt;/span&gt;s be i&lt;span class="_ _7"&gt;&lt;/span&gt;nvolv&lt;span class="_ _7"&gt;&lt;/span&gt;ed i&lt;span class="_ _7"&gt;&lt;/span&gt;n leg&lt;span class="_ _7"&gt;&lt;/span&gt;al &lt;/span&gt;&lt;span style="display:inherit;clear:left;"&gt;pro&lt;span class="_ _7"&gt;&lt;/span&gt;ce&lt;span class="_ _7"&gt;&lt;/span&gt;e&lt;span class="_ _7"&gt;&lt;/span&gt;din&lt;span class="_ _7"&gt;&lt;/span&gt;gs&lt;span class="_ _7"&gt;&lt;/span&gt;, s&lt;span class="_ _7"&gt;&lt;/span&gt;uch p&lt;span class="_ _7"&gt;&lt;/span&gt;ro&lt;span class="_ _7"&gt;&lt;/span&gt;ce&lt;span class="_ _7"&gt;&lt;/span&gt;ed&lt;span class="_ _7"&gt;&lt;/span&gt;ing&lt;span class="_ _7"&gt;&lt;/span&gt;s m&lt;span class="_ _7"&gt;&lt;/span&gt;ay co&lt;span class="_ _7"&gt;&lt;/span&gt;ver a r&lt;span class="_ _7"&gt;&lt;/span&gt;ang&lt;span class="_ _7"&gt;&lt;/span&gt;e of d&lt;span class="_ _7"&gt;&lt;/span&gt;if&lt;span class="_ _9"&gt;&lt;/span&gt;fer&lt;span class="_ _7"&gt;&lt;/span&gt;ent m&lt;span class="_ _7"&gt;&lt;/span&gt;at&lt;span class="_ _2"&gt;&lt;/span&gt;-&lt;/span&gt;&lt;span style="display:inherit;clear:left;"&gt;ter&lt;span class="_ _7"&gt;&lt;/span&gt;s in v&lt;span class="_ _7"&gt;&lt;/span&gt;ar&lt;span class="_ _7"&gt;&lt;/span&gt;iou&lt;span class="_ _7"&gt;&lt;/span&gt;s ju&lt;span class="_ _7"&gt;&lt;/span&gt;ri&lt;span class="_ _7"&gt;&lt;/span&gt;sd&lt;span class="_ _7"&gt;&lt;/span&gt;ic&lt;span class="_ _7"&gt;&lt;/span&gt;tio&lt;span class="_ _7"&gt;&lt;/span&gt;ns&lt;span class="_ _7"&gt;&lt;/span&gt;. T&lt;span class="_ _7"&gt;&lt;/span&gt;he&lt;span class="_ _7"&gt;&lt;/span&gt;s&lt;span class="_ _7"&gt;&lt;/span&gt;e inc&lt;span class="_ _7"&gt;&lt;/span&gt;lud&lt;span class="_ _7"&gt;&lt;/span&gt;e, b&lt;span class="_ _7"&gt;&lt;/span&gt;ut ar&lt;span class="_ _7"&gt;&lt;/span&gt;e no&lt;span class="_ _7"&gt;&lt;/span&gt;t lim&lt;span class="_ _7"&gt;&lt;/span&gt;ite&lt;span class="_ _7"&gt;&lt;/span&gt;d to, &lt;/span&gt;&lt;span style="display:inherit;clear:left;"&gt;com&lt;span class="_ _7"&gt;&lt;/span&gt;me&lt;span class="_ _7"&gt;&lt;/span&gt;rci&lt;span class="_ _7"&gt;&lt;/span&gt;al d&lt;span class="_ _7"&gt;&lt;/span&gt;is&lt;span class="_ _7"&gt;&lt;/span&gt;pu&lt;span class="_ _7"&gt;&lt;/span&gt;tes s&lt;span class="_ _7"&gt;&lt;/span&gt;uc&lt;span class="_ _7"&gt;&lt;/span&gt;h as a&lt;span class="_ _7"&gt;&lt;/span&gt;lleg&lt;span class="_ _7"&gt;&lt;/span&gt;ed b&lt;span class="_ _7"&gt;&lt;/span&gt;re&lt;span class="_ _7"&gt;&lt;/span&gt;ach o&lt;span class="_ _7"&gt;&lt;/span&gt;f co&lt;span class="_ _7"&gt;&lt;/span&gt;ntr&lt;span class="_ _7"&gt;&lt;/span&gt;ac&lt;span class="_ _7"&gt;&lt;/span&gt;t&lt;span class="_ _7"&gt;&lt;/span&gt;, ins&lt;span class="_ _7"&gt;&lt;/span&gt;u&lt;span class="_ _7"&gt;&lt;/span&gt;f&lt;span class="_ _7"&gt;&lt;/span&gt;f&lt;span class="_ _7"&gt;&lt;/span&gt;ici&lt;span class="_ _7"&gt;&lt;/span&gt;ent &lt;/span&gt;&lt;span style="display:inherit;clear:left;"&gt;supplies of goods or&lt;span class="_ _2"&gt;&lt;/span&gt; ser&lt;span class="_ _7"&gt;&lt;/span&gt;vices&lt;span class="_ _7"&gt;&lt;/span&gt;, product l&lt;span class="_ _2"&gt;&lt;/span&gt;iabilit&lt;span class="_ _7"&gt;&lt;/span&gt;y&lt;span class="_ _2"&gt;&lt;/span&gt;, patent i&lt;span class="_ _2"&gt;&lt;/span&gt;nf&lt;span class="_ _7"&gt;&lt;/span&gt;ringement&lt;span class="_ _2"&gt;&lt;/span&gt; &lt;/span&gt;&lt;span style="display:inherit;clear:left;"&gt;or in&lt;span class="_ _7"&gt;&lt;/span&gt;f&lt;span class="_ _7"&gt;&lt;/span&gt;rin&lt;span class="_ _7"&gt;&lt;/span&gt;gem&lt;span class="_ _7"&gt;&lt;/span&gt;en&lt;span class="_ _7"&gt;&lt;/span&gt;t of ot&lt;span class="_ _7"&gt;&lt;/span&gt;he&lt;span class="_ _7"&gt;&lt;/span&gt;r int&lt;span class="_ _7"&gt;&lt;/span&gt;ang&lt;span class="_ _7"&gt;&lt;/span&gt;ib&lt;span class="_ _7"&gt;&lt;/span&gt;le r&lt;span class="_ _7"&gt;&lt;/span&gt;igh&lt;span class="_ _7"&gt;&lt;/span&gt;ts&lt;span class="_ _7"&gt;&lt;/span&gt;. Th&lt;span class="_ _7"&gt;&lt;/span&gt;e va&lt;span class="_ _7"&gt;&lt;/span&gt;ri&lt;span class="_ _7"&gt;&lt;/span&gt;ou&lt;span class="_ _7"&gt;&lt;/span&gt;s mat&lt;span class="_ _7"&gt;&lt;/span&gt;te&lt;span class="_ _7"&gt;&lt;/span&gt;r&lt;span class="_ _7"&gt;&lt;/span&gt;s &lt;/span&gt;&lt;span style="display:inherit;clear:left;"&gt;ra&lt;span class="_ _7"&gt;&lt;/span&gt;is&lt;span class="_ _7"&gt;&lt;/span&gt;ed a&lt;span class="_ _7"&gt;&lt;/span&gt;re o&lt;span class="_ _7"&gt;&lt;/span&gt;f&lt;span class="_ _7"&gt;&lt;/span&gt;ten o&lt;span class="_ _7"&gt;&lt;/span&gt;f a di&lt;span class="_ _7"&gt;&lt;/span&gt;f&lt;span class="_ _7"&gt;&lt;/span&gt;f&lt;span class="_ _7"&gt;&lt;/span&gt;ic&lt;span class="_ _7"&gt;&lt;/span&gt;ult an&lt;span class="_ _7"&gt;&lt;/span&gt;d co&lt;span class="_ _7"&gt;&lt;/span&gt;mp&lt;span class="_ _7"&gt;&lt;/span&gt;lex na&lt;span class="_ _7"&gt;&lt;/span&gt;tur&lt;span class="_ _7"&gt;&lt;/span&gt;e ma&lt;span class="_ _7"&gt;&lt;/span&gt;ki&lt;span class="_ _7"&gt;&lt;/span&gt;ng th&lt;span class="_ _7"&gt;&lt;/span&gt;em &lt;/span&gt;&lt;span style="display:inherit;clear:left;"&gt;leg&lt;span class="_ _7"&gt;&lt;/span&gt;all&lt;span class="_ _7"&gt;&lt;/span&gt;y com&lt;span class="_ _7"&gt;&lt;/span&gt;pl&lt;span class="_ _7"&gt;&lt;/span&gt;ic&lt;span class="_ _7"&gt;&lt;/span&gt;ate&lt;span class="_ _7"&gt;&lt;/span&gt;d, a&lt;span class="_ _7"&gt;&lt;/span&gt;nd i&lt;span class="_ _7"&gt;&lt;/span&gt;t is th&lt;span class="_ _7"&gt;&lt;/span&gt;er&lt;span class="_ _7"&gt;&lt;/span&gt;ef&lt;span class="_ _7"&gt;&lt;/span&gt;ore d&lt;span class="_ _7"&gt;&lt;/span&gt;if&lt;span class="_ _9"&gt;&lt;/span&gt;fi&lt;span class="_ _7"&gt;&lt;/span&gt;cult to p&lt;span class="_ _7"&gt;&lt;/span&gt;re&lt;span class="_ _7"&gt;&lt;/span&gt;di&lt;span class="_ _7"&gt;&lt;/span&gt;ct th&lt;span class="_ _7"&gt;&lt;/span&gt;e f&lt;span class="_ _7"&gt;&lt;/span&gt;ina&lt;span class="_ _7"&gt;&lt;/span&gt;l &lt;/span&gt;&lt;span style="display:inherit;clear:left;"&gt;out&lt;span class="_ _7"&gt;&lt;/span&gt;co&lt;span class="_ _7"&gt;&lt;/span&gt;me o&lt;span class="_ _7"&gt;&lt;/span&gt;f suc&lt;span class="_ _7"&gt;&lt;/span&gt;h ma&lt;span class="_ _7"&gt;&lt;/span&gt;tt&lt;span class="_ _7"&gt;&lt;/span&gt;er&lt;span class="_ _7"&gt;&lt;/span&gt;s&lt;span class="_ _7"&gt;&lt;/span&gt;. The c&lt;span class="_ _7"&gt;&lt;/span&gt;om&lt;span class="_ _7"&gt;&lt;/span&gt;pa&lt;span class="_ _7"&gt;&lt;/span&gt;nie&lt;span class="_ _7"&gt;&lt;/span&gt;s w&lt;span class="_ _7"&gt;&lt;/span&gt;ith&lt;span class="_ _7"&gt;&lt;/span&gt;in Volvo C&lt;span class="_ _7"&gt;&lt;/span&gt;ar Gr&lt;span class="_ _7"&gt;&lt;/span&gt;ou&lt;span class="_ _7"&gt;&lt;/span&gt;p &lt;/span&gt;&lt;span style="display:inherit;clear:left;"&gt;wor&lt;span class="_ _7"&gt;&lt;/span&gt;k clo&lt;span class="_ _7"&gt;&lt;/span&gt;s&lt;span class="_ _7"&gt;&lt;/span&gt;ely w&lt;span class="_ _7"&gt;&lt;/span&gt;ith l&lt;span class="_ _7"&gt;&lt;/span&gt;ega&lt;span class="_ _7"&gt;&lt;/span&gt;l ad&lt;span class="_ _7"&gt;&lt;/span&gt;vi&lt;span class="_ _7"&gt;&lt;/span&gt;s&lt;span class="_ _7"&gt;&lt;/span&gt;or&lt;span class="_ _7"&gt;&lt;/span&gt;s an&lt;span class="_ _7"&gt;&lt;/span&gt;d oth&lt;span class="_ _7"&gt;&lt;/span&gt;er ex&lt;span class="_ _7"&gt;&lt;/span&gt;pe&lt;span class="_ _7"&gt;&lt;/span&gt;r&lt;span class="_ _7"&gt;&lt;/span&gt;t&lt;span class="_ _7"&gt;&lt;/span&gt;s in th&lt;span class="_ _7"&gt;&lt;/span&gt;e var&lt;span class="_ _7"&gt;&lt;/span&gt;io&lt;span class="_ _7"&gt;&lt;/span&gt;us &lt;/span&gt;&lt;span style="display:inherit;clear:left;"&gt;matters in each&lt;span class="_ _2"&gt;&lt;/span&gt; jurisdiction. A provision is&lt;span class="_ _2"&gt;&lt;/span&gt; made when it is&lt;span class="_ _2"&gt;&lt;/span&gt; deter&lt;span class="_ _2"&gt;&lt;/span&gt;&lt;span class="ls3 ws3"&gt;-&lt;/span&gt;&lt;/span&gt;&lt;span style="display:inherit;clear:left;"&gt;min&lt;span class="_ _7"&gt;&lt;/span&gt;ed t&lt;span class="_ _7"&gt;&lt;/span&gt;hat a&lt;span class="_ _7"&gt;&lt;/span&gt;n ad&lt;span class="_ _7"&gt;&lt;/span&gt;ver&lt;span class="_ _7"&gt;&lt;/span&gt;s&lt;span class="_ _7"&gt;&lt;/span&gt;e ou&lt;span class="_ _7"&gt;&lt;/span&gt;tco&lt;span class="_ _7"&gt;&lt;/span&gt;me i&lt;span class="_ _7"&gt;&lt;/span&gt;s mo&lt;span class="_ _7"&gt;&lt;/span&gt;re li&lt;span class="_ _7"&gt;&lt;/span&gt;kely t&lt;span class="_ _7"&gt;&lt;/span&gt;han n&lt;span class="_ _7"&gt;&lt;/span&gt;ot&lt;span class="_ _7"&gt;&lt;/span&gt;, an&lt;span class="_ _7"&gt;&lt;/span&gt;d the &lt;/span&gt;&lt;span style="display:inherit;clear:left;"&gt;amo&lt;span class="_ _7"&gt;&lt;/span&gt;un&lt;span class="_ _7"&gt;&lt;/span&gt;t of th&lt;span class="_ _7"&gt;&lt;/span&gt;e lo&lt;span class="_ _7"&gt;&lt;/span&gt;s&lt;span class="_ _7"&gt;&lt;/span&gt;s ca&lt;span class="_ _7"&gt;&lt;/span&gt;n be r&lt;span class="_ _7"&gt;&lt;/span&gt;eli&lt;span class="_ _7"&gt;&lt;/span&gt;ab&lt;span class="_ _7"&gt;&lt;/span&gt;ly e&lt;span class="_ _7"&gt;&lt;/span&gt;st&lt;span class="_ _7"&gt;&lt;/span&gt;ima&lt;span class="_ _7"&gt;&lt;/span&gt;ted&lt;span class="_ _7"&gt;&lt;/span&gt;. In i&lt;span class="_ _7"&gt;&lt;/span&gt;ns&lt;span class="_ _7"&gt;&lt;/span&gt;t&lt;span class="_ _7"&gt;&lt;/span&gt;anc&lt;span class="_ _7"&gt;&lt;/span&gt;e&lt;span class="_ _7"&gt;&lt;/span&gt;s whe&lt;span class="_ _7"&gt;&lt;/span&gt;re &lt;/span&gt;&lt;span style="display:inherit;clear:left;"&gt;the&lt;span class="_ _7"&gt;&lt;/span&gt;s&lt;span class="_ _7"&gt;&lt;/span&gt;e cri&lt;span class="_ _7"&gt;&lt;/span&gt;ter&lt;span class="_ _7"&gt;&lt;/span&gt;ia a&lt;span class="_ _7"&gt;&lt;/span&gt;re n&lt;span class="_ _7"&gt;&lt;/span&gt;ot me&lt;span class="_ _7"&gt;&lt;/span&gt;t, a c&lt;span class="_ _7"&gt;&lt;/span&gt;on&lt;span class="_ _7"&gt;&lt;/span&gt;ting&lt;span class="_ _7"&gt;&lt;/span&gt;en&lt;span class="_ _7"&gt;&lt;/span&gt;t lia&lt;span class="_ _7"&gt;&lt;/span&gt;bil&lt;span class="_ _7"&gt;&lt;/span&gt;it&lt;span class="_ _7"&gt;&lt;/span&gt;y h&lt;span class="_ _7"&gt;&lt;/span&gt;as b&lt;span class="_ _7"&gt;&lt;/span&gt;ee&lt;span class="_ _7"&gt;&lt;/span&gt;n di&lt;span class="_ _7"&gt;&lt;/span&gt;sc&lt;span class="_ _7"&gt;&lt;/span&gt;los&lt;span class="_ _7"&gt;&lt;/span&gt;e&lt;span class="_ _7"&gt;&lt;/span&gt;d &lt;/span&gt;&lt;span style="display:inherit;clear:left;"&gt;pro&lt;span class="_ _7"&gt;&lt;/span&gt;vi&lt;span class="_ _7"&gt;&lt;/span&gt;de&lt;span class="_ _7"&gt;&lt;/span&gt;d the r&lt;span class="_ _7"&gt;&lt;/span&gt;is&lt;span class="_ _7"&gt;&lt;/span&gt;k qu&lt;span class="_ _7"&gt;&lt;/span&gt;ali&lt;span class="_ _7"&gt;&lt;/span&gt;f&lt;span class="_ _7"&gt;&lt;/span&gt;ie&lt;span class="_ _7"&gt;&lt;/span&gt;s as s&lt;span class="_ _7"&gt;&lt;/span&gt;uc&lt;span class="_ _7"&gt;&lt;/span&gt;h a lia&lt;span class="_ _7"&gt;&lt;/span&gt;bil&lt;span class="_ _7"&gt;&lt;/span&gt;it&lt;span class="_ _7"&gt;&lt;/span&gt;y. &lt;/span&gt;&lt;span style="display:inherit;clear:left;"&gt;Oth&lt;span class="_ _7"&gt;&lt;/span&gt;er pro&lt;span class="_ _7"&gt;&lt;/span&gt;ce&lt;span class="_ _7"&gt;&lt;/span&gt;ss&lt;span class="_ _7"&gt;&lt;/span&gt;es &lt;/span&gt;&lt;span style="display:inherit;clear:left;"&gt;Volvo Ca&lt;span class="_ _7"&gt;&lt;/span&gt;r Gro&lt;span class="_ _7"&gt;&lt;/span&gt;up i&lt;span class="_ _7"&gt;&lt;/span&gt;s as we&lt;span class="_ _7"&gt;&lt;/span&gt;ll&lt;span class="_ _7"&gt;&lt;/span&gt;, li&lt;span class="_ _7"&gt;&lt;/span&gt;ke oth&lt;span class="_ _7"&gt;&lt;/span&gt;er g&lt;span class="_ _7"&gt;&lt;/span&gt;lob&lt;span class="_ _7"&gt;&lt;/span&gt;al c&lt;span class="_ _7"&gt;&lt;/span&gt;omp&lt;span class="_ _7"&gt;&lt;/span&gt;an&lt;span class="_ _7"&gt;&lt;/span&gt;ie&lt;span class="_ _7"&gt;&lt;/span&gt;s&lt;span class="_ _7"&gt;&lt;/span&gt;, fr&lt;span class="_ _7"&gt;&lt;/span&gt;om ti&lt;span class="_ _7"&gt;&lt;/span&gt;me to &lt;/span&gt;&lt;span style="display:inherit;clear:left;"&gt;tim&lt;span class="_ _7"&gt;&lt;/span&gt;e invo&lt;span class="_ _7"&gt;&lt;/span&gt;lve&lt;span class="_ _7"&gt;&lt;/span&gt;d in p&lt;span class="_ _7"&gt;&lt;/span&gt;ro&lt;span class="_ _7"&gt;&lt;/span&gt;ce&lt;span class="_ _7"&gt;&lt;/span&gt;s&lt;span class="_ _7"&gt;&lt;/span&gt;se&lt;span class="_ _7"&gt;&lt;/span&gt;s o&lt;span class="_ _7"&gt;&lt;/span&gt;f var&lt;span class="_ _7"&gt;&lt;/span&gt;y&lt;span class="_ _7"&gt;&lt;/span&gt;in&lt;span class="_ _7"&gt;&lt;/span&gt;g sc&lt;span class="_ _7"&gt;&lt;/span&gt;op&lt;span class="_ _7"&gt;&lt;/span&gt;e an&lt;span class="_ _7"&gt;&lt;/span&gt;d in va&lt;span class="_ _7"&gt;&lt;/span&gt;ri&lt;span class="_ _7"&gt;&lt;/span&gt;ou&lt;span class="_ _7"&gt;&lt;/span&gt;s st&lt;span class="_ _7"&gt;&lt;/span&gt;ag&lt;span class="_ _7"&gt;&lt;/span&gt;es &lt;/span&gt;&lt;span style="display:inherit;clear:left;"&gt;wit&lt;span class="_ _7"&gt;&lt;/span&gt;h reg&lt;span class="_ _7"&gt;&lt;/span&gt;ar&lt;span class="_ _7"&gt;&lt;/span&gt;ds t&lt;span class="_ _7"&gt;&lt;/span&gt;o for i&lt;span class="_ _7"&gt;&lt;/span&gt;ns&lt;span class="_ _7"&gt;&lt;/span&gt;t&lt;span class="_ _7"&gt;&lt;/span&gt;anc&lt;span class="_ _7"&gt;&lt;/span&gt;e im&lt;span class="_ _7"&gt;&lt;/span&gt;po&lt;span class="_ _7"&gt;&lt;/span&gt;r&lt;span class="_ _7"&gt;&lt;/span&gt;t dut&lt;span class="_ _7"&gt;&lt;/span&gt;ie&lt;span class="_ _7"&gt;&lt;/span&gt;s an&lt;span class="_ _7"&gt;&lt;/span&gt;d tr&lt;span class="_ _7"&gt;&lt;/span&gt;an&lt;span class="_ _7"&gt;&lt;/span&gt;sf&lt;span class="_ _7"&gt;&lt;/span&gt;er p&lt;span class="_ _7"&gt;&lt;/span&gt;ri&lt;span class="_ _7"&gt;&lt;/span&gt;ce&lt;span class="_ _7"&gt;&lt;/span&gt;s. T&lt;span class="_ _7"&gt;&lt;/span&gt;he&lt;span class="_ _7"&gt;&lt;/span&gt;s&lt;span class="_ _7"&gt;&lt;/span&gt;e &lt;/span&gt;&lt;span style="display:inherit;clear:left;"&gt;pro&lt;span class="_ _7"&gt;&lt;/span&gt;ce&lt;span class="_ _7"&gt;&lt;/span&gt;s&lt;span class="_ _7"&gt;&lt;/span&gt;s&lt;span class="_ _7"&gt;&lt;/span&gt;e&lt;span class="_ _7"&gt;&lt;/span&gt;s are e&lt;span class="_ _7"&gt;&lt;/span&gt;valu&lt;span class="_ _7"&gt;&lt;/span&gt;ate&lt;span class="_ _7"&gt;&lt;/span&gt;d re&lt;span class="_ _7"&gt;&lt;/span&gt;gu&lt;span class="_ _7"&gt;&lt;/span&gt;la&lt;span class="_ _7"&gt;&lt;/span&gt;rly, an&lt;span class="_ _7"&gt;&lt;/span&gt;d pro&lt;span class="_ _7"&gt;&lt;/span&gt;vi&lt;span class="_ _7"&gt;&lt;/span&gt;si&lt;span class="_ _7"&gt;&lt;/span&gt;on&lt;span class="_ _7"&gt;&lt;/span&gt;s are m&lt;span class="_ _7"&gt;&lt;/span&gt;ad&lt;span class="_ _7"&gt;&lt;/span&gt;e wh&lt;span class="_ _7"&gt;&lt;/span&gt;en i&lt;span class="_ _7"&gt;&lt;/span&gt;t &lt;/span&gt;&lt;span style="display:inherit;clear:left;"&gt;is m&lt;span class="_ _7"&gt;&lt;/span&gt;ore l&lt;span class="_ _7"&gt;&lt;/span&gt;ikel&lt;span class="_ _7"&gt;&lt;/span&gt;y tha&lt;span class="_ _7"&gt;&lt;/span&gt;n not t&lt;span class="_ _7"&gt;&lt;/span&gt;ha&lt;span class="_ _7"&gt;&lt;/span&gt;t add&lt;span class="_ _7"&gt;&lt;/span&gt;it&lt;span class="_ _7"&gt;&lt;/span&gt;ion&lt;span class="_ _7"&gt;&lt;/span&gt;al f&lt;span class="_ _7"&gt;&lt;/span&gt;ee&lt;span class="_ _7"&gt;&lt;/span&gt;s mu&lt;span class="_ _7"&gt;&lt;/span&gt;st b&lt;span class="_ _7"&gt;&lt;/span&gt;e p&lt;span class="_ _7"&gt;&lt;/span&gt;aid&lt;span class="_ _7"&gt;&lt;/span&gt;, an&lt;span class="_ _7"&gt;&lt;/span&gt;d th&lt;span class="_ _7"&gt;&lt;/span&gt;e &lt;/span&gt;&lt;span style="display:inherit;clear:left;"&gt;out&lt;span class="_ _7"&gt;&lt;/span&gt;co&lt;span class="_ _7"&gt;&lt;/span&gt;me c&lt;span class="_ _7"&gt;&lt;/span&gt;an b&lt;span class="_ _7"&gt;&lt;/span&gt;e re&lt;span class="_ _7"&gt;&lt;/span&gt;lia&lt;span class="_ _7"&gt;&lt;/span&gt;bly e&lt;span class="_ _7"&gt;&lt;/span&gt;s&lt;span class="_ _7"&gt;&lt;/span&gt;tim&lt;span class="_ _7"&gt;&lt;/span&gt;ate&lt;span class="_ _7"&gt;&lt;/span&gt;d. I&lt;span class="_ _7"&gt;&lt;/span&gt;f it i&lt;span class="_ _7"&gt;&lt;/span&gt;s no&lt;span class="_ _7"&gt;&lt;/span&gt;t pro&lt;span class="_ _7"&gt;&lt;/span&gt;ba&lt;span class="_ _7"&gt;&lt;/span&gt;bl&lt;span class="_ _7"&gt;&lt;/span&gt;e tha&lt;span class="_ _7"&gt;&lt;/span&gt;t the &lt;/span&gt;&lt;span style="display:inherit;clear:left;"&gt;ad&lt;span class="_ _7"&gt;&lt;/span&gt;dit&lt;span class="_ _7"&gt;&lt;/span&gt;ion&lt;span class="_ _7"&gt;&lt;/span&gt;al f&lt;span class="_ _7"&gt;&lt;/span&gt;ee&lt;span class="_ _7"&gt;&lt;/span&gt;s wi&lt;span class="_ _7"&gt;&lt;/span&gt;ll b&lt;span class="_ _7"&gt;&lt;/span&gt;e pa&lt;span class="_ _7"&gt;&lt;/span&gt;id b&lt;span class="_ _7"&gt;&lt;/span&gt;ut th&lt;span class="_ _7"&gt;&lt;/span&gt;e ri&lt;span class="_ _7"&gt;&lt;/span&gt;sk i&lt;span class="_ _7"&gt;&lt;/span&gt;s mo&lt;span class="_ _7"&gt;&lt;/span&gt;re th&lt;span class="_ _7"&gt;&lt;/span&gt;an r&lt;span class="_ _7"&gt;&lt;/span&gt;em&lt;span class="_ _7"&gt;&lt;/span&gt;ote, s&lt;span class="_ _7"&gt;&lt;/span&gt;uc&lt;span class="_ _7"&gt;&lt;/span&gt;h &lt;/span&gt;&lt;span style="display:inherit;clear:left;"&gt;&lt;span&gt;&lt;span style="display:inherit;clear:left;"&gt;amo&lt;span class="_ _7"&gt;&lt;/span&gt;un&lt;span class="_ _7"&gt;&lt;/span&gt;ts a&lt;span class="_ _7"&gt;&lt;/span&gt;re di&lt;span class="_ _7"&gt;&lt;/span&gt;s&lt;span class="_ _7"&gt;&lt;/span&gt;clo&lt;span class="_ _7"&gt;&lt;/span&gt;se&lt;span class="_ _7"&gt;&lt;/span&gt;d as c&lt;span class="_ _7"&gt;&lt;/span&gt;on&lt;span class="_ _7"&gt;&lt;/span&gt;tin&lt;span class="_ _7"&gt;&lt;/span&gt;gen&lt;span class="_ _7"&gt;&lt;/span&gt;t lia&lt;span class="_ _7"&gt;&lt;/span&gt;bi&lt;span class="_ _7"&gt;&lt;/span&gt;lit&lt;span class="_ _7"&gt;&lt;/span&gt;ie&lt;span class="_ _7"&gt;&lt;/span&gt;s.&lt;/span&gt;&lt;/span&gt; &lt;/span&gt;&lt;span style="display:inherit;clear:left;position:relative;height:147.990234375px;"&gt;&lt;span class="pp-font-color-override-1" style="position: absolute; display: inline-block; left: 259.031px; top: 0.748047px; width: 30.2637px; white-space: pre; word-spacing: 0px; letter-spacing: 0px; margin-left: 0px; font-size: 9.6px; font-family: ffb0; -webkit-text-stroke: 0.144px rgba(0, 0, 0, 0);"&gt;&lt;span style="display: inline-block;"&gt;31 De&lt;/span&gt;&lt;span style="word-spacing: 0px; letter-spacing: 0px; display: inline-block; margin-left: 0px; width: 0.410156px; font-size: 9.6px; font-family: ffb0; -webkit-text-stroke: 0.144px rgba(0, 0, 0, 0);"&gt;&lt;/span&gt;&lt;span style="display: inline-block;"&gt;c &lt;/span&gt;&lt;/span&gt;&lt;span class="pp-font-color-override-1" style="position: absolute; display: inline-block; left: 314.391px; top: 0.0039062px; width: 30.2637px; white-space: pre; word-spacing: 0px; letter-spacing: 0px; margin-left: 0px; font-size: 9.6px; font-family: ffb1; -webkit-text-stroke: 0.144px rgba(0, 0, 0, 0);"&gt;&lt;span style="display: inline-block;"&gt;31 De&lt;/span&gt;&lt;span style="word-spacing: 0px; letter-spacing: 0px; display: inline-block; margin-left: 0px; width: 0.410156px; font-size: 9.6px; font-family: ffb1; -webkit-text-stroke: 0.144px rgba(0, 0, 0, 0);"&gt;&lt;/span&gt;&lt;span style="display: inline-block;"&gt;c &lt;/span&gt;&lt;/span&gt;&lt;span class="pp-font-color-override-1" style="position: absolute; display: inline-block; left: 1.14062px; top: 10.5391px; width: 92.127px; white-space: pre; word-spacing: -0.126px; letter-spacing: 0.1575px; margin-left: 0px; font-size: 10.5px; font-family: ffb0; -webkit-text-stroke: 0.1575px rgba(0, 0, 0, 0);"&gt;&lt;span style="display: inline-block;"&gt;Contingen&lt;/span&gt;&lt;span style="word-spacing: -0.126px; letter-spacing: 0.1575px; display: inline-block; margin-left: 0px; width: 0.410156px; font-size: 10.5px; font-family: ffb0; -webkit-text-stroke: 0.1575px rgba(0, 0, 0, 0);"&gt;&lt;/span&gt;&lt;span style="display: inline-block;"&gt;t liabilities&lt;/span&gt;&lt;/span&gt;&lt;span class="pp-font-color-override-1" style="position: absolute; display: inline-block; left: 264.047px;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319.844px;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1.14062px; top: 33.1191px; width: 316.98px; white-space: pre; word-spacing: 0px; letter-spacing: 0.0315px; margin-left: 0px; font-size: 10.5px; font-family: ffb2; -webkit-text-stroke: 0.1575px rgba(0, 0, 0, 0);"&gt;&lt;span style="display: inline-block;"&gt;Gua&lt;/span&gt;&lt;span style="word-spacing: 0px; letter-spacing: 0.0315px; display: inline-block; margin-left: 0px; width: 0.410156px; font-size: 10.5px; font-family: ffb2; -webkit-text-stroke: 0.1575px rgba(0, 0, 0, 0);"&gt;&lt;/span&gt;&lt;span style="display: inline-block;"&gt;ra&lt;/span&gt;&lt;span style="word-spacing: 0px; letter-spacing: 0.0315px; display: inline-block; margin-left: 0px; width: 0.410156px; font-size: 10.5px; font-family: ffb2; -webkit-text-stroke: 0.1575px rgba(0, 0, 0, 0);"&gt;&lt;/span&gt;&lt;span style="display: inline-block;"&gt;ntee&lt;/span&gt;&lt;span style="word-spacing: 0px; letter-spacing: 0.0315px; display: inline-block; margin-left: 0px; width: 0.410156px; font-size: 10.5px; font-family: ffb2; -webkit-text-stroke: 0.1575px rgba(0, 0, 0, 0);"&gt;&lt;/span&gt;&lt;span style="display: inline-block;"&gt;s to in&lt;/span&gt;&lt;span style="word-spacing: 0px; letter-spacing: 0.0315px; display: inline-block; margin-left: 0px; width: 0.410156px; font-size: 10.5px; font-family: ffb2; -webkit-text-stroke: 0.1575px rgba(0, 0, 0, 0);"&gt;&lt;/span&gt;&lt;span style="display: inline-block;"&gt;su&lt;/span&gt;&lt;span style="word-spacing: 0px; letter-spacing: 0.0315px; display: inline-block; margin-left: 0px; width: 0.410156px; font-size: 10.5px; font-family: ffb2; -webkit-text-stroke: 0.1575px rgba(0, 0, 0, 0);"&gt;&lt;/span&gt;&lt;span style="display: inline-block;"&gt;ra&lt;/span&gt;&lt;span style="word-spacing: 0px; letter-spacing: 0.0315px; display: inline-block; margin-left: 0px; width: 0.410156px; font-size: 10.5px; font-family: ffb2; -webkit-text-stroke: 0.1575px rgba(0, 0, 0, 0);"&gt;&lt;/span&gt;&lt;span style="display: inline-block;"&gt;nc&lt;/span&gt;&lt;span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inline-block;"&gt;pa&lt;/span&gt;&lt;span style="word-spacing: 0px; letter-spacing: 0.0315px; display: inline-block; margin-left: 0px; width: 0.410156px; font-size: 10.5px; font-family: ffb2; -webkit-text-stroke: 0.1575px rgba(0, 0, 0, 0);"&gt;&lt;/span&gt;&lt;span style="display: inline-block;"&gt;ny FP&lt;/span&gt;&lt;span style="word-spacing: 0px; letter-spacing: 0.0315px; display: inline-block; margin-left: 0px; width: 0.410156px; font-size: 10.5px; font-family: ffb2; -webkit-text-stroke: 0.1575px rgba(0, 0, 0, 0);"&gt;&lt;/span&gt;&lt;span style="display: inline-block;"&gt;G&lt;/span&gt;&lt;span style="word-spacing: 0px; letter-spacing: 0.0315px; display: inline-block; margin-left: 0px; width: 79.8983px;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inline-block;"&gt;291&lt;/span&gt;&lt;span style="word-spacing: 0.0105px; letter-spacing: -0.0105px; display: inline-block; margin-left: 0px; width: 36.498px; font-size: 10.5px; font-family: ffb2; -webkit-text-stroke: 0.1575px rgba(0, 0, 0, 0);"&gt;&lt;span style="display: inline-block;"&gt;&lt;span style="width: 2.625px; display: inline-block;"&gt; &lt;/span&gt;&lt;/span&gt;&lt;/span&gt;&lt;/span&gt;&lt;span class="pp-font-color-override-1" style="word-spacing: 0px; letter-spacing: 0px; display: inline-block; margin-left: 0px; font-size: 10.5px; font-family: ffb2; -webkit-text-stroke: 0.1575px rgba(0, 0, 0, 0);"&gt;&lt;span style="display: inline-block;"&gt;278&lt;/span&gt;&lt;/span&gt;&lt;/span&gt;&lt;span class="pp-font-color-override-1" style="position: absolute; display: inline-block; left: 1.14062px; top: 49.0879px; width: 334.436px; white-space: pre; word-spacing: -0.231px; letter-spacing: 0.2625px; margin-left: 0px; font-size: 10.5px; font-family: ffb2; -webkit-text-stroke: 0.1575px rgba(0, 0, 0, 0);"&gt;&lt;span style="display: inline-block;"&gt;Legal&lt;/span&gt;&lt;span style="word-spacing: -0.231px; letter-spacing: 0.2625px; display: inline-block; margin-left: -0.684px; width: 0px; font-size: 10.5px; font-family: ffb2; -webkit-text-stroke: 0.1575px rgba(0, 0, 0, 0);"&gt;&lt;/span&gt;&lt;span style="display: inline-block;"&gt; claims&lt;/span&gt;&lt;span style="word-spacing: -0.231px; letter-spacing: 0.2625px; display: inline-block; margin-left: 0px; width: 213.088px; font-size: 10.5px; font-family: ffb2; -webkit-text-stroke: 0.1575px rgba(0, 0, 0, 0);"&gt;&lt;span style="display: inline-block;"&gt; &lt;/span&gt;&lt;/span&gt;&lt;span class="pp-font-color-override-1" style="word-spacing: -0.1365px; letter-spacing: 0.1365px; display: inline-block; margin-left: 0px; font-size: 10.5px; font-family: ffb2; -webkit-text-stroke: 0.1575px rgba(0, 0, 0, 0);"&gt;&lt;span style="display: inline-block;"&gt;50&lt;/span&gt;&lt;span style="word-spacing: -0.1365px; letter-spacing: 0.1365px; display: inline-block; margin-left: 0px; width: 43.869px;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inline-block;"&gt;19&lt;/span&gt;&lt;/span&gt;&lt;/span&gt;&lt;/span&gt;&lt;span class="pp-font-color-override-1" style="position: absolute; display: inline-block; left: 64.5938px; top: 64.8867px; width: 6.62695px; white-space: pre; word-spacing: 0px; letter-spacing: 0px; margin-left: 0px; font-size: 6.1215px; font-family: ffb2; -webkit-text-stroke: 0.0918225px rgba(0, 0, 0, 0);"&gt;&lt;span style="display: inline-block;"&gt;1) &lt;/span&gt;&lt;/span&gt;&lt;span class="pp-font-color-override-1" style="position: absolute; display: inline-block; left: 1.14062px; top: 65.041px; width: 56.1855px; white-space: pre; word-spacing: -0.231px; letter-spacing: 0.2625px; margin-left: 0px; font-size: 10.5px; font-family: ffb2; -webkit-text-stroke: 0.1575px rgba(0, 0, 0, 0);"&gt;&lt;span style="display: inline-block;"&gt;Other c&lt;/span&gt;&lt;span style="word-spacing: -0.231px; letter-spacing: 0.2625px; display: inline-block; margin-left: -0.684px; width: 0px; font-size: 10.5px; font-family: ffb2; -webkit-text-stroke: 0.1575px rgba(0, 0, 0, 0);"&gt;&lt;/span&gt;&lt;span style="display: inline-block;"&gt;laims&lt;/span&gt;&lt;/span&gt;&lt;span class="pp-font-color-override-1" style="position: absolute; display: inline-block; left: 271px; top: 65.041px; width: 69.7207px; white-space: pre; word-spacing: 0px; letter-spacing: 0px; margin-left: 0px; font-size: 10.5px; font-family: ffb2; -webkit-text-stroke: 0.1575px rgba(0, 0, 0, 0);"&gt;&lt;span style="display: inline-block;"&gt;289&lt;/span&gt;&lt;span style="word-spacing: 0px; letter-spacing: 0px; display: inline-block; margin-left: 0px; width: 38.1855px; font-size: 10.5px; font-family: ffb2; -webkit-text-stroke: 0.1575px rgba(0, 0, 0, 0);"&gt;&lt;span style="display: inline-block;"&gt; &lt;/span&gt;&lt;/span&gt;&lt;span class="pp-font-color-override-1" style="word-spacing: -0.0105px; letter-spacing: 0.0105px; display: inline-block; margin-left: 0px; font-size: 10.5px; font-family: ffb2; -webkit-text-stroke: 0.1575px rgba(0, 0, 0, 0);"&gt;&lt;span style="display: inline-block;"&gt;231&lt;/span&gt;&lt;/span&gt;&lt;/span&gt;&lt;span class="pp-font-color-override-1" style="position: absolute; display: inline-block; left: 1.14062px; top: 80.9941px; width: 324.773px; white-space: pre; word-spacing: -0.147px; letter-spacing: 0.1785px; margin-left: 0px; font-size: 10.5px; font-family: ffb2; -webkit-text-stroke: 0.1575px rgba(0, 0, 0, 0);"&gt;&lt;span style="display: inline-block;"&gt;Guarantee commitments&lt;/span&gt;&lt;span style="word-spacing: -0.147px; letter-spacing: 0.1785px; display: inline-block; margin-left: 0px; width: 158.877px; font-size: 10.5px; font-family: ffb2; -webkit-text-stroke: 0.1575px rgba(0, 0, 0, 0);"&gt;&lt;span style="display: inline-block;"&gt; &lt;/span&gt;&lt;/span&gt;&lt;span class="pp-font-color-override-1" style="word-spacing: 0px; letter-spacing: 0px; display: inline-block; margin-left: 0px; font-size: 10.5px; font-family: ffb2; -webkit-text-stroke: 0.1575px rgba(0, 0, 0, 0);"&gt;&lt;span style="display: inline-block;"&gt;9&lt;/span&gt;&lt;span style="word-spacing: 0px; letter-spacing: 0px; display: inline-block; margin-left: 0px; width: 48.867px; font-size: 10.5px; font-family: ffb2; -webkit-text-stroke: 0.1575px rgba(0, 0, 0, 0);"&gt;&lt;span style="display: inline-block;"&gt; &lt;/span&gt;&lt;/span&gt;&lt;span style="display: inline-block;"&gt;9&lt;/span&gt;&lt;/span&gt;&lt;/span&gt;&lt;span class="pp-font-color-override-1" style="position: absolute; display: inline-block; left: 131.812px; top: 96.8086px; width: 10.1719px; white-space: pre; word-spacing: 0.0061215px; letter-spacing: -0.0061215px; margin-left: 0px; font-size: 6.1215px; font-family: ffb2; -webkit-text-stroke: 0.0918225px rgba(0, 0, 0, 0);"&gt;&lt;span style="display: inline-block;"&gt;2)3)&lt;/span&gt;&lt;/span&gt;&lt;span class="pp-font-color-override-1" style="position: absolute; display: inline-block; left: 1.14062px; top: 96.9629px; width: 116.988px; white-space: pre; word-spacing: -0.1365px; letter-spacing: 0.168px; margin-left: 0px; font-size: 10.5px; font-family: ffb2; -webkit-text-stroke: 0.1575px rgba(0, 0, 0, 0);"&gt;&lt;span style="display: inline-block;"&gt;Other contingent liabilities&lt;/span&gt;&lt;/span&gt;&lt;span class="pp-font-color-override-1" style="position: absolute; display: inline-block; left: 272.141px; top: 96.9629px; width: 66.082px; white-space: pre; word-spacing: 0.0735px; letter-spacing: -0.0735px; margin-left: 0px; font-size: 10.5px; font-family: ffb2; -webkit-text-stroke: 0.1575px rgba(0, 0, 0, 0);"&gt;&lt;span style="display: inline-block;"&gt;14&lt;/span&gt;&lt;span style="word-spacing: 0.0735px; letter-spacing: -0.0735px; display: inline-block; margin-left: 0px; width: 0.410156px; font-size: 10.5px; font-family: ffb2; -webkit-text-stroke: 0.1575px rgba(0, 0, 0, 0);"&gt;&lt;/span&gt;&lt;span style="display: inline-block;"&gt;3&lt;/span&gt;&lt;span style="word-spacing: 0.0735px; letter-spacing: -0.0735px; display: inline-block; margin-left: 0px; width: 25.7227px; font-size: 10.5px; font-family: ffb2; -webkit-text-stroke: 0.1575px rgba(0, 0, 0, 0);"&gt;&lt;span style="display: inline-block;"&gt;&lt;span style="width: 2.625px; display: inline-block;"&gt; &lt;/span&gt;&lt;/span&gt;&lt;/span&gt;&lt;span class="pp-font-color-override-1" style="word-spacing: -0.1575px; letter-spacing: 0.1575px; display: inline-block; margin-left: 0px; font-size: 10.5px; font-family: ffb2; -webkit-text-stroke: 0.1575px rgba(0, 0, 0, 0);"&gt;&lt;span style="display: inline-block;"&gt;3,433&lt;/span&gt;&lt;/span&gt;&lt;/span&gt;&lt;span class="pp-font-color-override-1" style="position: absolute; display: inline-block; left: 1.14062px; top: 112.664px; width: 328.928px; white-space: pre; word-spacing: -0.1995px; letter-spacing: 0.1995px; margin-left: 0px; font-size: 10.5px; font-family: ffb0; -webkit-text-stroke: 0.1575px rgba(0, 0, 0, 0);"&gt;&lt;span style="display: inline-block;"&gt;T&lt;/span&gt;&lt;span style="word-spacing: -0.1995px; letter-spacing: 0.1995px; display: inline-block; margin-left: -1.13625px; width: 0px; font-size: 10.5px; font-family: ffb0; -webkit-text-stroke: 0.1575px rgba(0, 0, 0, 0);"&gt;&lt;/span&gt;&lt;span style="display: inline-block;"&gt;ot&lt;/span&gt;&lt;span style="word-spacing: -0.1995px; letter-spacing: 0.1995px; display: inline-block; margin-left: 0px; width: 0.410156px; font-size: 10.5px; font-family: ffb0; -webkit-text-stroke: 0.1575px rgba(0, 0, 0, 0);"&gt;&lt;/span&gt;&lt;span style="display: inline-block;"&gt;al&lt;/span&gt;&lt;span style="word-spacing: -0.1995px; letter-spacing: 0.1995px; display: inline-block; margin-left: 0px; width: 241.57px; font-size: 10.5px; font-family: ffb0; -webkit-text-stroke: 0.1575px rgba(0, 0, 0, 0);"&gt;&lt;span style="display: inline-block;"&gt; &lt;/span&gt;&lt;/span&gt;&lt;span class="pp-font-color-override-1" style="word-spacing: -0.0735px; letter-spacing: 0.0735px; display: inline-block; margin-left: 0px; font-size: 10.5px; font-family: ffb0; -webkit-text-stroke: 0.1575px rgba(0, 0, 0, 0);"&gt;&lt;span style="display: inline-block;"&gt;782&lt;/span&gt;&lt;span style=</t>
  </si>
  <si>
    <t>f1__s8__6__279</t>
  </si>
  <si>
    <t>ifrs-full:DisclosureOfCashFlowStatementExplanatory</t>
  </si>
  <si>
    <t>&lt;span style="display:inherit;clear:left;"&gt;NOT&lt;span class="_ _7"&gt;&lt;/span&gt;E 26&lt;/span&gt;&lt;span style="display:inherit;clear:left;"&gt;CASH FLOW S&lt;span class="_ _7"&gt;&lt;/span&gt;T&lt;span class="_ _2"&gt;&lt;/span&gt;A&lt;span class="_ _2"&gt;&lt;/span&gt;TEM&lt;span class="_ _7"&gt;&lt;/span&gt;ENT&lt;span class="_ _7"&gt;&lt;/span&gt;S&lt;/span&gt;&lt;span style="display:inherit;clear:left;position:relative;height:280.73828125px;"&gt;&lt;span class="pp-font-color-override-1" style="position: absolute; display: inline-block; left: 263.203px; top: 0.0039062px; width: 68.9941px; white-space: pre; word-spacing: -0.0384px; letter-spacing: 0.0384px; margin-left: 0px; font-size: 9.6px; font-family: ffb0; -webkit-text-stroke: 0.144px rgba(0, 0, 0, 0);"&gt;&lt;span style="display: inline-block;"&gt;2025&lt;/span&gt;&lt;span style="word-spacing: -0.0384px; letter-spacing: 0.0384px; display: inline-block; margin-left: 0px; width: 30.6738px; font-size: 9.6px; font-family: ffb0; -webkit-text-stroke: 0.144px rgba(0, 0, 0, 0);"&gt;&lt;span style="display: inline-block;"&gt; &lt;/span&gt;&lt;/span&gt;&lt;span class="pp-font-color-override-1" style="word-spacing: 0.0576px; letter-spacing: -0.0576px; display: inline-block; margin-left: 0px; font-size: 9.6px; font-family: ffb1; -webkit-text-stroke: 0.144px rgba(0, 0, 0, 0);"&gt;&lt;span style="display: inline-block;"&gt;2024&lt;/span&gt;&lt;/span&gt;&lt;/span&gt;&lt;span class="pp-font-color-override-1" style="position: absolute; display: inline-block; left: 0px; top: 22.3672px; width: 167.115px; white-space: pre; word-spacing: 0px; letter-spacing: 0.0315px; margin-left: 0px; font-size: 10.5px; font-family: ffb0; -webkit-text-stroke: 0.1575px rgba(0, 0, 0, 0);"&gt;&lt;span style="display: inline-block;"&gt;Adj&lt;/span&gt;&lt;span style="word-spacing: 0px; letter-spacing: 0.0315px; display: inline-block; margin-left: 0px; width: 0.410156px; font-size: 10.5px; font-family: ffb0; -webkit-text-stroke: 0.1575px rgba(0, 0, 0, 0);"&gt;&lt;/span&gt;&lt;span style="display: inline-block;"&gt;us&lt;/span&gt;&lt;span style="word-spacing: 0px; letter-spacing: 0.0315px; display: inline-block; margin-left: 0px; width: 0.410156px; font-size: 10.5px; font-family: ffb0; -webkit-text-stroke: 0.1575px rgba(0, 0, 0, 0);"&gt;&lt;/span&gt;&lt;span style="display: inline-block;"&gt;tm&lt;/span&gt;&lt;span style="word-spacing: 0px; letter-spacing: 0.0315px; display: inline-block; margin-left: 0px; width: 0.410156px; font-size: 10.5px; font-family: ffb0; -webkit-text-stroke: 0.1575px rgba(0, 0, 0, 0);"&gt;&lt;/span&gt;&lt;span style="display: inline-block;"&gt;en&lt;/span&gt;&lt;span style="word-spacing: 0px; letter-spacing: 0.0315px; display: inline-block; margin-left: 0px; width: 0.410156px; font-size: 10.5px; font-family: ffb0; -webkit-text-stroke: 0.1575px rgba(0, 0, 0, 0);"&gt;&lt;/span&gt;&lt;span style="display: inline-block;"&gt;ts f&lt;/span&gt;&lt;span style="word-spacing: 0px; letter-spacing: 0.0315px; display: inline-block; margin-left: 0px; width: 0.410156px; font-size: 10.5px; font-family: ffb0; -webkit-text-stroke: 0.1575px rgba(0, 0, 0, 0);"&gt;&lt;/span&gt;&lt;span style="display: inline-block;"&gt;or ot&lt;/span&gt;&lt;span style="word-spacing: 0px; letter-spacing: 0.0315px; display: inline-block; margin-left: 0px; width: 0.410156px; font-size: 10.5px; font-family: ffb0; -webkit-text-stroke: 0.1575px rgba(0, 0, 0, 0);"&gt;&lt;/span&gt;&lt;span style="display: inline-block;"&gt;he&lt;/span&gt;&lt;span style="word-spacing: 0px; letter-spacing: 0.0315px; display: inline-block; margin-left: 0px; width: 0.410156px; font-size: 10.5px; font-family: ffb0; -webkit-text-stroke: 0.1575px rgba(0, 0, 0, 0);"&gt;&lt;/span&gt;&lt;span style="display: inline-block;"&gt;r no&lt;/span&gt;&lt;span style="word-spacing: 0px; letter-spacing: 0.0315px; display: inline-block; margin-left: 0px; width: 0.410156px; font-size: 10.5px; font-family: ffb0; -webkit-text-stroke: 0.1575px rgba(0, 0, 0, 0);"&gt;&lt;/span&gt;&lt;span style="display: inline-block;"&gt;n-c&lt;/span&gt;&lt;span style="word-spacing: 0px; letter-spacing: 0.0315px; display: inline-block; margin-left: 0px; width: 0.410156px; font-size: 10.5px; font-family: ffb0; -webkit-text-stroke: 0.1575px rgba(0, 0, 0, 0);"&gt;&lt;/span&gt;&lt;span style="display: inline-block;"&gt;as&lt;/span&gt;&lt;span style="word-spacing: 0px; letter-spacing: 0.0315px; display: inline-block; margin-left: 0px; width: 0.410156px; font-size: 10.5px; font-family: ffb0; -webkit-text-stroke: 0.1575px rgba(0, 0, 0, 0);"&gt;&lt;/span&gt;&lt;span style="display: inline-block;"&gt;h ite&lt;/span&gt;&lt;span style="word-spacing: 0px; letter-spacing: 0.0315px; display: inline-block; margin-left: 0px; width: 0.410156px; font-size: 10.5px; font-family: ffb0; -webkit-text-stroke: 0.1575px rgba(0, 0, 0, 0);"&gt;&lt;/span&gt;&lt;span style="display: inline-block;"&gt;ms&lt;/span&gt;&lt;span style="word-spacing: 0px; letter-spacing: 0.0315px; display: inline-block; margin-left: 0px; width: 0.410156px; font-size: 10.5px; font-family: ffb0; -webkit-text-stroke: 0.1575px rgba(0, 0, 0, 0);"&gt;&lt;/span&gt;&lt;span style="display: inline-block;"&gt;:&lt;/span&gt;&lt;/span&gt;&lt;span class="pp-font-color-override-1" style="position: absolute; display: inline-block; left: 0px; top: 38.5723px; width: 190.623px; white-space: pre; word-spacing: 0px; letter-spacing: 0.0315px; margin-left: 0px; font-size: 10.5px; font-family: ffb2; -webkit-text-stroke: 0.1575px rgba(0, 0, 0, 0);"&gt;&lt;span style="display: inline-block;"&gt;Ca&lt;/span&gt;&lt;span style="word-spacing: 0px; letter-spacing: 0.0315px; display: inline-block; margin-left: 0px; width: 0.410156px; font-size: 10.5px; font-family: ffb2; -webkit-text-stroke: 0.1575px rgba(0, 0, 0, 0);"&gt;&lt;/span&gt;&lt;span style="display: inline-block;"&gt;pit&lt;/span&gt;&lt;span style="word-spacing: 0px; letter-spacing: 0.0315px; display: inline-block; margin-left: 0px; width: 0.410156px; font-size: 10.5px; font-family: ffb2; -webkit-text-stroke: 0.1575px rgba(0, 0, 0, 0);"&gt;&lt;/span&gt;&lt;span style="display: inline-block;"&gt;al g&lt;/span&gt;&lt;span style="word-spacing: 0px; letter-spacing: 0.0315px; display: inline-block; margin-left: 0px; width: 0.410156px; font-size: 10.5px; font-family: ffb2; -webkit-text-stroke: 0.1575px rgba(0, 0, 0, 0);"&gt;&lt;/span&gt;&lt;span style="display: inline-block;"&gt;ain&lt;/span&gt;&lt;span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inline-block;"&gt;lo&lt;/span&gt;&lt;span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inline-block;"&gt;se&lt;/span&gt;&lt;span style="word-spacing: 0px; letter-spacing: 0.0315px; display: inline-block; margin-left: 0px; width: 0.410156px; font-size: 10.5px; font-family: ffb2; -webkit-text-stroke: 0.1575px rgba(0, 0, 0, 0);"&gt;&lt;/span&gt;&lt;span style="display: inline-block;"&gt;s o&lt;/span&gt;&lt;span style="word-spacing: 0px; letter-spacing: 0.0315px; display: inline-block; margin-left: 0px; width: 0.410156px; font-size: 10.5px; font-family: ffb2; -webkit-text-stroke: 0.1575px rgba(0, 0, 0, 0);"&gt;&lt;/span&gt;&lt;span style="display: inline-block;"&gt;n sa&lt;/span&gt;&lt;span style="word-spacing: 0px; letter-spacing: 0.0315px; display: inline-block; margin-left: 0px; width: 0.410156px; font-size: 10.5px; font-family: ffb2; -webkit-text-stroke: 0.1575px rgba(0, 0, 0, 0);"&gt;&lt;/span&gt;&lt;span style="display: inline-block;"&gt;le of t&lt;/span&gt;&lt;span style="word-spacing: 0px; letter-spacing: 0.0315px; display: inline-block; margin-left: 0px; width: 0.410156px; font-size: 10.5px; font-family: ffb2; -webkit-text-stroke: 0.1575px rgba(0, 0, 0, 0);"&gt;&lt;/span&gt;&lt;span style="display: inline-block;"&gt;ang&lt;/span&gt;&lt;span style="word-spacing: 0px; letter-spacing: 0.0315px; display: inline-block; margin-left: 0px; width: 0.410156px; font-size: 10.5px; font-family: ffb2; -webkit-text-stroke: 0.1575px rgba(0, 0, 0, 0);"&gt;&lt;/span&gt;&lt;span style="display: inline-block;"&gt;ib&lt;/span&gt;&lt;span style="word-spacing: 0px; letter-spacing: 0.0315px; display: inline-block; margin-left: 0px; width: 0.410156px; font-size: 10.5px; font-family: ffb2; -webkit-text-stroke: 0.1575px rgba(0, 0, 0, 0);"&gt;&lt;/span&gt;&lt;span style="display: inline-block;"&gt;le an&lt;/span&gt;&lt;span style="word-spacing: 0px; letter-spacing: 0.0315px; display: inline-block; margin-left: 0px; width: 0.410156px; font-size: 10.5px; font-family: ffb2; -webkit-text-stroke: 0.1575px rgba(0, 0, 0, 0);"&gt;&lt;/span&gt;&lt;span style="display: inline-block;"&gt;d &lt;/span&gt;&lt;/span&gt;&lt;span class="pp-font-color-override-1" style="position: absolute; display: inline-block; left: 0.169922px; top: 50.5723px; width: 326.391px; white-space: pre; word-spacing: -2.7195px; letter-spacing: 0.2625px; margin-left: 0px; font-size: 10.5px; font-family: ffb2; -webkit-text-stroke: 0.1575px rgba(0, 0, 0, 0);"&gt;&lt;span style="display: inline-block;"&gt;intan&lt;/span&gt;&lt;span style="word-spacing: -2.7195px; letter-spacing: 0.2625px; display: inline-block; margin-left: -0.684px; width: 0px; font-size: 10.5px; font-family: ffb2; -webkit-text-stroke: 0.1575px rgba(0, 0, 0, 0);"&gt;&lt;/span&gt;&lt;span style="display: inline-block;"&gt;gible &lt;/span&gt;&lt;span style="word-spacing: -2.7195px; letter-spacing: 0.2625px; display: inline-block; margin-left: 0px; width: 2.03906px; font-size: 10.5px; font-family: ffb2; -webkit-text-stroke: 0.1575px rgba(0, 0, 0, 0);"&gt;&lt;span style="display: inline-block;"&gt; &lt;/span&gt;&lt;/span&gt;&lt;span style="display: inline-block;"&gt;assets&lt;/span&gt;&lt;span style="word-spacing: -2.7195px; letter-spacing: 0.2625px; display: inline-block; margin-left: 0px; width: 177.902px; font-size: 10.5px; font-family: ffb2; -webkit-text-stroke: 0.1575px rgba(0, 0, 0, 0);"&gt;&lt;span style="display: inline-block;"&gt; &lt;/span&gt;&lt;/span&gt;&lt;span class="pp-font-color-override-1" style="word-spacing: 0.21px; letter-spacing: -0.21px; display: inline-block; margin-left: 0px; font-size: 10.5px; font-family: ffb2; -webkit-text-stroke: 0.1575px rgba(0, 0, 0, 0);"&gt;&lt;span style="display: inline-block;"&gt;6&lt;/span&gt;&lt;span style="word-spacing: 0.21px; letter-spacing: -0.21px; display: inline-block; margin-left: 0px; width: 0.410156px; font-size: 10.5px; font-family: ffb2; -webkit-text-stroke: 0.1575px rgba(0, 0, 0, 0);"&gt;&lt;/span&gt;&lt;span style="display: inline-block;"&gt;,&lt;/span&gt;&lt;span style="word-spacing: 0.21px; letter-spacing: -0.21px; display: inline-block; margin-left: 0px; width: 0.410156px; font-size: 10.5px; font-family: ffb2; -webkit-text-stroke: 0.1575px rgba(0, 0, 0, 0);"&gt;&lt;/span&gt;&lt;span style="display: inline-block;"&gt;518&lt;/span&gt;&lt;span style="word-spacing: 0.21px; letter-spacing: -0.21px; display: inline-block; margin-left: 0px; width: 29.5723px; font-size: 10.5px; font-family: ffb2; -webkit-text-stroke: 0.1575px rgba(0, 0, 0, 0);"&gt;&lt;span style="display: inline-block;"&gt;&lt;span style="width: 2.625px; display: inline-block;"&gt; &lt;/span&gt;&lt;/span&gt;&lt;/span&gt;&lt;span class="pp-font-color-override-1" style="word-spacing: 0.42px; letter-spacing: -0.42px; display: inline-block; margin-left: 0px; font-size: 10.5px; font-family: ffb2; -webkit-text-stroke: 0.1575px rgba(0, 0, 0, 0);"&gt;&lt;span style="display: inline-block;"&gt;1&lt;/span&gt;&lt;span style="word-spacing: 0.42px; letter-spacing: -0.42px; display: inline-block; margin-left: 0px; width: 0.410156px; font-size: 10.5px; font-family: ffb2; -webkit-text-stroke: 0.1575px rgba(0, 0, 0, 0);"&gt;&lt;/span&gt;&lt;span style="display: inline-block;"&gt;,&lt;/span&gt;&lt;span style="word-spacing: 0.42px; letter-spacing: -0.42px; display: inline-block; margin-left: 0px; width: 0.925781px; font-size: 10.5px; font-family: ffb2; -webkit-text-stroke: 0.1575px rgba(0, 0, 0, 0);"&gt;&lt;/span&gt;&lt;span style="display: inline-block;"&gt;5&lt;/span&gt;&lt;span style="word-spacing: 0.42px; letter-spacing: -0.42px; display: inline-block; margin-left: 0px; width: 0.410156px; font-size: 10.5px; font-family: ffb2; -webkit-text-stroke: 0.1575px rgba(0, 0, 0, 0);"&gt;&lt;/span&gt;&lt;span style="display: inline-block;"&gt;74&lt;/span&gt;&lt;/span&gt;&lt;/span&gt;&lt;/span&gt;&lt;span class="pp-font-color-override-1" style="position: absolute; display: inline-block; left: 0px; top: 66.541px; width: 167.221px; white-space: pre; word-spacing: 0px; letter-spacing: 0.0315px; margin-left: 0px; font-size: 10.5px; font-family: ffb2; -webkit-text-stroke: 0.1575px rgba(0, 0, 0, 0);"&gt;&lt;span style="display: inline-block;"&gt;Sha&lt;/span&gt;&lt;span style="word-spacing: 0px; letter-spacing: 0.0315px; display: inline-block; margin-left: 0px; width: 0.410156px; font-size: 10.5px; font-family: ffb2; -webkit-text-stroke: 0.1575px rgba(0, 0, 0, 0);"&gt;&lt;/span&gt;&lt;span style="display: inline-block;"&gt;re of i&lt;/span&gt;&lt;span style="word-spacing: 0px; letter-spacing: 0.0315px; display: inline-block; margin-left: 0px; width: 0.410156px; font-size: 10.5px; font-family: ffb2; -webkit-text-stroke: 0.1575px rgba(0, 0, 0, 0);"&gt;&lt;/span&gt;&lt;span style="display: inline-block;"&gt;nc&lt;/span&gt;&lt;span style="word-spacing: 0px; letter-spacing: 0.0315px; display: inline-block; margin-left: 0px; width: 0.410156px; font-size: 10.5px; font-family: ffb2; -webkit-text-stroke: 0.1575px rgba(0, 0, 0, 0);"&gt;&lt;/span&gt;&lt;span style="display: inline-block;"&gt;ome i&lt;/span&gt;&lt;span style="word-spacing: 0px; letter-spacing: 0.0315px; display: inline-block; margin-left: 0px; width: 0.410156px; font-size: 10.5px; font-family: ffb2; -webkit-text-stroke: 0.1575px rgba(0, 0, 0, 0);"&gt;&lt;/span&gt;&lt;span style="display: inline-block;"&gt;n joi&lt;/span&gt;&lt;span style="word-spacing: 0px; letter-spacing: 0.0315px; display: inline-block; margin-left: 0px; width: 0.410156px; font-size: 10.5px; font-family: ffb2; -webkit-text-stroke: 0.1575px rgba(0, 0, 0, 0);"&gt;&lt;/span&gt;&lt;span style="display: inline-block;"&gt;nt ven&lt;/span&gt;&lt;span style="word-spacing: 0px; letter-spacing: 0.0315px; display: inline-block; margin-left: 0px; width: 0.410156px; font-size: 10.5px; font-family: ffb2; -webkit-text-stroke: 0.1575px rgba(0, 0, 0, 0);"&gt;&lt;/span&gt;&lt;span style="display: inline-block;"&gt;ture&lt;/span&gt;&lt;span style="word-spacing: 0px; letter-spacing: 0.0315px; display: inline-block; margin-left: 0px; width: 0.410156px; font-size: 10.5px; font-family: ffb2; -webkit-text-stroke: 0.1575px rgba(0, 0, 0, 0);"&gt;&lt;/span&gt;&lt;span style="display: inline-block;"&gt;s a&lt;/span&gt;&lt;span style="word-spacing: 0px; letter-spacing: 0.0315px; display: inline-block; margin-left: 0px; width: 0.410156px; font-size: 10.5px; font-family: ffb2; -webkit-text-stroke: 0.1575px rgba(0, 0, 0, 0);"&gt;&lt;/span&gt;&lt;span style="display: inline-block;"&gt;nd &lt;/span&gt;&lt;span class="pp-font-color-override-1" style="word-spacing: 0px; letter-spacing: 0px; display: inline-block; margin-left: 0px; font-size: 10.5px; font-family: ffb2; -webkit-text-stroke: 0.1575px rgba(0, 0, 0, 0);"&gt;&lt;span style="display: inline-block;"&gt; &lt;/span&gt;&lt;/span&gt;&lt;/span&gt;&lt;span class="pp-font-color-override-1" style="position: absolute; display: inline-block; left: 0px; top: 78.541px; width: 327.457px; white-space: pre; word-spacing: -0.042px; letter-spacing: 0.042px; margin-left: 0px; font-size: 10.5px; font-family: ffb2; -webkit-text-stroke: 0.1575px rgba(0, 0, 0, 0);"&gt;&lt;span style="display: inline-block;"&gt;as&lt;/span&gt;&lt;span style="word-spacing: -0.042px; letter-spacing: 0.042px; display: inline-block; margin-left: 0px; width: 0.410156px; font-size: 10.5px; font-family: ffb2; -webkit-text-stroke: 0.1575px rgba(0, 0, 0, 0);"&gt;&lt;/span&gt;&lt;span style="display: inline-block;"&gt;s&lt;/span&gt;&lt;span style="word-spacing: -0.042px; letter-spacing: 0.042px; display: inline-block; margin-left: 0px; width: 0.410156px; font-size: 10.5px; font-family: ffb2; -webkit-text-stroke: 0.1575px rgba(0, 0, 0, 0);"&gt;&lt;/span&gt;&lt;span style="display: inline-block;"&gt;oci&lt;/span&gt;&lt;span style="word-spacing: -0.042px; letter-spacing: 0.042px; display: inline-block; margin-left: 0px; width: 0.410156px; font-size: 10.5px; font-family: ffb2; -webkit-text-stroke: 0.1575px rgba(0, 0, 0, 0);"&gt;&lt;/span&gt;&lt;span style="display: inline-block;"&gt;ate&lt;/span&gt;&lt;span style="word-spacing: -0.042px; letter-spacing: 0.042px; display: inline-block; margin-left: 0px; width: 0.410156px; font-size: 10.5px; font-family: ffb2; -webkit-text-stroke: 0.1575px rgba(0, 0, 0, 0);"&gt;&lt;/span&gt;&lt;span style="display: inline-block;"&gt;s&lt;/span&gt;&lt;span style="word-spacing: -0.042px; letter-spacing: 0.042px; display: inline-block; margin-left: 0px; width: 210.065px; font-size: 10.5px; font-family: ffb2; -webkit-text-stroke: 0.1575px rgba(0, 0, 0, 0);"&gt;&lt;span style="display: inline-block;"&gt; &lt;/span&gt;&lt;/span&gt;&lt;span class="pp-font-color-override-1" style="word-spacing: -0.0735px; letter-spacing: 0.0735px; display: inline-block; margin-left: 0px; font-size: 10.5px; font-family: ffb2; -webkit-text-stroke: 0.1575px rgba(0, 0, 0, 0);"&gt;&lt;span style="display: inline-block;"&gt;–65&lt;/span&gt;&lt;span style="word-spacing: -0.0735px; letter-spacing: 0.0735px; display: inline-block; margin-left: 0px; width: 0.410156px; font-size: 10.5px; font-family: ffb2; -webkit-text-stroke: 0.1575px rgba(0, 0, 0, 0);"&gt;&lt;/span&gt;&lt;span style="display: inline-block;"&gt;4&lt;/span&gt;&lt;span style="word-spacing: -0.0735px; letter-spacing: 0.0735px; display: inline-block; margin-left: 0px; width: 27.6035px; font-size: 10.5px; font-family: ffb2; -webkit-text-stroke: 0.1575px rgba(0, 0, 0, 0);"&gt;&lt;span style="display: inline-block;"&gt; &lt;/span&gt;&lt;/span&gt;&lt;span class="pp-font-color-override-1" style="word-spacing: 0.273px; letter-spacing: -0.273px; display: inline-block; margin-left: 0px; font-size: 10.5px; font-family: ffb2; -webkit-text-stroke: 0.1575px rgba(0, 0, 0, 0);"&gt;&lt;span style="display: inline-block;"&gt;4&lt;/span&gt;&lt;span style="word-spacing: 0.273px; letter-spacing: -0.273px; display: inline-block; margin-left: 0px; width: 0.410156px; font-size: 10.5px; font-family: ffb2; -webkit-text-stroke: 0.1575px rgba(0, 0, 0, 0);"&gt;&lt;/span&gt;&lt;span style="display: inline-block;"&gt;,7&lt;/span&gt;&lt;span style="word-spacing: 0.273px; letter-spacing: -0.273px; display: inline-block; margin-left: 0px; width: 0.410156px; font-size: 10.5px; font-family: ffb2; -webkit-text-stroke: 0.1575px rgba(0, 0, 0, 0);"&gt;&lt;/span&gt;&lt;span style="display: inline-block;"&gt;2&lt;/span&gt;&lt;span style="word-spacing: 0.273px; letter-spacing: -0.273px; display: inline-block; margin-left: 0px; width: 0.925781px; font-size: 10.5px; font-family: ffb2; -webkit-text-stroke: 0.1575px rgba(0, 0, 0, 0);"&gt;&lt;/span&gt;&lt;span style="display: inline-block;"&gt;2&lt;/span&gt;&lt;/span&gt;&lt;/span&gt;&lt;/span&gt;&lt;span class="pp-font-color-override-1" style="position: absolute; display: inline-block; left: 0px; top: 94.4941px; width: 174.996px; white-space: pre; word-spacing: 0px; letter-spacing: 0.0315px; margin-left: 0px; font-size: 10.5px; font-family: ffb2; -webkit-text-stroke: 0.1575px rgba(0, 0, 0, 0);"&gt;&lt;span style="display: inline-block;"&gt;Inte&lt;/span&gt;&lt;span style="word-spacing: 0px; letter-spacing: 0.0315px; display: inline-block; margin-left: 0px; width: 0.410156px; font-size: 10.5px; font-family: ffb2; -webkit-text-stroke: 0.1575px rgba(0, 0, 0, 0);"&gt;&lt;/span&gt;&lt;span style="display: inline-block;"&gt;res&lt;/span&gt;&lt;span style="word-spacing: 0px; letter-spacing: 0.0315px; display: inline-block; margin-left: 0px; width: 0.410156px; font-size: 10.5px; font-family: ffb2; -webkit-text-stroke: 0.1575px rgba(0, 0, 0, 0);"&gt;&lt;/span&gt;&lt;span style="display: inline-block;"&gt;t ef&lt;/span&gt;&lt;span style="word-spacing: 0px; letter-spacing: 0.0315px; display: inline-block; margin-left: 0px; width: 0.925781px; font-size: 10.5px; font-family: ffb2; -webkit-text-stroke: 0.1575px rgba(0, 0, 0, 0);"&gt;&lt;/span&gt;&lt;span style="display: inline-block;"&gt;fec&lt;/span&gt;&lt;span style="word-spacing: 0px; letter-spacing: 0.0315px; display: inline-block; margin-left: 0px; width: 0.410156px; font-size: 10.5px; font-family: ffb2; -webkit-text-stroke: 0.1575px rgba(0, 0, 0, 0);"&gt;&lt;/span&gt;&lt;span style="display: inline-block;"&gt;t fr&lt;/span&gt;&lt;span style="word-spacing: 0px; letter-spacing: 0.0315px; display: inline-block; margin-left: 0px; width: 0.410156px; font-size: 10.5px; font-family: ffb2; -webkit-text-stroke: 0.1575px rgba(0, 0, 0, 0);"&gt;&lt;/span&gt;&lt;span style="display: inline-block;"&gt;om th&lt;/span&gt;&lt;span style="word-spacing: 0px; letter-spacing: 0.0315px; display: inline-block; margin-left: 0px; width: 0.410156px; font-size: 10.5px; font-family: ffb2; -webkit-text-stroke: 0.1575px rgba(0, 0, 0, 0);"&gt;&lt;/span&gt;&lt;span style="display: inline-block;"&gt;e me&lt;/span&gt;&lt;span style="word-spacing: 0px; letter-spacing: 0.0315px; display: inline-block; margin-left: 0px; width: 0.410156px; font-size: 10.5px; font-family: ffb2; -webkit-text-stroke: 0.1575px rgba(0, 0, 0, 0);"&gt;&lt;/span&gt;&lt;span style="display: inline-block;"&gt;as&lt;/span&gt;&lt;span style="word-spacing: 0px; letter-spacing: 0.0315px; display: inline-block; margin-left: 0px; width: 0.410156px; font-size: 10.5px; font-family: ffb2; -webkit-text-stroke: 0.1575px rgba(0, 0, 0, 0);"&gt;&lt;/span&gt;&lt;span style="display: inline-block;"&gt;ure&lt;/span&gt;&lt;span style="word-spacing: 0px; letter-spacing: 0.0315px; display: inline-block; margin-left: 0px; width: 0.410156px; font-size: 10.5px; font-family: ffb2; -webkit-text-stroke: 0.1575px rgba(0, 0, 0, 0);"&gt;&lt;/span&gt;&lt;span style="display: inline-block;"&gt;me&lt;/span&gt;&lt;span style="word-spacing: 0px; letter-spacing: 0.0315px; display: inline-block; margin-left: 0px; width: 0.410156px; font-size: 10.5px; font-family: ffb2; -webkit-text-stroke: 0.1575px rgba(0, 0, 0, 0);"&gt;&lt;/span&gt;&lt;span style="display: inline-block;"&gt;nt of &lt;/span&gt;&lt;/span&gt;&lt;span class="pp-font-color-override-1" style="position: absolute; display: inline-block; left: 0.169922px; top: 106.494px; width: 324.686px; white-space: pre; word-spacing: -2.7195px; letter-spacing: 0.2625px; margin-left: 0px; font-size: 10.5px; font-family: ffb2; -webkit-text-stroke: 0.1575px rgba(0, 0, 0, 0);"&gt;&lt;span style="display: inline-block;"&gt;repur&lt;/span&gt;&lt;span style="word-spacing: -2.7195px; letter-spacing: 0.2625px; display: inline-block; margin-left: -0.684px; width: 0px; font-size: 10.5px; font-family: ffb2; -webkit-text-stroke: 0.1575px rgba(0, 0, 0, 0);"&gt;&lt;/span&gt;&lt;span style="display: inline-block;"&gt;chase &lt;/span&gt;&lt;span style="word-spacing: -2.7195px; letter-spacing: 0.2625px; display: inline-block; margin-left: 0px; width: 2.03906px; font-size: 10.5px; font-family: ffb2; -webkit-text-stroke: 0.1575px rgba(0, 0, 0, 0);"&gt;&lt;span style="display: inline-block;"&gt; &lt;/span&gt;&lt;/span&gt;&lt;span style="display: inline-block;"&gt;obligat&lt;/span&gt;&lt;span style="word-spacing: -2.7195px; letter-spacing: 0.2625px; display: inline-block; margin-left: -0.684px; width: 0px; font-size: 10.5px; font-family: ffb2; -webkit-text-stroke: 0.1575px rgba(0, 0, 0, 0);"&gt;&lt;/span&gt;&lt;span style="display: inline-block;"&gt;ions&lt;/span&gt;&lt;span style="word-spacing: -2.7195px; letter-spacing: 0.2625px; display: inline-block; margin-left: 0px; width: 153.803px; font-size: 10.5px; font-family: ffb2; -webkit-text-stroke: 0.1575px rgba(0, 0, 0, 0);"&gt;&lt;span style="display: inline-block;"&gt; &lt;/span&gt;&lt;/span&gt;&lt;span class="pp-font-color-override-1" style="word-spacing: 0.273px; letter-spacing: -0.273px; display: inline-block; margin-left: 0px; font-size: 10.5px; font-family: ffb2; -webkit-text-stroke: 0.1575px rgba(0, 0, 0, 0);"&gt;&lt;span style="display: inline-block;"&gt;–13&lt;/span&gt;&lt;span style="word-spacing: 0.273px; letter-spacing: -0.273px; display: inline-block; margin-left: 0px; width: 0.410156px; font-size: 10.5px; font-family: ffb2; -webkit-text-stroke: 0.1575px rgba(0, 0, 0, 0);"&gt;&lt;/span&gt;&lt;span style="display: inline-block;"&gt;2&lt;/span&gt;&lt;span style="word-spacing: 0.273px; letter-spacing: -0.273px; display: inline-block; margin-left: 0px; width: 32.3906px; font-size: 10.5px; font-family: ffb2; -webkit-text-stroke: 0.1575px rgba(0, 0, 0, 0);"&gt;&lt;span style="display: inline-block;"&gt;&lt;span style="width: 2.625px; display: inline-block;"&gt; &lt;/span&gt;&lt;/span&gt;&lt;/span&gt;&lt;span class="pp-font-color-override-1" style="word-spacing: 0.672px; letter-spacing: -0.672px; display: inline-block; margin-left: 0px; font-size: 10.5px; font-family: ffb2; -webkit-text-stroke: 0.1575px rgba(0, 0, 0, 0);"&gt;&lt;span style="display: inline-block;"&gt;–7&lt;/span&gt;&lt;span style="word-spacing: 0.672px; letter-spacing: -0.672px; display: inline-block; margin-left: 0px; width: 0.925781px; font-size: 10.5px; font-family: ffb2; -webkit-text-stroke: 0.1575px rgba(0, 0, 0, 0);"&gt;&lt;/span&gt;&lt;span style="display: inline-block;"&gt;9&lt;/span&gt;&lt;span style="word-spacing: 0.672px; letter-spacing: -0.672px; display: inline-block; margin-left: 0px; width: 0.410156px; font-size: 10.5px; font-family: ffb2; -webkit-text-stroke: 0.1575px rgba(0, 0, 0, 0);"&gt;&lt;/span&gt;&lt;span style="display: inline-block;"&gt;7&lt;/span&gt;&lt;/span&gt;&lt;/span&gt;&lt;/span&gt;&lt;span class="pp-font-color-override-1" style="position: absolute; display: inline-block; left: 0px; top: 122.463px; width: 328.33px; white-space: pre; word-spacing: -0.147px; letter-spacing: 0.1785px; margin-left: 0px; font-size: 10.5px; font-family: ffb2; -webkit-text-stroke: 0.1575px rgba(0, 0, 0, 0);"&gt;&lt;span style="display: inline-block;"&gt;Provision for variabl&lt;/span&gt;&lt;span style="word-spacing: -0.147px; letter-spacing: 0.1785px; display: inline-block; margin-left: -0.684px; width: 0px; font-size: 10.5px; font-family: ffb2; -webkit-text-stroke: 0.1575px rgba(0, 0, 0, 0);"&gt;&lt;/span&gt;&lt;span style="display: inline-block;"&gt;e pay&lt;/span&gt;&lt;span style="word-spacing: -0.147px; letter-spacing: 0.1785px; display: inline-block; margin-left: 0px; width: 147.627px; font-size: 10.5px; font-family: ffb2; -webkit-text-stroke: 0.1575px rgba(0, 0, 0, 0);"&gt;&lt;span style="display: inline-block;"&gt; &lt;/span&gt;&lt;/span&gt;&lt;span class="pp-font-color-override-1" style="word-spacing: 0px; letter-spacing: 0px; display: inline-block; margin-left: 0px; font-size: 10.5px; font-family: ffb2; -webkit-text-stroke: 0.1575px rgba(0, 0, 0, 0);"&gt;&lt;span style="display: inline-block;"&gt;102&lt;/span&gt;&lt;span style="word-spacing: 0px; letter-spacing: 0px; display: inline-block; margin-left: 0px; width: 28.6465px;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inline-block;"&gt;2&lt;/span&gt;&lt;span style="word-spacing: 0.3885px; letter-spacing: -0.3885px; display: inline-block; margin-left: 0px; width: 0.410156px; font-size: 10.5px; font-family: ffb2; -webkit-text-stroke: 0.1575px rgba(0, 0, 0, 0);"&gt;&lt;/span&gt;&lt;span style="display: inline-block;"&gt;,1&lt;/span&gt;&lt;span style="word-spacing: 0.3885px; letter-spacing: -0.3885px; display: inline-block; margin-left: 0px; width: 0.410156px; font-size: 10.5px; font-family: ffb2; -webkit-text-stroke: 0.1575px rgba(0, 0, 0, 0);"&gt;&lt;/span&gt;&lt;span style="display: inline-block;"&gt;6&lt;/span&gt;&lt;span style="word-spacing: 0.3885px; letter-spacing: -0.3885px; display: inline-block; margin-left: 0px; width: 0.925781px; font-size: 10.5px; font-family: ffb2; -webkit-text-stroke: 0.1575px rgba(0, 0, 0, 0);"&gt;&lt;/span&gt;&lt;span style="display: inline-block;"&gt;3&lt;/span&gt;&lt;/span&gt;&lt;/span&gt;&lt;/span&gt;&lt;span class="pp-font-color-override-1" style="position: absolute; display: inline-block; left: 0px; top: 138.416px; width: 324.949px; white-space: pre; word-spacing: -0.168px; letter-spacing: 0.1995px; margin-left: 0px; font-size: 10.5px; font-family: ffb2; -webkit-text-stroke: 0.1575px rgba(0, 0, 0, 0);"&gt;&lt;span style="display: inline-block;"&gt;Other provisions&lt;/span&gt;&lt;span style="word-spacing: -0.168px; letter-spacing: 0.1995px; display: inline-block; margin-left: 0px; width: 176.461px; font-size: 10.5px; font-family: ffb2; -webkit-text-stroke: 0.1575px rgba(0, 0, 0, 0);"&gt;&lt;span style="display: inline-block;"&gt; &lt;/span&gt;&lt;/span&gt;&lt;span class="pp-font-color-override-1" style="word-spacing: -0.21px; letter-spacing: 0.21px; display: inline-block; margin-left: 0px; font-size: 10.5px; font-family: ffb2; -webkit-text-stroke: 0.1575px rgba(0, 0, 0, 0);"&gt;&lt;span style="display: inline-block;"&gt;6,968&lt;/span&gt;&lt;span style="word-spacing: -0.21px; letter-spacing: 0.21px; display: inline-block; margin-left: 0px; width: 29.1973px; font-size: 10.5px; font-family: ffb2; -webkit-text-stroke: 0.1575px rgba(0, 0, 0, 0);"&gt;&lt;span style="display: inline-block;"&gt; &lt;/span&gt;&lt;/span&gt;&lt;span class="pp-font-color-override-1" style="word-spacing: -0.0735px; letter-spacing: 0.0735px; display: inline-block; margin-left: 0px; font-size: 10.5px; font-family: ffb2; -webkit-text-stroke: 0.1575px rgba(0, 0, 0, 0);"&gt;&lt;span style="display: inline-block;"&gt;–695&lt;/span&gt;&lt;/span&gt;&lt;/span&gt;&lt;/span&gt;&lt;span class="pp-font-color-override-1" style="position: absolute; display: inline-block; left: 0px; top: 154.979px; width: 326.18px; white-space: pre; word-spacing: -0.1785px; letter-spacing: 0.21px; margin-left: 0px; font-size: 10.5px; font-family: ffb2; -webkit-text-stroke: 0.1575px rgba(0, 0, 0, 0);"&gt;&lt;span style="display: inline-block;"&gt;Deferred re&lt;/span&gt;&lt;span style="word-spacing: -0.1785px; letter-spacing: 0.21px; display: inline-block; margin-left: -0.684px; width: 0px; font-size: 10.5px; font-family: ffb2; -webkit-text-stroke: 0.1575px rgba(0, 0, 0, 0);"&gt;&lt;/span&gt;&lt;span style="display: inline-block;"&gt;venue&lt;/span&gt;&lt;span style="word-spacing: -0.1785px; letter-spacing: 0.21px; display: inline-block; margin-left: 0px; width: 167.935px; font-size: 10.5px; font-family: ffb2; -webkit-text-stroke: 0.1575px rgba(0, 0, 0, 0);"&gt;&lt;span style="display: inline-block;"&gt; &lt;/span&gt;&lt;/span&gt;&lt;span class="pp-font-color-override-1" style="word-spacing: 0.0735px; letter-spacing: -0.0735px; display: inline-block; margin-left: 0px; font-size: 10.5px; font-family: ffb2; -webkit-text-stroke: 0.1575px rgba(0, 0, 0, 0);"&gt;&lt;span style="display: inline-block;"&gt;–3&lt;/span&gt;&lt;span style="word-spacing: 0.0735px; letter-spacing: -0.0735px; display: inline-block; margin-left: 0px; width: 0.410156px; font-size: 10.5px; font-family: ffb2; -webkit-text-stroke: 0.1575px rgba(0, 0, 0, 0);"&gt;&lt;/span&gt;&lt;span style="display: inline-block;"&gt;,&lt;/span&gt;&lt;span style="word-spacing: 0.0735px; letter-spacing: -0.0735px; display: inline-block; margin-left: 0px; width: 0.410156px; font-size: 10.5px; font-family: ffb2; -webkit-text-stroke: 0.1575px rgba(0, 0, 0, 0);"&gt;&lt;/span&gt;&lt;span style="display: inline-block;"&gt;570&lt;/span&gt;&lt;span style="word-spacing: 0.0735px; letter-spacing: -0.0735px; display: inline-block; margin-left: 0px; width: 24.7441px; font-size: 10.5px; font-family: ffb2;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ffb2; -webkit-text-stroke: 0.1575px rgba(0, 0, 0, 0);"&gt;&lt;span style="display: inline-block;"&gt;–1&lt;/span&gt;&lt;span style="word-spacing: 0.273px; letter-spacing: -0.273px; display: inline-block; margin-left: 0px; width: 0.410156px; font-size: 10.5px; font-family: ffb2; -webkit-text-stroke: 0.1575px rgba(0, 0, 0, 0);"&gt;&lt;/span&gt;&lt;span style="display: inline-block;"&gt;,7&lt;/span&gt;&lt;span style="word-spacing: 0.273px; letter-spacing: -0.273px; display: inline-block; margin-left: 0px; width: 0.925781px; font-size: 10.5px; font-family: ffb2; -webkit-text-stroke: 0.1575px rgba(0, 0, 0, 0);"&gt;&lt;/span&gt;&lt;span style="display: inline-block;"&gt;79&lt;/span&gt;&lt;/span&gt;&lt;/span&gt;&lt;/span&gt;&lt;span class="pp-font-color-override-1" style="position: absolute; display: inline-block; left: 0px; top: 171.541px; width: 313.16px; white-space: pre; word-spacing: -0.1785px; letter-spacing: 0.21px; margin-left: 0px; font-size: 10.5px; font-family: ffb2; -webkit-text-stroke: 0.1575px rgba(0, 0, 0, 0);"&gt;&lt;span style="display: inline-block;"&gt;Reclassific&lt;/span&gt;&lt;span style="word-spacing: -0.1785px; letter-spacing: 0.21px; display: inline-block; margin-left: 0px; width: 0.410156px; font-size: 10.5px; font-family: ffb2; -webkit-text-stroke: 0.1575px rgba(0, 0, 0, 0);"&gt;&lt;/span&gt;&lt;span style="display: inline-block;"&gt;ation&lt;/span&gt;&lt;span style="word-spacing: -0.1785px; letter-spacing: 0.21px; display: inline-block; margin-left: -0.684px; width: 0px; font-size: 10.5px; font-family: ffb2; -webkit-text-stroke: 0.1575px rgba(0, 0, 0, 0);"&gt;&lt;/span&gt;&lt;span style="display: inline-block;"&gt; of residual value&lt;/span&gt;&lt;span style="word-spacing: -0.1785px; letter-spacing: 0.21px; display: inline-block; margin-left: -0.684px; width: 0px; font-size: 10.5px; font-family: ffb2; -webkit-text-stroke: 0.1575px rgba(0, 0, 0, 0);"&gt;&lt;/span&gt;&lt;span style="display: inline-block;"&gt; guarantee&lt;/span&gt;&lt;span style="word-spacing: -0.1785px; letter-spacing: 0.21px; display: inline-block; margin-left: 0px; width: 48.867px; font-size: 10.5px; font-family: ffb2; -webkit-text-stroke: 0.1575px rgba(0, 0, 0, 0);"&gt;&lt;span style="display: inline-block;"&gt; &lt;/span&gt;&lt;/span&gt;&lt;span class="pp-font-color-override-1" style="word-spacing: -0.0525px; letter-spacing: 0.0525px; display: inline-block; margin-left: 0px; font-size: 10.5px; font-family: ffb2;</t>
  </si>
  <si>
    <t>f1__s8__6__281</t>
  </si>
  <si>
    <t>ifrs-full:DisclosureOfBusinessCombinationsExplanatory</t>
  </si>
  <si>
    <t>&lt;span style="display:inherit;clear:left;"&gt;NOT&lt;span class="_ _7"&gt;&lt;/span&gt;E 27&lt;/span&gt;&lt;span style="display:inherit;clear:left;"&gt;BUSINESS&lt;span class="_ _2"&gt;&lt;/span&gt; COMBINA&lt;span class="_ _2"&gt;&lt;/span&gt;TIONS A&lt;span class="_ _2"&gt;&lt;/span&gt;ND &lt;span class="ls3 ws3"&gt; &lt;/span&gt;&lt;/span&gt;&lt;span style="display:inherit;clear:left;"&gt;DIVESTMENTS&lt;/span&gt;&lt;span style="display:inherit;clear:left;"&gt;ACCOUNTING&lt;span class="_ _2"&gt;&lt;/span&gt; POLICIES&lt;/span&gt;&lt;span style="display:inherit;clear:left;"&gt;Acquisitions&lt;/span&gt;&lt;span style="display:inherit;clear:left;"&gt;Co&lt;span class="_ _7"&gt;&lt;/span&gt;mp&lt;span class="_ _7"&gt;&lt;/span&gt;ani&lt;span class="_ _7"&gt;&lt;/span&gt;es a&lt;span class="_ _7"&gt;&lt;/span&gt;re c&lt;span class="_ _7"&gt;&lt;/span&gt;on&lt;span class="_ _7"&gt;&lt;/span&gt;so&lt;span class="_ _7"&gt;&lt;/span&gt;li&lt;span class="_ _7"&gt;&lt;/span&gt;date&lt;span class="_ _7"&gt;&lt;/span&gt;d as o&lt;span class="_ _7"&gt;&lt;/span&gt;f th&lt;span class="_ _7"&gt;&lt;/span&gt;e dat&lt;span class="_ _7"&gt;&lt;/span&gt;e of a&lt;span class="_ _7"&gt;&lt;/span&gt;cqu&lt;span class="_ _7"&gt;&lt;/span&gt;is&lt;span class="_ _7"&gt;&lt;/span&gt;iti&lt;span class="_ _7"&gt;&lt;/span&gt;on w&lt;span class="_ _7"&gt;&lt;/span&gt;he&lt;span class="_ _7"&gt;&lt;/span&gt;n &lt;/span&gt;&lt;span style="display:inherit;clear:left;"&gt;Volvo Ca&lt;span class="_ _7"&gt;&lt;/span&gt;r Gro&lt;span class="_ _7"&gt;&lt;/span&gt;up o&lt;span class="_ _7"&gt;&lt;/span&gt;bt&lt;span class="_ _7"&gt;&lt;/span&gt;ain&lt;span class="_ _7"&gt;&lt;/span&gt;s co&lt;span class="_ _7"&gt;&lt;/span&gt;ntr&lt;span class="_ _7"&gt;&lt;/span&gt;ol&lt;span class="_ _7"&gt;&lt;/span&gt;. In a b&lt;span class="_ _7"&gt;&lt;/span&gt;us&lt;span class="_ _7"&gt;&lt;/span&gt;in&lt;span class="_ _7"&gt;&lt;/span&gt;es&lt;span class="_ _7"&gt;&lt;/span&gt;s c&lt;span class="_ _7"&gt;&lt;/span&gt;om&lt;span class="_ _7"&gt;&lt;/span&gt;bin&lt;span class="_ _7"&gt;&lt;/span&gt;at&lt;span class="_ _7"&gt;&lt;/span&gt;ion Volvo &lt;/span&gt;&lt;span style="display:inherit;clear:left;"&gt;Ca&lt;span class="_ _7"&gt;&lt;/span&gt;r Gro&lt;span class="_ _7"&gt;&lt;/span&gt;up m&lt;span class="_ _7"&gt;&lt;/span&gt;ea&lt;span class="_ _7"&gt;&lt;/span&gt;su&lt;span class="_ _7"&gt;&lt;/span&gt;re&lt;span class="_ _7"&gt;&lt;/span&gt;s all a&lt;span class="_ _7"&gt;&lt;/span&gt;cq&lt;span class="_ _7"&gt;&lt;/span&gt;uir&lt;span class="_ _7"&gt;&lt;/span&gt;ed i&lt;span class="_ _7"&gt;&lt;/span&gt;de&lt;span class="_ _7"&gt;&lt;/span&gt;nti&lt;span class="_ _7"&gt;&lt;/span&gt;fi&lt;span class="_ _7"&gt;&lt;/span&gt;ab&lt;span class="_ _7"&gt;&lt;/span&gt;le as&lt;span class="_ _7"&gt;&lt;/span&gt;s&lt;span class="_ _7"&gt;&lt;/span&gt;e&lt;span class="_ _7"&gt;&lt;/span&gt;ts a&lt;span class="_ _7"&gt;&lt;/span&gt;nd li&lt;span class="_ _7"&gt;&lt;/span&gt;ab&lt;span class="_ _7"&gt;&lt;/span&gt;ili&lt;span class="_ _7"&gt;&lt;/span&gt;tie&lt;span class="_ _7"&gt;&lt;/span&gt;s at &lt;/span&gt;&lt;span style="display:inherit;clear:left;"&gt;fa&lt;span class="_ _7"&gt;&lt;/span&gt;ir va&lt;span class="_ _7"&gt;&lt;/span&gt;lue&lt;span class="_ _7"&gt;&lt;/span&gt;. Any s&lt;span class="_ _7"&gt;&lt;/span&gt;ur&lt;span class="_ _7"&gt;&lt;/span&gt;plu&lt;span class="_ _7"&gt;&lt;/span&gt;s am&lt;span class="_ _7"&gt;&lt;/span&gt;oun&lt;span class="_ _7"&gt;&lt;/span&gt;t fr&lt;span class="_ _7"&gt;&lt;/span&gt;om th&lt;span class="_ _7"&gt;&lt;/span&gt;e pu&lt;span class="_ _7"&gt;&lt;/span&gt;rc&lt;span class="_ _7"&gt;&lt;/span&gt;ha&lt;span class="_ _7"&gt;&lt;/span&gt;se c&lt;span class="_ _7"&gt;&lt;/span&gt;on&lt;span class="_ _7"&gt;&lt;/span&gt;si&lt;span class="_ _7"&gt;&lt;/span&gt;der&lt;span class="_ _7"&gt;&lt;/span&gt;at&lt;span class="_ _7"&gt;&lt;/span&gt;io&lt;span class="_ _7"&gt;&lt;/span&gt;n, &lt;/span&gt;&lt;span style="display:inherit;clear:left;"&gt;po&lt;span class="_ _7"&gt;&lt;/span&gt;s&lt;span class="_ _7"&gt;&lt;/span&gt;si&lt;span class="_ _7"&gt;&lt;/span&gt;ble n&lt;span class="_ _7"&gt;&lt;/span&gt;on-c&lt;span class="_ _7"&gt;&lt;/span&gt;ont&lt;span class="_ _7"&gt;&lt;/span&gt;ro&lt;span class="_ _7"&gt;&lt;/span&gt;lli&lt;span class="_ _7"&gt;&lt;/span&gt;ng in&lt;span class="_ _7"&gt;&lt;/span&gt;ter&lt;span class="_ _7"&gt;&lt;/span&gt;es&lt;span class="_ _7"&gt;&lt;/span&gt;t an&lt;span class="_ _7"&gt;&lt;/span&gt;d fa&lt;span class="_ _7"&gt;&lt;/span&gt;ir va&lt;span class="_ _7"&gt;&lt;/span&gt;lue o&lt;span class="_ _7"&gt;&lt;/span&gt;f pr&lt;span class="_ _7"&gt;&lt;/span&gt;ev&lt;span class="_ _7"&gt;&lt;/span&gt;iou&lt;span class="_ _7"&gt;&lt;/span&gt;s&lt;span class="_ _7"&gt;&lt;/span&gt;ly he&lt;span class="_ _7"&gt;&lt;/span&gt;ld &lt;/span&gt;&lt;span style="display:inherit;clear:left;"&gt;eq&lt;span class="_ _7"&gt;&lt;/span&gt;uit&lt;span class="_ _7"&gt;&lt;/span&gt;y i&lt;span class="_ _7"&gt;&lt;/span&gt;nte&lt;span class="_ _7"&gt;&lt;/span&gt;re&lt;span class="_ _7"&gt;&lt;/span&gt;st&lt;span class="_ _7"&gt;&lt;/span&gt;s at t&lt;span class="_ _7"&gt;&lt;/span&gt;he ac&lt;span class="_ _7"&gt;&lt;/span&gt;qu&lt;span class="_ _7"&gt;&lt;/span&gt;is&lt;span class="_ _7"&gt;&lt;/span&gt;iti&lt;span class="_ _7"&gt;&lt;/span&gt;on d&lt;span class="_ _7"&gt;&lt;/span&gt;ate c&lt;span class="_ _7"&gt;&lt;/span&gt;omp&lt;span class="_ _7"&gt;&lt;/span&gt;ar&lt;span class="_ _7"&gt;&lt;/span&gt;ed t&lt;span class="_ _7"&gt;&lt;/span&gt;o Volvo Car &lt;/span&gt;&lt;span style="display:inherit;clear:left;"&gt;Gro&lt;span class="_ _7"&gt;&lt;/span&gt;up’s sh&lt;span class="_ _7"&gt;&lt;/span&gt;ar&lt;span class="_ _7"&gt;&lt;/span&gt;e of ac&lt;span class="_ _7"&gt;&lt;/span&gt;qu&lt;span class="_ _7"&gt;&lt;/span&gt;ire&lt;span class="_ _7"&gt;&lt;/span&gt;d ne&lt;span class="_ _7"&gt;&lt;/span&gt;t as&lt;span class="_ _7"&gt;&lt;/span&gt;s&lt;span class="_ _7"&gt;&lt;/span&gt;et&lt;span class="_ _7"&gt;&lt;/span&gt;s i&lt;span class="_ _7"&gt;&lt;/span&gt;s re&lt;span class="_ _7"&gt;&lt;/span&gt;cog&lt;span class="_ _7"&gt;&lt;/span&gt;ni&lt;span class="_ _7"&gt;&lt;/span&gt;se&lt;span class="_ _7"&gt;&lt;/span&gt;d as g&lt;span class="_ _7"&gt;&lt;/span&gt;oo&lt;span class="_ _7"&gt;&lt;/span&gt;dw&lt;span class="_ _7"&gt;&lt;/span&gt;il&lt;span class="_ _7"&gt;&lt;/span&gt;l. &lt;/span&gt;&lt;span style="display:inherit;clear:left;"&gt;Any d&lt;span class="_ _7"&gt;&lt;/span&gt;ef&lt;span class="_ _7"&gt;&lt;/span&gt;ici&lt;span class="_ _7"&gt;&lt;/span&gt;t am&lt;span class="_ _7"&gt;&lt;/span&gt;ou&lt;span class="_ _7"&gt;&lt;/span&gt;nt (i&lt;span class="_ _7"&gt;&lt;/span&gt;.e. n&lt;span class="_ _7"&gt;&lt;/span&gt;eg&lt;span class="_ _7"&gt;&lt;/span&gt;ati&lt;span class="_ _7"&gt;&lt;/span&gt;ve g&lt;span class="_ _7"&gt;&lt;/span&gt;oo&lt;span class="_ _7"&gt;&lt;/span&gt;dw&lt;span class="_ _7"&gt;&lt;/span&gt;ill) r&lt;span class="_ _7"&gt;&lt;/span&gt;es&lt;span class="_ _7"&gt;&lt;/span&gt;ulti&lt;span class="_ _7"&gt;&lt;/span&gt;ng f&lt;span class="_ _7"&gt;&lt;/span&gt;ro&lt;span class="_ _7"&gt;&lt;/span&gt;m a bar&lt;span class="_ _7"&gt;&lt;/span&gt;g&lt;span class="_ _7"&gt;&lt;/span&gt;ain &lt;/span&gt;&lt;span style="display:inherit;clear:left;"&gt;pur&lt;span class="_ _7"&gt;&lt;/span&gt;ch&lt;span class="_ _7"&gt;&lt;/span&gt;as&lt;span class="_ _7"&gt;&lt;/span&gt;e, i&lt;span class="_ _7"&gt;&lt;/span&gt;s re&lt;span class="_ _7"&gt;&lt;/span&gt;cog&lt;span class="_ _7"&gt;&lt;/span&gt;ni&lt;span class="_ _7"&gt;&lt;/span&gt;s&lt;span class="_ _7"&gt;&lt;/span&gt;ed d&lt;span class="_ _7"&gt;&lt;/span&gt;ire&lt;span class="_ _7"&gt;&lt;/span&gt;ct&lt;span class="_ _7"&gt;&lt;/span&gt;ly as a g&lt;span class="_ _7"&gt;&lt;/span&gt;ai&lt;span class="_ _7"&gt;&lt;/span&gt;n in th&lt;span class="_ _7"&gt;&lt;/span&gt;e in&lt;span class="_ _7"&gt;&lt;/span&gt;co&lt;span class="_ _7"&gt;&lt;/span&gt;me s&lt;span class="_ _7"&gt;&lt;/span&gt;ta&lt;span class="_ _7"&gt;&lt;/span&gt;tem&lt;span class="_ _7"&gt;&lt;/span&gt;ent&lt;span class="_ _7"&gt;&lt;/span&gt;. &lt;/span&gt;&lt;span style="display:inherit;clear:left;"&gt;In step&lt;span class="_ _2"&gt;&lt;/span&gt; acquisitions, a business combination occurs onl&lt;span class="_ _2"&gt;&lt;/span&gt;y on the&lt;span class="_ _2"&gt;&lt;/span&gt; date &lt;/span&gt;&lt;span style="display:inherit;clear:left;"&gt;control is&lt;span class="_ _2"&gt;&lt;/span&gt; achieved. T&lt;span class="_ _6"&gt;&lt;/span&gt;ransactions with non&lt;span class="_ _2"&gt;&lt;/span&gt;-controlling&lt;span class="_ _2"&gt;&lt;/span&gt; interest are &lt;/span&gt;&lt;span style="display:inherit;clear:left;"&gt;re&lt;span class="_ _7"&gt;&lt;/span&gt;cog&lt;span class="_ _7"&gt;&lt;/span&gt;ni&lt;span class="_ _7"&gt;&lt;/span&gt;s&lt;span class="_ _7"&gt;&lt;/span&gt;ed w&lt;span class="_ _7"&gt;&lt;/span&gt;ith&lt;span class="_ _7"&gt;&lt;/span&gt;in eq&lt;span class="_ _7"&gt;&lt;/span&gt;ui&lt;span class="_ _7"&gt;&lt;/span&gt;t&lt;span class="_ _7"&gt;&lt;/span&gt;y as lo&lt;span class="_ _7"&gt;&lt;/span&gt;ng as c&lt;span class="_ _7"&gt;&lt;/span&gt;on&lt;span class="_ _7"&gt;&lt;/span&gt;tro&lt;span class="_ _7"&gt;&lt;/span&gt;l of t&lt;span class="_ _7"&gt;&lt;/span&gt;he s&lt;span class="_ _7"&gt;&lt;/span&gt;ub&lt;span class="_ _7"&gt;&lt;/span&gt;si&lt;span class="_ _7"&gt;&lt;/span&gt;dia&lt;span class="_ _7"&gt;&lt;/span&gt;r&lt;span class="_ _7"&gt;&lt;/span&gt;y i&lt;span class="_ _7"&gt;&lt;/span&gt;s &lt;/span&gt;&lt;span style="display:inherit;clear:left;"&gt;retained. &lt;/span&gt;&lt;span style="display:inherit;clear:left;"&gt;In acquisitions&lt;span class="_ _2"&gt;&lt;/span&gt; that inv&lt;span class="_ _2"&gt;&lt;/span&gt;olve parties under common&lt;span class="_ _2"&gt;&lt;/span&gt; control V&lt;span class="_ _2"&gt;&lt;/span&gt;olvo &lt;/span&gt;&lt;span style="display:inherit;clear:left;"&gt;Car Group&lt;span class="_ _2"&gt;&lt;/span&gt; applies predeces&lt;span class="_ _7"&gt;&lt;/span&gt;sor accounting,&lt;span class="_ _2"&gt;&lt;/span&gt; meaning that&lt;span class="_ _2"&gt;&lt;/span&gt; the &lt;/span&gt;&lt;span style="display:inherit;clear:left;"&gt;acquirer consolidat&lt;span class="_ _2"&gt;&lt;/span&gt;e&lt;span class="_ _7"&gt;&lt;/span&gt;s the&lt;span class="_ _2"&gt;&lt;/span&gt; predece&lt;span class="_ _7"&gt;&lt;/span&gt;ssor&lt;span class="_ _7"&gt;&lt;/span&gt;s’ respective carrying val&lt;span class="_ _2"&gt;&lt;/span&gt;ue&lt;span class="_ _7"&gt;&lt;/span&gt;s &lt;/span&gt;&lt;span style="display:inherit;clear:left;"&gt;for a&lt;span class="_ _7"&gt;&lt;/span&gt;s&lt;span class="_ _7"&gt;&lt;/span&gt;s&lt;span class="_ _7"&gt;&lt;/span&gt;et&lt;span class="_ _7"&gt;&lt;/span&gt;s and l&lt;span class="_ _7"&gt;&lt;/span&gt;iab&lt;span class="_ _7"&gt;&lt;/span&gt;il&lt;span class="_ _7"&gt;&lt;/span&gt;iti&lt;span class="_ _7"&gt;&lt;/span&gt;es&lt;span class="_ _7"&gt;&lt;/span&gt;. T&lt;span class="_ _7"&gt;&lt;/span&gt;he&lt;span class="_ _7"&gt;&lt;/span&gt;s&lt;span class="_ _7"&gt;&lt;/span&gt;e are t&lt;span class="_ _7"&gt;&lt;/span&gt;he c&lt;span class="_ _7"&gt;&lt;/span&gt;ar&lt;span class="_ _7"&gt;&lt;/span&gt;r&lt;span class="_ _7"&gt;&lt;/span&gt;yi&lt;span class="_ _7"&gt;&lt;/span&gt;ng va&lt;span class="_ _7"&gt;&lt;/span&gt;lue&lt;span class="_ _7"&gt;&lt;/span&gt;s th&lt;span class="_ _7"&gt;&lt;/span&gt;at ar&lt;span class="_ _7"&gt;&lt;/span&gt;e &lt;/span&gt;&lt;span style="display:inherit;clear:left;"&gt;re&lt;span class="_ _7"&gt;&lt;/span&gt;lat&lt;span class="_ _7"&gt;&lt;/span&gt;ed to t&lt;span class="_ _7"&gt;&lt;/span&gt;he ac&lt;span class="_ _7"&gt;&lt;/span&gt;qu&lt;span class="_ _7"&gt;&lt;/span&gt;ire&lt;span class="_ _7"&gt;&lt;/span&gt;d en&lt;span class="_ _7"&gt;&lt;/span&gt;tit&lt;span class="_ _7"&gt;&lt;/span&gt;y f&lt;span class="_ _7"&gt;&lt;/span&gt;ro&lt;span class="_ _7"&gt;&lt;/span&gt;m th&lt;span class="_ _7"&gt;&lt;/span&gt;e co&lt;span class="_ _7"&gt;&lt;/span&gt;ns&lt;span class="_ _7"&gt;&lt;/span&gt;ol&lt;span class="_ _7"&gt;&lt;/span&gt;ida&lt;span class="_ _7"&gt;&lt;/span&gt;ted f&lt;span class="_ _7"&gt;&lt;/span&gt;in&lt;span class="_ _7"&gt;&lt;/span&gt;an&lt;span class="_ _7"&gt;&lt;/span&gt;ci&lt;span class="_ _7"&gt;&lt;/span&gt;al s&lt;span class="_ _7"&gt;&lt;/span&gt;ta&lt;span class="_ _7"&gt;&lt;/span&gt;te-&lt;/span&gt;&lt;span style="display:inherit;clear:left;"&gt;me&lt;span class="_ _7"&gt;&lt;/span&gt;nts o&lt;span class="_ _7"&gt;&lt;/span&gt;f th&lt;span class="_ _7"&gt;&lt;/span&gt;e hig&lt;span class="_ _7"&gt;&lt;/span&gt;he&lt;span class="_ _7"&gt;&lt;/span&gt;s&lt;span class="_ _7"&gt;&lt;/span&gt;t ent&lt;span class="_ _7"&gt;&lt;/span&gt;it&lt;span class="_ _7"&gt;&lt;/span&gt;y th&lt;span class="_ _7"&gt;&lt;/span&gt;at h&lt;span class="_ _7"&gt;&lt;/span&gt;as c&lt;span class="_ _7"&gt;&lt;/span&gt;omm&lt;span class="_ _7"&gt;&lt;/span&gt;on c&lt;span class="_ _7"&gt;&lt;/span&gt;ont&lt;span class="_ _7"&gt;&lt;/span&gt;ro&lt;span class="_ _7"&gt;&lt;/span&gt;l, a&lt;span class="_ _7"&gt;&lt;/span&gt;nd f&lt;span class="_ _7"&gt;&lt;/span&gt;or wh&lt;span class="_ _7"&gt;&lt;/span&gt;ic&lt;span class="_ _7"&gt;&lt;/span&gt;h &lt;/span&gt;&lt;span style="display:inherit;clear:left;"&gt;consolidated financial&lt;span class="_ _2"&gt;&lt;/span&gt; st&lt;span class="_ _7"&gt;&lt;/span&gt;atements a&lt;span class="_ _2"&gt;&lt;/span&gt;re prepared. Any difference &lt;/span&gt;&lt;span style="display:inherit;clear:left;"&gt;be&lt;span class="_ _7"&gt;&lt;/span&gt;tw&lt;span class="_ _7"&gt;&lt;/span&gt;ee&lt;span class="_ _7"&gt;&lt;/span&gt;n the c&lt;span class="_ _7"&gt;&lt;/span&gt;os&lt;span class="_ _7"&gt;&lt;/span&gt;t o&lt;span class="_ _7"&gt;&lt;/span&gt;f the c&lt;span class="_ _7"&gt;&lt;/span&gt;om&lt;span class="_ _7"&gt;&lt;/span&gt;bin&lt;span class="_ _7"&gt;&lt;/span&gt;at&lt;span class="_ _7"&gt;&lt;/span&gt;ion (&lt;span class="_ _7"&gt;&lt;/span&gt;i.&lt;span class="_ _7"&gt;&lt;/span&gt;e. th&lt;span class="_ _7"&gt;&lt;/span&gt;e fa&lt;span class="_ _7"&gt;&lt;/span&gt;ir va&lt;span class="_ _7"&gt;&lt;/span&gt;lue o&lt;span class="_ _7"&gt;&lt;/span&gt;f th&lt;span class="_ _7"&gt;&lt;/span&gt;e con-&lt;/span&gt;&lt;span style="display:inherit;clear:left;"&gt;si&lt;span class="_ _7"&gt;&lt;/span&gt;der&lt;span class="_ _7"&gt;&lt;/span&gt;at&lt;span class="_ _7"&gt;&lt;/span&gt;ion p&lt;span class="_ _7"&gt;&lt;/span&gt;ai&lt;span class="_ _7"&gt;&lt;/span&gt;d) a&lt;span class="_ _7"&gt;&lt;/span&gt;nd th&lt;span class="_ _7"&gt;&lt;/span&gt;e c&lt;span class="_ _7"&gt;&lt;/span&gt;arr&lt;span class="_ _9"&gt;&lt;/span&gt;yin&lt;span class="_ _7"&gt;&lt;/span&gt;g val&lt;span class="_ _7"&gt;&lt;/span&gt;ue&lt;span class="_ _7"&gt;&lt;/span&gt;s for a&lt;span class="_ _7"&gt;&lt;/span&gt;s&lt;span class="_ _7"&gt;&lt;/span&gt;s&lt;span class="_ _7"&gt;&lt;/span&gt;et&lt;span class="_ _7"&gt;&lt;/span&gt;s and l&lt;span class="_ _7"&gt;&lt;/span&gt;ia&lt;span class="_ _7"&gt;&lt;/span&gt;bil&lt;span class="_ _7"&gt;&lt;/span&gt;iti&lt;span class="_ _7"&gt;&lt;/span&gt;es i&lt;span class="_ _7"&gt;&lt;/span&gt;s &lt;/span&gt;&lt;span style="display:inherit;clear:left;"&gt;recognis&lt;span class="_ _7"&gt;&lt;/span&gt;ed directly in&lt;span class="_ _2"&gt;&lt;/span&gt; e&lt;span class="_ _7"&gt;&lt;/span&gt;quity within retained earnings&lt;span class="_ _7"&gt;&lt;/span&gt;. &lt;/span&gt;&lt;span style="display:inherit;clear:left;"&gt;All acq&lt;span class="_ _2"&gt;&lt;/span&gt;uisition-related&lt;span class="_ _2"&gt;&lt;/span&gt; trans&lt;span class="_ _7"&gt;&lt;/span&gt;action costs are&lt;span class="_ _2"&gt;&lt;/span&gt; expensed&lt;span class="_ _7"&gt;&lt;/span&gt;.&lt;/span&gt;&lt;span style="display:inherit;clear:left;"&gt;Divestments&lt;/span&gt;&lt;span style="display:inherit;clear:left;"&gt;Co&lt;span class="_ _7"&gt;&lt;/span&gt;mp&lt;span class="_ _7"&gt;&lt;/span&gt;ani&lt;span class="_ _7"&gt;&lt;/span&gt;es t&lt;span class="_ _7"&gt;&lt;/span&gt;ha&lt;span class="_ _7"&gt;&lt;/span&gt;t have b&lt;span class="_ _7"&gt;&lt;/span&gt;ee&lt;span class="_ _7"&gt;&lt;/span&gt;n di&lt;span class="_ _7"&gt;&lt;/span&gt;ve&lt;span class="_ _7"&gt;&lt;/span&gt;st&lt;span class="_ _7"&gt;&lt;/span&gt;ed a&lt;span class="_ _7"&gt;&lt;/span&gt;re in&lt;span class="_ _7"&gt;&lt;/span&gt;clu&lt;span class="_ _7"&gt;&lt;/span&gt;de&lt;span class="_ _7"&gt;&lt;/span&gt;d in th&lt;span class="_ _7"&gt;&lt;/span&gt;e co&lt;span class="_ _7"&gt;&lt;/span&gt;ns&lt;span class="_ _7"&gt;&lt;/span&gt;ol&lt;span class="_ _7"&gt;&lt;/span&gt;id&lt;span class="_ _7"&gt;&lt;/span&gt;ate&lt;span class="_ _7"&gt;&lt;/span&gt;d &lt;/span&gt;&lt;span style="display:inherit;clear:left;"&gt;fi&lt;span class="_ _7"&gt;&lt;/span&gt;nan&lt;span class="_ _7"&gt;&lt;/span&gt;ci&lt;span class="_ _7"&gt;&lt;/span&gt;al s&lt;span class="_ _7"&gt;&lt;/span&gt;ta&lt;span class="_ _7"&gt;&lt;/span&gt;tem&lt;span class="_ _7"&gt;&lt;/span&gt;ent&lt;span class="_ _7"&gt;&lt;/span&gt;s u&lt;span class="_ _7"&gt;&lt;/span&gt;p to an&lt;span class="_ _7"&gt;&lt;/span&gt;d inc&lt;span class="_ _7"&gt;&lt;/span&gt;lud&lt;span class="_ _7"&gt;&lt;/span&gt;ing t&lt;span class="_ _7"&gt;&lt;/span&gt;he d&lt;span class="_ _7"&gt;&lt;/span&gt;ate wh&lt;span class="_ _7"&gt;&lt;/span&gt;en Volvo C&lt;span class="_ _7"&gt;&lt;/span&gt;ar &lt;/span&gt;&lt;span style="display:inherit;clear:left;"&gt;Gro&lt;span class="_ _7"&gt;&lt;/span&gt;up lo&lt;span class="_ _7"&gt;&lt;/span&gt;s&lt;span class="_ _7"&gt;&lt;/span&gt;es c&lt;span class="_ _7"&gt;&lt;/span&gt;on&lt;span class="_ _7"&gt;&lt;/span&gt;tro&lt;span class="_ _7"&gt;&lt;/span&gt;l&lt;span class="_ _7"&gt;&lt;/span&gt;. &lt;/span&gt;&lt;span style="display:inherit;clear:left;"&gt;In di&lt;span class="_ _7"&gt;&lt;/span&gt;ve&lt;span class="_ _7"&gt;&lt;/span&gt;st&lt;span class="_ _7"&gt;&lt;/span&gt;me&lt;span class="_ _7"&gt;&lt;/span&gt;nt&lt;span class="_ _7"&gt;&lt;/span&gt;s tha&lt;span class="_ _7"&gt;&lt;/span&gt;t invo&lt;span class="_ _7"&gt;&lt;/span&gt;lve p&lt;span class="_ _7"&gt;&lt;/span&gt;ar&lt;span class="_ _7"&gt;&lt;/span&gt;ti&lt;span class="_ _7"&gt;&lt;/span&gt;e&lt;span class="_ _7"&gt;&lt;/span&gt;s und&lt;span class="_ _7"&gt;&lt;/span&gt;er c&lt;span class="_ _7"&gt;&lt;/span&gt;om&lt;span class="_ _7"&gt;&lt;/span&gt;mo&lt;span class="_ _7"&gt;&lt;/span&gt;n con&lt;span class="_ _7"&gt;&lt;/span&gt;tro&lt;span class="_ _7"&gt;&lt;/span&gt;l&lt;span class="_ _7"&gt;&lt;/span&gt;, any &lt;/span&gt;&lt;span style="display:inherit;clear:left;"&gt;di&lt;span class="_ _7"&gt;&lt;/span&gt;f&lt;span class="_ _7"&gt;&lt;/span&gt;fe&lt;span class="_ _7"&gt;&lt;/span&gt;re&lt;span class="_ _7"&gt;&lt;/span&gt;nce b&lt;span class="_ _7"&gt;&lt;/span&gt;et&lt;span class="_ _7"&gt;&lt;/span&gt;w&lt;span class="_ _7"&gt;&lt;/span&gt;ee&lt;span class="_ _7"&gt;&lt;/span&gt;n the c&lt;span class="_ _7"&gt;&lt;/span&gt;os&lt;span class="_ _7"&gt;&lt;/span&gt;t o&lt;span class="_ _7"&gt;&lt;/span&gt;f the d&lt;span class="_ _7"&gt;&lt;/span&gt;ive&lt;span class="_ _7"&gt;&lt;/span&gt;s&lt;span class="_ _7"&gt;&lt;/span&gt;tm&lt;span class="_ _7"&gt;&lt;/span&gt;ent (&lt;span class="_ _7"&gt;&lt;/span&gt;i.e&lt;span class="_ _7"&gt;&lt;/span&gt;. th&lt;span class="_ _7"&gt;&lt;/span&gt;e fa&lt;span class="_ _7"&gt;&lt;/span&gt;ir va&lt;span class="_ _7"&gt;&lt;/span&gt;lue o&lt;span class="_ _7"&gt;&lt;/span&gt;f &lt;/span&gt;&lt;span style="display:inherit;clear:left;"&gt;the c&lt;span class="_ _7"&gt;&lt;/span&gt;on&lt;span class="_ _7"&gt;&lt;/span&gt;si&lt;span class="_ _7"&gt;&lt;/span&gt;de&lt;span class="_ _7"&gt;&lt;/span&gt;rat&lt;span class="_ _7"&gt;&lt;/span&gt;io&lt;span class="_ _7"&gt;&lt;/span&gt;n re&lt;span class="_ _7"&gt;&lt;/span&gt;cei&lt;span class="_ _7"&gt;&lt;/span&gt;ve&lt;span class="_ _7"&gt;&lt;/span&gt;d) a&lt;span class="_ _7"&gt;&lt;/span&gt;nd th&lt;span class="_ _7"&gt;&lt;/span&gt;e ca&lt;span class="_ _7"&gt;&lt;/span&gt;rr&lt;span class="_ _9"&gt;&lt;/span&gt;yin&lt;span class="_ _7"&gt;&lt;/span&gt;g valu&lt;span class="_ _7"&gt;&lt;/span&gt;e&lt;span class="_ _7"&gt;&lt;/span&gt;s for a&lt;span class="_ _7"&gt;&lt;/span&gt;s&lt;span class="_ _7"&gt;&lt;/span&gt;se&lt;span class="_ _7"&gt;&lt;/span&gt;ts a&lt;span class="_ _7"&gt;&lt;/span&gt;nd &lt;/span&gt;&lt;span style="display:inherit;clear:left;"&gt;liabilities is recognise&lt;span class="_ _7"&gt;&lt;/span&gt;d directly in&lt;span class="_ _2"&gt;&lt;/span&gt; equit&lt;span class="_ _7"&gt;&lt;/span&gt;y within retained earnings&lt;span class="_ _7"&gt;&lt;/span&gt;.&lt;/span&gt;&lt;span style="display:inherit;clear:left;"&gt;Busines&lt;span class="_ _7"&gt;&lt;/span&gt;s combinations&lt;span class="_ _2"&gt;&lt;/span&gt; &lt;/span&gt;&lt;span style="display:inherit;clear:left;"&gt;N&lt;span class="_ _7"&gt;&lt;/span&gt;OVO En&lt;span class="_ _7"&gt;&lt;/span&gt;e&lt;span class="_ _7"&gt;&lt;/span&gt;r&lt;span class="_ _7"&gt;&lt;/span&gt;g&lt;span class="_ _7"&gt;&lt;/span&gt;y&lt;span class="_ _7"&gt;&lt;/span&gt; AB&lt;/span&gt;&lt;span style="display:inherit;clear:left;"&gt;On 30 O&lt;span class="_ _7"&gt;&lt;/span&gt;ct&lt;span class="_ _7"&gt;&lt;/span&gt;ob&lt;span class="_ _7"&gt;&lt;/span&gt;er 2024, Volvo C&lt;span class="_ _7"&gt;&lt;/span&gt;ar C&lt;span class="_ _7"&gt;&lt;/span&gt;or&lt;span class="_ _7"&gt;&lt;/span&gt;po&lt;span class="_ _7"&gt;&lt;/span&gt;ra&lt;span class="_ _7"&gt;&lt;/span&gt;tio&lt;span class="_ _7"&gt;&lt;/span&gt;n as&lt;span class="_ _7"&gt;&lt;/span&gt;s&lt;span class="_ _7"&gt;&lt;/span&gt;es&lt;span class="_ _7"&gt;&lt;/span&gt;s&lt;span class="_ _7"&gt;&lt;/span&gt;e&lt;span class="_ _7"&gt;&lt;/span&gt;d it h&lt;span class="_ _7"&gt;&lt;/span&gt;ad g&lt;span class="_ _7"&gt;&lt;/span&gt;ain&lt;span class="_ _7"&gt;&lt;/span&gt;e&lt;span class="_ _7"&gt;&lt;/span&gt;d &lt;/span&gt;&lt;span style="display:inherit;clear:left;"&gt;con&lt;span class="_ _7"&gt;&lt;/span&gt;tr&lt;span class="_ _7"&gt;&lt;/span&gt;ol o&lt;span class="_ _7"&gt;&lt;/span&gt;f NOVO Ener&lt;span class="_ _7"&gt;&lt;/span&gt;g&lt;span class="_ _7"&gt;&lt;/span&gt;y AB f&lt;span class="_ _7"&gt;&lt;/span&gt;ro&lt;span class="_ _7"&gt;&lt;/span&gt;m an a&lt;span class="_ _7"&gt;&lt;/span&gt;cc&lt;span class="_ _7"&gt;&lt;/span&gt;oun&lt;span class="_ _7"&gt;&lt;/span&gt;tin&lt;span class="_ _7"&gt;&lt;/span&gt;g pe&lt;span class="_ _7"&gt;&lt;/span&gt;rs&lt;span class="_ _7"&gt;&lt;/span&gt;pe&lt;span class="_ _7"&gt;&lt;/span&gt;c&lt;span class="_ _7"&gt;&lt;/span&gt;tiv&lt;span class="_ _7"&gt;&lt;/span&gt;e fol&lt;span class="_ _7"&gt;&lt;/span&gt;low-&lt;/span&gt;&lt;span style="display:inherit;clear:left;"&gt;ing th&lt;span class="_ _7"&gt;&lt;/span&gt;e no&lt;span class="_ _7"&gt;&lt;/span&gt;ti&lt;span class="_ _7"&gt;&lt;/span&gt;fi&lt;span class="_ _7"&gt;&lt;/span&gt;ca&lt;span class="_ _7"&gt;&lt;/span&gt;tio&lt;span class="_ _7"&gt;&lt;/span&gt;n to No&lt;span class="_ _7"&gt;&lt;/span&gt;r&lt;span class="_ _7"&gt;&lt;/span&gt;thvo&lt;span class="_ _7"&gt;&lt;/span&gt;lt AB o&lt;span class="_ _7"&gt;&lt;/span&gt;f Volvo Ca&lt;span class="_ _7"&gt;&lt;/span&gt;rs i&lt;span class="_ _7"&gt;&lt;/span&gt;nte&lt;span class="_ _7"&gt;&lt;/span&gt;nt to re&lt;span class="_ _7"&gt;&lt;/span&gt;de&lt;span class="_ _7"&gt;&lt;/span&gt;em &lt;/span&gt;&lt;span style="display:inherit;clear:left;"&gt;Nor&lt;span class="_ _7"&gt;&lt;/span&gt;t&lt;span class="_ _7"&gt;&lt;/span&gt;hvo&lt;span class="_ _7"&gt;&lt;/span&gt;lt AB’s 50 pe&lt;span class="_ _7"&gt;&lt;/span&gt;r ce&lt;span class="_ _7"&gt;&lt;/span&gt;nt s&lt;span class="_ _7"&gt;&lt;/span&gt;har&lt;span class="_ _7"&gt;&lt;/span&gt;eh&lt;span class="_ _7"&gt;&lt;/span&gt;old&lt;span class="_ _7"&gt;&lt;/span&gt;ing&lt;span class="_ _7"&gt;&lt;/span&gt;s i&lt;span class="_ _7"&gt;&lt;/span&gt;n NOVO Ene&lt;span class="_ _7"&gt;&lt;/span&gt;rg&lt;span class="_ _7"&gt;&lt;/span&gt;y A&lt;span class="_ _7"&gt;&lt;/span&gt;B. &lt;/span&gt;&lt;span style="display:inherit;clear:left;"&gt;On 4 J&lt;span class="_ _7"&gt;&lt;/span&gt;uly 2025, Volvo C&lt;span class="_ _7"&gt;&lt;/span&gt;ar C&lt;span class="_ _7"&gt;&lt;/span&gt;or&lt;span class="_ _7"&gt;&lt;/span&gt;po&lt;span class="_ _7"&gt;&lt;/span&gt;rat&lt;span class="_ _7"&gt;&lt;/span&gt;io&lt;span class="_ _7"&gt;&lt;/span&gt;n fi&lt;span class="_ _7"&gt;&lt;/span&gt;na&lt;span class="_ _7"&gt;&lt;/span&gt;lis&lt;span class="_ _7"&gt;&lt;/span&gt;e&lt;span class="_ _7"&gt;&lt;/span&gt;d the a&lt;span class="_ _7"&gt;&lt;/span&gt;cq&lt;span class="_ _7"&gt;&lt;/span&gt;uis&lt;span class="_ _7"&gt;&lt;/span&gt;it&lt;span class="_ _7"&gt;&lt;/span&gt;io&lt;span class="_ _7"&gt;&lt;/span&gt;n of &lt;/span&gt;&lt;span style="display:inherit;clear:left;"&gt;Nor&lt;span class="_ _7"&gt;&lt;/span&gt;t&lt;span class="_ _7"&gt;&lt;/span&gt;hvo&lt;span class="_ _7"&gt;&lt;/span&gt;lt AB’s sh&lt;span class="_ _7"&gt;&lt;/span&gt;are&lt;span class="_ _7"&gt;&lt;/span&gt;s in N&lt;span class="_ _7"&gt;&lt;/span&gt;OVO Ener&lt;span class="_ _7"&gt;&lt;/span&gt;g&lt;span class="_ _7"&gt;&lt;/span&gt;y AB a&lt;span class="_ _7"&gt;&lt;/span&gt;nd b&lt;span class="_ _7"&gt;&lt;/span&gt;ec&lt;span class="_ _7"&gt;&lt;/span&gt;am&lt;span class="_ _7"&gt;&lt;/span&gt;e 100&lt;span class="_ _7"&gt;&lt;/span&gt;% sh&lt;span class="_ _7"&gt;&lt;/span&gt;are-&lt;/span&gt;&lt;span style="display:inherit;clear:left;"&gt;ho&lt;span class="_ _7"&gt;&lt;/span&gt;lde&lt;span class="_ _7"&gt;&lt;/span&gt;r of N&lt;span class="_ _7"&gt;&lt;/span&gt;OVO Ener&lt;span class="_ _7"&gt;&lt;/span&gt;g&lt;span class="_ _7"&gt;&lt;/span&gt;y AB&lt;span class="_ _7"&gt;&lt;/span&gt;. As a c&lt;span class="_ _7"&gt;&lt;/span&gt;on&lt;span class="_ _7"&gt;&lt;/span&gt;se&lt;span class="_ _7"&gt;&lt;/span&gt;qu&lt;span class="_ _7"&gt;&lt;/span&gt;en&lt;span class="_ _7"&gt;&lt;/span&gt;ce&lt;span class="_ _7"&gt;&lt;/span&gt;, the n&lt;span class="_ _7"&gt;&lt;/span&gt;on-c&lt;span class="_ _7"&gt;&lt;/span&gt;ont&lt;span class="_ _7"&gt;&lt;/span&gt;ro&lt;span class="_ _7"&gt;&lt;/span&gt;lli&lt;span class="_ _7"&gt;&lt;/span&gt;ng &lt;/span&gt;&lt;span style="display:inherit;clear:left;"&gt;interest of&lt;span class="_ _2"&gt;&lt;/span&gt; 50 per cent&lt;span class="_ _2"&gt;&lt;/span&gt; ceas&lt;span class="_ _7"&gt;&lt;/span&gt;ed. Purchase consideration&lt;span class="_ _2"&gt;&lt;/span&gt; amounted to&lt;span class="_ _2"&gt;&lt;/span&gt; &lt;/span&gt;&lt;span style="display:inherit;clear:left;"&gt;SEK 40 m&lt;span class="_ _7"&gt;&lt;/span&gt;. Th&lt;span class="_ _7"&gt;&lt;/span&gt;e pr&lt;span class="_ _7"&gt;&lt;/span&gt;el&lt;span class="_ _7"&gt;&lt;/span&gt;imi&lt;span class="_ _7"&gt;&lt;/span&gt;nar&lt;span class="_ _9"&gt;&lt;/span&gt;y acq&lt;span class="_ _7"&gt;&lt;/span&gt;ui&lt;span class="_ _7"&gt;&lt;/span&gt;si&lt;span class="_ _7"&gt;&lt;/span&gt;tio&lt;span class="_ _7"&gt;&lt;/span&gt;n an&lt;span class="_ _7"&gt;&lt;/span&gt;aly&lt;span class="_ _7"&gt;&lt;/span&gt;si&lt;span class="_ _7"&gt;&lt;/span&gt;s pre&lt;span class="_ _7"&gt;&lt;/span&gt;vi&lt;span class="_ _7"&gt;&lt;/span&gt;ou&lt;span class="_ _7"&gt;&lt;/span&gt;sly r&lt;span class="_ _7"&gt;&lt;/span&gt;ec&lt;span class="_ _7"&gt;&lt;/span&gt;og-&lt;/span&gt;&lt;span style="display:inherit;clear:left;"&gt;nis&lt;span class="_ _7"&gt;&lt;/span&gt;e&lt;span class="_ _7"&gt;&lt;/span&gt;d fo&lt;span class="_ _7"&gt;&lt;/span&gt;r NOVO Ener&lt;span class="_ _7"&gt;&lt;/span&gt;g&lt;span class="_ _7"&gt;&lt;/span&gt;y AB w&lt;span class="_ _7"&gt;&lt;/span&gt;as a&lt;span class="_ _7"&gt;&lt;/span&gt;do&lt;span class="_ _7"&gt;&lt;/span&gt;pte&lt;span class="_ _7"&gt;&lt;/span&gt;d in 2025. &lt;/span&gt;&lt;span style="display:inherit;clear:left;"&gt;Ap&lt;span class="_ _7"&gt;&lt;/span&gt;ar&lt;span class="_ _7"&gt;&lt;/span&gt;t f&lt;span class="_ _7"&gt;&lt;/span&gt;ro&lt;span class="_ _7"&gt;&lt;/span&gt;m the p&lt;span class="_ _7"&gt;&lt;/span&gt;ar&lt;span class="_ _7"&gt;&lt;/span&gt;ent c&lt;span class="_ _7"&gt;&lt;/span&gt;om&lt;span class="_ _7"&gt;&lt;/span&gt;pan&lt;span class="_ _7"&gt;&lt;/span&gt;y NOVO Ene&lt;span class="_ _7"&gt;&lt;/span&gt;rg&lt;span class="_ _7"&gt;&lt;/span&gt;y A&lt;span class="_ _7"&gt;&lt;/span&gt;B, N&lt;span class="_ _7"&gt;&lt;/span&gt;OVO Ener&lt;span class="_ _7"&gt;&lt;/span&gt;g&lt;span class="_ _7"&gt;&lt;/span&gt;y &lt;/span&gt;&lt;span style="display:inherit;clear:left;"&gt;Gro&lt;span class="_ _7"&gt;&lt;/span&gt;up c&lt;span class="_ _7"&gt;&lt;/span&gt;on&lt;span class="_ _7"&gt;&lt;/span&gt;si&lt;span class="_ _7"&gt;&lt;/span&gt;st&lt;span class="_ _7"&gt;&lt;/span&gt;s o&lt;span class="_ _7"&gt;&lt;/span&gt;f the w&lt;span class="_ _7"&gt;&lt;/span&gt;ho&lt;span class="_ _7"&gt;&lt;/span&gt;lly-ow&lt;span class="_ _7"&gt;&lt;/span&gt;ne&lt;span class="_ _7"&gt;&lt;/span&gt;d su&lt;span class="_ _7"&gt;&lt;/span&gt;bs&lt;span class="_ _7"&gt;&lt;/span&gt;id&lt;span class="_ _7"&gt;&lt;/span&gt;iar&lt;span class="_ _7"&gt;&lt;/span&gt;ie&lt;span class="_ _7"&gt;&lt;/span&gt;s NOVO En&lt;span class="_ _7"&gt;&lt;/span&gt;erg&lt;span class="_ _9"&gt;&lt;/span&gt;y R&amp;amp;D &lt;/span&gt;&lt;span style="display:inherit;clear:left;"&gt;AB an&lt;span class="_ _7"&gt;&lt;/span&gt;d NOVO Ene&lt;span class="_ _7"&gt;&lt;/span&gt;rg&lt;span class="_ _7"&gt;&lt;/span&gt;y P&lt;span class="_ _7"&gt;&lt;/span&gt;ro&lt;span class="_ _7"&gt;&lt;/span&gt;du&lt;span class="_ _7"&gt;&lt;/span&gt;cti&lt;span class="_ _7"&gt;&lt;/span&gt;on AB w&lt;span class="_ _7"&gt;&lt;/span&gt;it&lt;span class="_ _7"&gt;&lt;/span&gt;h it&lt;span class="_ _7"&gt;&lt;/span&gt;s wh&lt;span class="_ _7"&gt;&lt;/span&gt;olly-o&lt;span class="_ _7"&gt;&lt;/span&gt;wn&lt;span class="_ _7"&gt;&lt;/span&gt;ed s&lt;span class="_ _7"&gt;&lt;/span&gt;ub&lt;span class="_ _7"&gt;&lt;/span&gt;si&lt;span class="_ _7"&gt;&lt;/span&gt;di-&lt;/span&gt;&lt;span style="display:inherit;clear:left;"&gt;ar&lt;span class="_ _7"&gt;&lt;/span&gt;y N&lt;span class="_ _7"&gt;&lt;/span&gt;OVO Ener&lt;span class="_ _7"&gt;&lt;/span&gt;g&lt;span class="_ _7"&gt;&lt;/span&gt;y Pr&lt;span class="_ _7"&gt;&lt;/span&gt;op&lt;span class="_ _7"&gt;&lt;/span&gt;Co AB&lt;span class="_ _7"&gt;&lt;/span&gt;.&lt;/span&gt;</t>
  </si>
  <si>
    <t>f1__s8__6__283</t>
  </si>
  <si>
    <t>ifrs-full:DescriptionOfAccountingPolicyForBusinessCombinationsAndGoodwillExplanatory</t>
  </si>
  <si>
    <t>&lt;span style="display:inherit;clear:left;"&gt;ACCOUNTING&lt;span class="_ _2"&gt;&lt;/span&gt; POLICIES&lt;/span&gt;&lt;span style="display:inherit;clear:left;"&gt;Acquisitions&lt;/span&gt;&lt;span style="display:inherit;clear:left;"&gt;Co&lt;span class="_ _7"&gt;&lt;/span&gt;mp&lt;span class="_ _7"&gt;&lt;/span&gt;ani&lt;span class="_ _7"&gt;&lt;/span&gt;es a&lt;span class="_ _7"&gt;&lt;/span&gt;re c&lt;span class="_ _7"&gt;&lt;/span&gt;on&lt;span class="_ _7"&gt;&lt;/span&gt;so&lt;span class="_ _7"&gt;&lt;/span&gt;li&lt;span class="_ _7"&gt;&lt;/span&gt;date&lt;span class="_ _7"&gt;&lt;/span&gt;d as o&lt;span class="_ _7"&gt;&lt;/span&gt;f th&lt;span class="_ _7"&gt;&lt;/span&gt;e dat&lt;span class="_ _7"&gt;&lt;/span&gt;e of a&lt;span class="_ _7"&gt;&lt;/span&gt;cqu&lt;span class="_ _7"&gt;&lt;/span&gt;is&lt;span class="_ _7"&gt;&lt;/span&gt;iti&lt;span class="_ _7"&gt;&lt;/span&gt;on w&lt;span class="_ _7"&gt;&lt;/span&gt;he&lt;span class="_ _7"&gt;&lt;/span&gt;n &lt;/span&gt;&lt;span style="display:inherit;clear:left;"&gt;Volvo Ca&lt;span class="_ _7"&gt;&lt;/span&gt;r Gro&lt;span class="_ _7"&gt;&lt;/span&gt;up o&lt;span class="_ _7"&gt;&lt;/span&gt;bt&lt;span class="_ _7"&gt;&lt;/span&gt;ain&lt;span class="_ _7"&gt;&lt;/span&gt;s co&lt;span class="_ _7"&gt;&lt;/span&gt;ntr&lt;span class="_ _7"&gt;&lt;/span&gt;ol&lt;span class="_ _7"&gt;&lt;/span&gt;. In a b&lt;span class="_ _7"&gt;&lt;/span&gt;us&lt;span class="_ _7"&gt;&lt;/span&gt;in&lt;span class="_ _7"&gt;&lt;/span&gt;es&lt;span class="_ _7"&gt;&lt;/span&gt;s c&lt;span class="_ _7"&gt;&lt;/span&gt;om&lt;span class="_ _7"&gt;&lt;/span&gt;bin&lt;span class="_ _7"&gt;&lt;/span&gt;at&lt;span class="_ _7"&gt;&lt;/span&gt;ion Volvo &lt;/span&gt;&lt;span style="display:inherit;clear:left;"&gt;Ca&lt;span class="_ _7"&gt;&lt;/span&gt;r Gro&lt;span class="_ _7"&gt;&lt;/span&gt;up m&lt;span class="_ _7"&gt;&lt;/span&gt;ea&lt;span class="_ _7"&gt;&lt;/span&gt;su&lt;span class="_ _7"&gt;&lt;/span&gt;re&lt;span class="_ _7"&gt;&lt;/span&gt;s all a&lt;span class="_ _7"&gt;&lt;/span&gt;cq&lt;span class="_ _7"&gt;&lt;/span&gt;uir&lt;span class="_ _7"&gt;&lt;/span&gt;ed i&lt;span class="_ _7"&gt;&lt;/span&gt;de&lt;span class="_ _7"&gt;&lt;/span&gt;nti&lt;span class="_ _7"&gt;&lt;/span&gt;fi&lt;span class="_ _7"&gt;&lt;/span&gt;ab&lt;span class="_ _7"&gt;&lt;/span&gt;le as&lt;span class="_ _7"&gt;&lt;/span&gt;s&lt;span class="_ _7"&gt;&lt;/span&gt;e&lt;span class="_ _7"&gt;&lt;/span&gt;ts a&lt;span class="_ _7"&gt;&lt;/span&gt;nd li&lt;span class="_ _7"&gt;&lt;/span&gt;ab&lt;span class="_ _7"&gt;&lt;/span&gt;ili&lt;span class="_ _7"&gt;&lt;/span&gt;tie&lt;span class="_ _7"&gt;&lt;/span&gt;s at &lt;/span&gt;&lt;span style="display:inherit;clear:left;"&gt;fa&lt;span class="_ _7"&gt;&lt;/span&gt;ir va&lt;span class="_ _7"&gt;&lt;/span&gt;lue&lt;span class="_ _7"&gt;&lt;/span&gt;. Any s&lt;span class="_ _7"&gt;&lt;/span&gt;ur&lt;span class="_ _7"&gt;&lt;/span&gt;plu&lt;span class="_ _7"&gt;&lt;/span&gt;s am&lt;span class="_ _7"&gt;&lt;/span&gt;oun&lt;span class="_ _7"&gt;&lt;/span&gt;t fr&lt;span class="_ _7"&gt;&lt;/span&gt;om th&lt;span class="_ _7"&gt;&lt;/span&gt;e pu&lt;span class="_ _7"&gt;&lt;/span&gt;rc&lt;span class="_ _7"&gt;&lt;/span&gt;ha&lt;span class="_ _7"&gt;&lt;/span&gt;se c&lt;span class="_ _7"&gt;&lt;/span&gt;on&lt;span class="_ _7"&gt;&lt;/span&gt;si&lt;span class="_ _7"&gt;&lt;/span&gt;der&lt;span class="_ _7"&gt;&lt;/span&gt;at&lt;span class="_ _7"&gt;&lt;/span&gt;io&lt;span class="_ _7"&gt;&lt;/span&gt;n, &lt;/span&gt;&lt;span style="display:inherit;clear:left;"&gt;po&lt;span class="_ _7"&gt;&lt;/span&gt;s&lt;span class="_ _7"&gt;&lt;/span&gt;si&lt;span class="_ _7"&gt;&lt;/span&gt;ble n&lt;span class="_ _7"&gt;&lt;/span&gt;on-c&lt;span class="_ _7"&gt;&lt;/span&gt;ont&lt;span class="_ _7"&gt;&lt;/span&gt;ro&lt;span class="_ _7"&gt;&lt;/span&gt;lli&lt;span class="_ _7"&gt;&lt;/span&gt;ng in&lt;span class="_ _7"&gt;&lt;/span&gt;ter&lt;span class="_ _7"&gt;&lt;/span&gt;es&lt;span class="_ _7"&gt;&lt;/span&gt;t an&lt;span class="_ _7"&gt;&lt;/span&gt;d fa&lt;span class="_ _7"&gt;&lt;/span&gt;ir va&lt;span class="_ _7"&gt;&lt;/span&gt;lue o&lt;span class="_ _7"&gt;&lt;/span&gt;f pr&lt;span class="_ _7"&gt;&lt;/span&gt;ev&lt;span class="_ _7"&gt;&lt;/span&gt;iou&lt;span class="_ _7"&gt;&lt;/span&gt;s&lt;span class="_ _7"&gt;&lt;/span&gt;ly he&lt;span class="_ _7"&gt;&lt;/span&gt;ld &lt;/span&gt;&lt;span style="display:inherit;clear:left;"&gt;eq&lt;span class="_ _7"&gt;&lt;/span&gt;uit&lt;span class="_ _7"&gt;&lt;/span&gt;y i&lt;span class="_ _7"&gt;&lt;/span&gt;nte&lt;span class="_ _7"&gt;&lt;/span&gt;re&lt;span class="_ _7"&gt;&lt;/span&gt;st&lt;span class="_ _7"&gt;&lt;/span&gt;s at t&lt;span class="_ _7"&gt;&lt;/span&gt;he ac&lt;span class="_ _7"&gt;&lt;/span&gt;qu&lt;span class="_ _7"&gt;&lt;/span&gt;is&lt;span class="_ _7"&gt;&lt;/span&gt;iti&lt;span class="_ _7"&gt;&lt;/span&gt;on d&lt;span class="_ _7"&gt;&lt;/span&gt;ate c&lt;span class="_ _7"&gt;&lt;/span&gt;omp&lt;span class="_ _7"&gt;&lt;/span&gt;ar&lt;span class="_ _7"&gt;&lt;/span&gt;ed t&lt;span class="_ _7"&gt;&lt;/span&gt;o Volvo Car &lt;/span&gt;&lt;span style="display:inherit;clear:left;"&gt;Gro&lt;span class="_ _7"&gt;&lt;/span&gt;up’s sh&lt;span class="_ _7"&gt;&lt;/span&gt;ar&lt;span class="_ _7"&gt;&lt;/span&gt;e of ac&lt;span class="_ _7"&gt;&lt;/span&gt;qu&lt;span class="_ _7"&gt;&lt;/span&gt;ire&lt;span class="_ _7"&gt;&lt;/span&gt;d ne&lt;span class="_ _7"&gt;&lt;/span&gt;t as&lt;span class="_ _7"&gt;&lt;/span&gt;s&lt;span class="_ _7"&gt;&lt;/span&gt;et&lt;span class="_ _7"&gt;&lt;/span&gt;s i&lt;span class="_ _7"&gt;&lt;/span&gt;s re&lt;span class="_ _7"&gt;&lt;/span&gt;cog&lt;span class="_ _7"&gt;&lt;/span&gt;ni&lt;span class="_ _7"&gt;&lt;/span&gt;se&lt;span class="_ _7"&gt;&lt;/span&gt;d as g&lt;span class="_ _7"&gt;&lt;/span&gt;oo&lt;span class="_ _7"&gt;&lt;/span&gt;dw&lt;span class="_ _7"&gt;&lt;/span&gt;il&lt;span class="_ _7"&gt;&lt;/span&gt;l. &lt;/span&gt;&lt;span style="display:inherit;clear:left;"&gt;Any d&lt;span class="_ _7"&gt;&lt;/span&gt;ef&lt;span class="_ _7"&gt;&lt;/span&gt;ici&lt;span class="_ _7"&gt;&lt;/span&gt;t am&lt;span class="_ _7"&gt;&lt;/span&gt;ou&lt;span class="_ _7"&gt;&lt;/span&gt;nt (i&lt;span class="_ _7"&gt;&lt;/span&gt;.e. n&lt;span class="_ _7"&gt;&lt;/span&gt;eg&lt;span class="_ _7"&gt;&lt;/span&gt;ati&lt;span class="_ _7"&gt;&lt;/span&gt;ve g&lt;span class="_ _7"&gt;&lt;/span&gt;oo&lt;span class="_ _7"&gt;&lt;/span&gt;dw&lt;span class="_ _7"&gt;&lt;/span&gt;ill) r&lt;span class="_ _7"&gt;&lt;/span&gt;es&lt;span class="_ _7"&gt;&lt;/span&gt;ulti&lt;span class="_ _7"&gt;&lt;/span&gt;ng f&lt;span class="_ _7"&gt;&lt;/span&gt;ro&lt;span class="_ _7"&gt;&lt;/span&gt;m a bar&lt;span class="_ _7"&gt;&lt;/span&gt;g&lt;span class="_ _7"&gt;&lt;/span&gt;ain &lt;/span&gt;&lt;span style="display:inherit;clear:left;"&gt;pur&lt;span class="_ _7"&gt;&lt;/span&gt;ch&lt;span class="_ _7"&gt;&lt;/span&gt;as&lt;span class="_ _7"&gt;&lt;/span&gt;e, i&lt;span class="_ _7"&gt;&lt;/span&gt;s re&lt;span class="_ _7"&gt;&lt;/span&gt;cog&lt;span class="_ _7"&gt;&lt;/span&gt;ni&lt;span class="_ _7"&gt;&lt;/span&gt;s&lt;span class="_ _7"&gt;&lt;/span&gt;ed d&lt;span class="_ _7"&gt;&lt;/span&gt;ire&lt;span class="_ _7"&gt;&lt;/span&gt;ct&lt;span class="_ _7"&gt;&lt;/span&gt;ly as a g&lt;span class="_ _7"&gt;&lt;/span&gt;ai&lt;span class="_ _7"&gt;&lt;/span&gt;n in th&lt;span class="_ _7"&gt;&lt;/span&gt;e in&lt;span class="_ _7"&gt;&lt;/span&gt;co&lt;span class="_ _7"&gt;&lt;/span&gt;me s&lt;span class="_ _7"&gt;&lt;/span&gt;ta&lt;span class="_ _7"&gt;&lt;/span&gt;tem&lt;span class="_ _7"&gt;&lt;/span&gt;ent&lt;span class="_ _7"&gt;&lt;/span&gt;. &lt;/span&gt;&lt;span style="display:inherit;clear:left;"&gt;In step&lt;span class="_ _2"&gt;&lt;/span&gt; acquisitions, a business combination occurs onl&lt;span class="_ _2"&gt;&lt;/span&gt;y on the&lt;span class="_ _2"&gt;&lt;/span&gt; date &lt;/span&gt;&lt;span style="display:inherit;clear:left;"&gt;control is&lt;span class="_ _2"&gt;&lt;/span&gt; achieved. T&lt;span class="_ _6"&gt;&lt;/span&gt;ransactions with non&lt;span class="_ _2"&gt;&lt;/span&gt;-controlling&lt;span class="_ _2"&gt;&lt;/span&gt; interest are &lt;/span&gt;&lt;span style="display:inherit;clear:left;"&gt;re&lt;span class="_ _7"&gt;&lt;/span&gt;cog&lt;span class="_ _7"&gt;&lt;/span&gt;ni&lt;span class="_ _7"&gt;&lt;/span&gt;s&lt;span class="_ _7"&gt;&lt;/span&gt;ed w&lt;span class="_ _7"&gt;&lt;/span&gt;ith&lt;span class="_ _7"&gt;&lt;/span&gt;in eq&lt;span class="_ _7"&gt;&lt;/span&gt;ui&lt;span class="_ _7"&gt;&lt;/span&gt;t&lt;span class="_ _7"&gt;&lt;/span&gt;y as lo&lt;span class="_ _7"&gt;&lt;/span&gt;ng as c&lt;span class="_ _7"&gt;&lt;/span&gt;on&lt;span class="_ _7"&gt;&lt;/span&gt;tro&lt;span class="_ _7"&gt;&lt;/span&gt;l of t&lt;span class="_ _7"&gt;&lt;/span&gt;he s&lt;span class="_ _7"&gt;&lt;/span&gt;ub&lt;span class="_ _7"&gt;&lt;/span&gt;si&lt;span class="_ _7"&gt;&lt;/span&gt;dia&lt;span class="_ _7"&gt;&lt;/span&gt;r&lt;span class="_ _7"&gt;&lt;/span&gt;y i&lt;span class="_ _7"&gt;&lt;/span&gt;s &lt;/span&gt;&lt;span style="display:inherit;clear:left;"&gt;retained. &lt;/span&gt;&lt;span style="display:inherit;clear:left;"&gt;In acquisitions&lt;span class="_ _2"&gt;&lt;/span&gt; that inv&lt;span class="_ _2"&gt;&lt;/span&gt;olve parties under common&lt;span class="_ _2"&gt;&lt;/span&gt; control V&lt;span class="_ _2"&gt;&lt;/span&gt;olvo &lt;/span&gt;&lt;span style="display:inherit;clear:left;"&gt;Car Group&lt;span class="_ _2"&gt;&lt;/span&gt; applies predeces&lt;span class="_ _7"&gt;&lt;/span&gt;sor accounting,&lt;span class="_ _2"&gt;&lt;/span&gt; meaning that&lt;span class="_ _2"&gt;&lt;/span&gt; the &lt;/span&gt;&lt;span style="display:inherit;clear:left;"&gt;acquirer consolidat&lt;span class="_ _2"&gt;&lt;/span&gt;e&lt;span class="_ _7"&gt;&lt;/span&gt;s the&lt;span class="_ _2"&gt;&lt;/span&gt; predece&lt;span class="_ _7"&gt;&lt;/span&gt;ssor&lt;span class="_ _7"&gt;&lt;/span&gt;s’ respective carrying val&lt;span class="_ _2"&gt;&lt;/span&gt;ue&lt;span class="_ _7"&gt;&lt;/span&gt;s &lt;/span&gt;&lt;span style="display:inherit;clear:left;"&gt;for a&lt;span class="_ _7"&gt;&lt;/span&gt;s&lt;span class="_ _7"&gt;&lt;/span&gt;s&lt;span class="_ _7"&gt;&lt;/span&gt;et&lt;span class="_ _7"&gt;&lt;/span&gt;s and l&lt;span class="_ _7"&gt;&lt;/span&gt;iab&lt;span class="_ _7"&gt;&lt;/span&gt;il&lt;span class="_ _7"&gt;&lt;/span&gt;iti&lt;span class="_ _7"&gt;&lt;/span&gt;es&lt;span class="_ _7"&gt;&lt;/span&gt;. T&lt;span class="_ _7"&gt;&lt;/span&gt;he&lt;span class="_ _7"&gt;&lt;/span&gt;s&lt;span class="_ _7"&gt;&lt;/span&gt;e are t&lt;span class="_ _7"&gt;&lt;/span&gt;he c&lt;span class="_ _7"&gt;&lt;/span&gt;ar&lt;span class="_ _7"&gt;&lt;/span&gt;r&lt;span class="_ _7"&gt;&lt;/span&gt;yi&lt;span class="_ _7"&gt;&lt;/span&gt;ng va&lt;span class="_ _7"&gt;&lt;/span&gt;lue&lt;span class="_ _7"&gt;&lt;/span&gt;s th&lt;span class="_ _7"&gt;&lt;/span&gt;at ar&lt;span class="_ _7"&gt;&lt;/span&gt;e &lt;/span&gt;&lt;span style="display:inherit;clear:left;"&gt;re&lt;span class="_ _7"&gt;&lt;/span&gt;lat&lt;span class="_ _7"&gt;&lt;/span&gt;ed to t&lt;span class="_ _7"&gt;&lt;/span&gt;he ac&lt;span class="_ _7"&gt;&lt;/span&gt;qu&lt;span class="_ _7"&gt;&lt;/span&gt;ire&lt;span class="_ _7"&gt;&lt;/span&gt;d en&lt;span class="_ _7"&gt;&lt;/span&gt;tit&lt;span class="_ _7"&gt;&lt;/span&gt;y f&lt;span class="_ _7"&gt;&lt;/span&gt;ro&lt;span class="_ _7"&gt;&lt;/span&gt;m th&lt;span class="_ _7"&gt;&lt;/span&gt;e co&lt;span class="_ _7"&gt;&lt;/span&gt;ns&lt;span class="_ _7"&gt;&lt;/span&gt;ol&lt;span class="_ _7"&gt;&lt;/span&gt;ida&lt;span class="_ _7"&gt;&lt;/span&gt;ted f&lt;span class="_ _7"&gt;&lt;/span&gt;in&lt;span class="_ _7"&gt;&lt;/span&gt;an&lt;span class="_ _7"&gt;&lt;/span&gt;ci&lt;span class="_ _7"&gt;&lt;/span&gt;al s&lt;span class="_ _7"&gt;&lt;/span&gt;ta&lt;span class="_ _7"&gt;&lt;/span&gt;te-&lt;/span&gt;&lt;span style="display:inherit;clear:left;"&gt;me&lt;span class="_ _7"&gt;&lt;/span&gt;nts o&lt;span class="_ _7"&gt;&lt;/span&gt;f th&lt;span class="_ _7"&gt;&lt;/span&gt;e hig&lt;span class="_ _7"&gt;&lt;/span&gt;he&lt;span class="_ _7"&gt;&lt;/span&gt;s&lt;span class="_ _7"&gt;&lt;/span&gt;t ent&lt;span class="_ _7"&gt;&lt;/span&gt;it&lt;span class="_ _7"&gt;&lt;/span&gt;y th&lt;span class="_ _7"&gt;&lt;/span&gt;at h&lt;span class="_ _7"&gt;&lt;/span&gt;as c&lt;span class="_ _7"&gt;&lt;/span&gt;omm&lt;span class="_ _7"&gt;&lt;/span&gt;on c&lt;span class="_ _7"&gt;&lt;/span&gt;ont&lt;span class="_ _7"&gt;&lt;/span&gt;ro&lt;span class="_ _7"&gt;&lt;/span&gt;l, a&lt;span class="_ _7"&gt;&lt;/span&gt;nd f&lt;span class="_ _7"&gt;&lt;/span&gt;or wh&lt;span class="_ _7"&gt;&lt;/span&gt;ic&lt;span class="_ _7"&gt;&lt;/span&gt;h &lt;/span&gt;&lt;span style="display:inherit;clear:left;"&gt;consolidated financial&lt;span class="_ _2"&gt;&lt;/span&gt; st&lt;span class="_ _7"&gt;&lt;/span&gt;atements a&lt;span class="_ _2"&gt;&lt;/span&gt;re prepared. Any difference &lt;/span&gt;&lt;span style="display:inherit;clear:left;"&gt;be&lt;span class="_ _7"&gt;&lt;/span&gt;tw&lt;span class="_ _7"&gt;&lt;/span&gt;ee&lt;span class="_ _7"&gt;&lt;/span&gt;n the c&lt;span class="_ _7"&gt;&lt;/span&gt;os&lt;span class="_ _7"&gt;&lt;/span&gt;t o&lt;span class="_ _7"&gt;&lt;/span&gt;f the c&lt;span class="_ _7"&gt;&lt;/span&gt;om&lt;span class="_ _7"&gt;&lt;/span&gt;bin&lt;span class="_ _7"&gt;&lt;/span&gt;at&lt;span class="_ _7"&gt;&lt;/span&gt;ion (&lt;span class="_ _7"&gt;&lt;/span&gt;i.&lt;span class="_ _7"&gt;&lt;/span&gt;e. th&lt;span class="_ _7"&gt;&lt;/span&gt;e fa&lt;span class="_ _7"&gt;&lt;/span&gt;ir va&lt;span class="_ _7"&gt;&lt;/span&gt;lue o&lt;span class="_ _7"&gt;&lt;/span&gt;f th&lt;span class="_ _7"&gt;&lt;/span&gt;e con-&lt;/span&gt;&lt;span style="display:inherit;clear:left;"&gt;si&lt;span class="_ _7"&gt;&lt;/span&gt;der&lt;span class="_ _7"&gt;&lt;/span&gt;at&lt;span class="_ _7"&gt;&lt;/span&gt;ion p&lt;span class="_ _7"&gt;&lt;/span&gt;ai&lt;span class="_ _7"&gt;&lt;/span&gt;d) a&lt;span class="_ _7"&gt;&lt;/span&gt;nd th&lt;span class="_ _7"&gt;&lt;/span&gt;e c&lt;span class="_ _7"&gt;&lt;/span&gt;arr&lt;span class="_ _9"&gt;&lt;/span&gt;yin&lt;span class="_ _7"&gt;&lt;/span&gt;g val&lt;span class="_ _7"&gt;&lt;/span&gt;ue&lt;span class="_ _7"&gt;&lt;/span&gt;s for a&lt;span class="_ _7"&gt;&lt;/span&gt;s&lt;span class="_ _7"&gt;&lt;/span&gt;s&lt;span class="_ _7"&gt;&lt;/span&gt;et&lt;span class="_ _7"&gt;&lt;/span&gt;s and l&lt;span class="_ _7"&gt;&lt;/span&gt;ia&lt;span class="_ _7"&gt;&lt;/span&gt;bil&lt;span class="_ _7"&gt;&lt;/span&gt;iti&lt;span class="_ _7"&gt;&lt;/span&gt;es i&lt;span class="_ _7"&gt;&lt;/span&gt;s &lt;/span&gt;&lt;span style="display:inherit;clear:left;"&gt;recognis&lt;span class="_ _7"&gt;&lt;/span&gt;ed directly in&lt;span class="_ _2"&gt;&lt;/span&gt; e&lt;span class="_ _7"&gt;&lt;/span&gt;quity within retained earnings&lt;span class="_ _7"&gt;&lt;/span&gt;. &lt;/span&gt;&lt;span style="display:inherit;clear:left;"&gt;All acq&lt;span class="_ _2"&gt;&lt;/span&gt;uisition-related&lt;span class="_ _2"&gt;&lt;/span&gt; trans&lt;span class="_ _7"&gt;&lt;/span&gt;action costs are&lt;span class="_ _2"&gt;&lt;/span&gt; expensed&lt;span class="_ _7"&gt;&lt;/span&gt;.&lt;/span&gt;&lt;span style="display:inherit;clear:left;"&gt;Divestments&lt;/span&gt;&lt;span style="display:inherit;clear:left;"&gt;Co&lt;span class="_ _7"&gt;&lt;/span&gt;mp&lt;span class="_ _7"&gt;&lt;/span&gt;ani&lt;span class="_ _7"&gt;&lt;/span&gt;es t&lt;span class="_ _7"&gt;&lt;/span&gt;ha&lt;span class="_ _7"&gt;&lt;/span&gt;t have b&lt;span class="_ _7"&gt;&lt;/span&gt;ee&lt;span class="_ _7"&gt;&lt;/span&gt;n di&lt;span class="_ _7"&gt;&lt;/span&gt;ve&lt;span class="_ _7"&gt;&lt;/span&gt;st&lt;span class="_ _7"&gt;&lt;/span&gt;ed a&lt;span class="_ _7"&gt;&lt;/span&gt;re in&lt;span class="_ _7"&gt;&lt;/span&gt;clu&lt;span class="_ _7"&gt;&lt;/span&gt;de&lt;span class="_ _7"&gt;&lt;/span&gt;d in th&lt;span class="_ _7"&gt;&lt;/span&gt;e co&lt;span class="_ _7"&gt;&lt;/span&gt;ns&lt;span class="_ _7"&gt;&lt;/span&gt;ol&lt;span class="_ _7"&gt;&lt;/span&gt;id&lt;span class="_ _7"&gt;&lt;/span&gt;ate&lt;span class="_ _7"&gt;&lt;/span&gt;d &lt;/span&gt;&lt;span style="display:inherit;clear:left;"&gt;fi&lt;span class="_ _7"&gt;&lt;/span&gt;nan&lt;span class="_ _7"&gt;&lt;/span&gt;ci&lt;span class="_ _7"&gt;&lt;/span&gt;al s&lt;span class="_ _7"&gt;&lt;/span&gt;ta&lt;span class="_ _7"&gt;&lt;/span&gt;tem&lt;span class="_ _7"&gt;&lt;/span&gt;ent&lt;span class="_ _7"&gt;&lt;/span&gt;s u&lt;span class="_ _7"&gt;&lt;/span&gt;p to an&lt;span class="_ _7"&gt;&lt;/span&gt;d inc&lt;span class="_ _7"&gt;&lt;/span&gt;lud&lt;span class="_ _7"&gt;&lt;/span&gt;ing t&lt;span class="_ _7"&gt;&lt;/span&gt;he d&lt;span class="_ _7"&gt;&lt;/span&gt;ate wh&lt;span class="_ _7"&gt;&lt;/span&gt;en Volvo C&lt;span class="_ _7"&gt;&lt;/span&gt;ar &lt;/span&gt;&lt;span style="display:inherit;clear:left;"&gt;Gro&lt;span class="_ _7"&gt;&lt;/span&gt;up lo&lt;span class="_ _7"&gt;&lt;/span&gt;s&lt;span class="_ _7"&gt;&lt;/span&gt;es c&lt;span class="_ _7"&gt;&lt;/span&gt;on&lt;span class="_ _7"&gt;&lt;/span&gt;tro&lt;span class="_ _7"&gt;&lt;/span&gt;l&lt;span class="_ _7"&gt;&lt;/span&gt;. &lt;/span&gt;&lt;span style="display:inherit;clear:left;"&gt;In di&lt;span class="_ _7"&gt;&lt;/span&gt;ve&lt;span class="_ _7"&gt;&lt;/span&gt;st&lt;span class="_ _7"&gt;&lt;/span&gt;me&lt;span class="_ _7"&gt;&lt;/span&gt;nt&lt;span class="_ _7"&gt;&lt;/span&gt;s tha&lt;span class="_ _7"&gt;&lt;/span&gt;t invo&lt;span class="_ _7"&gt;&lt;/span&gt;lve p&lt;span class="_ _7"&gt;&lt;/span&gt;ar&lt;span class="_ _7"&gt;&lt;/span&gt;ti&lt;span class="_ _7"&gt;&lt;/span&gt;e&lt;span class="_ _7"&gt;&lt;/span&gt;s und&lt;span class="_ _7"&gt;&lt;/span&gt;er c&lt;span class="_ _7"&gt;&lt;/span&gt;om&lt;span class="_ _7"&gt;&lt;/span&gt;mo&lt;span class="_ _7"&gt;&lt;/span&gt;n con&lt;span class="_ _7"&gt;&lt;/span&gt;tro&lt;span class="_ _7"&gt;&lt;/span&gt;l&lt;span class="_ _7"&gt;&lt;/span&gt;, any &lt;/span&gt;&lt;span style="display:inherit;clear:left;"&gt;di&lt;span class="_ _7"&gt;&lt;/span&gt;f&lt;span class="_ _7"&gt;&lt;/span&gt;fe&lt;span class="_ _7"&gt;&lt;/span&gt;re&lt;span class="_ _7"&gt;&lt;/span&gt;nce b&lt;span class="_ _7"&gt;&lt;/span&gt;et&lt;span class="_ _7"&gt;&lt;/span&gt;w&lt;span class="_ _7"&gt;&lt;/span&gt;ee&lt;span class="_ _7"&gt;&lt;/span&gt;n the c&lt;span class="_ _7"&gt;&lt;/span&gt;os&lt;span class="_ _7"&gt;&lt;/span&gt;t o&lt;span class="_ _7"&gt;&lt;/span&gt;f the d&lt;span class="_ _7"&gt;&lt;/span&gt;ive&lt;span class="_ _7"&gt;&lt;/span&gt;s&lt;span class="_ _7"&gt;&lt;/span&gt;tm&lt;span class="_ _7"&gt;&lt;/span&gt;ent (&lt;span class="_ _7"&gt;&lt;/span&gt;i.e&lt;span class="_ _7"&gt;&lt;/span&gt;. th&lt;span class="_ _7"&gt;&lt;/span&gt;e fa&lt;span class="_ _7"&gt;&lt;/span&gt;ir va&lt;span class="_ _7"&gt;&lt;/span&gt;lue o&lt;span class="_ _7"&gt;&lt;/span&gt;f &lt;/span&gt;&lt;span style="display:inherit;clear:left;"&gt;the c&lt;span class="_ _7"&gt;&lt;/span&gt;on&lt;span class="_ _7"&gt;&lt;/span&gt;si&lt;span class="_ _7"&gt;&lt;/span&gt;de&lt;span class="_ _7"&gt;&lt;/span&gt;rat&lt;span class="_ _7"&gt;&lt;/span&gt;io&lt;span class="_ _7"&gt;&lt;/span&gt;n re&lt;span class="_ _7"&gt;&lt;/span&gt;cei&lt;span class="_ _7"&gt;&lt;/span&gt;ve&lt;span class="_ _7"&gt;&lt;/span&gt;d) a&lt;span class="_ _7"&gt;&lt;/span&gt;nd th&lt;span class="_ _7"&gt;&lt;/span&gt;e ca&lt;span class="_ _7"&gt;&lt;/span&gt;rr&lt;span class="_ _9"&gt;&lt;/span&gt;yin&lt;span class="_ _7"&gt;&lt;/span&gt;g valu&lt;span class="_ _7"&gt;&lt;/span&gt;e&lt;span class="_ _7"&gt;&lt;/span&gt;s for a&lt;span class="_ _7"&gt;&lt;/span&gt;s&lt;span class="_ _7"&gt;&lt;/span&gt;se&lt;span class="_ _7"&gt;&lt;/span&gt;ts a&lt;span class="_ _7"&gt;&lt;/span&gt;nd &lt;/span&gt;&lt;span style="display:inherit;clear:left;"&gt;liabilities is recognise&lt;span class="_ _7"&gt;&lt;/span&gt;d directly in&lt;span class="_ _2"&gt;&lt;/span&gt; equit&lt;span class="_ _7"&gt;&lt;/span&gt;y within retained earnings&lt;span class="_ _7"&gt;&lt;/span&gt;.&lt;/span&gt;</t>
  </si>
  <si>
    <t>f1__s8__6__284</t>
  </si>
  <si>
    <t>ifrs-full:DescriptionOfAccountingPolicyForBusinessCombinationsExplanatory</t>
  </si>
  <si>
    <t>f1__s8__6__285</t>
  </si>
  <si>
    <t>ifrs-full:DescriptionOfAccountingPolicyForGoodwillExplanatory</t>
  </si>
  <si>
    <t>f1__s8__6__287</t>
  </si>
  <si>
    <t>ifrs-full:DisclosureOfEntitysReportableSegmentsExplanatory</t>
  </si>
  <si>
    <t>&lt;span style="display:inherit;clear:left;"&gt;NOT&lt;span class="_ _7"&gt;&lt;/span&gt;E 28&lt;/span&gt;&lt;span style="display:inherit;clear:left;"&gt;SEGMENT RE&lt;span class="_ _2"&gt;&lt;/span&gt;P&lt;span class="_ _7"&gt;&lt;/span&gt;ORTING&lt;/span&gt;&lt;span style="display:inherit;clear:left;"&gt;ACCOUNTING&lt;span class="_ _2"&gt;&lt;/span&gt; POLICIES&lt;/span&gt;&lt;span style="display:inherit;clear:left;"&gt;&lt;span&gt;&lt;span style="display:inherit;clear:left;"&gt;Volvo Ca&lt;span class="_ _7"&gt;&lt;/span&gt;r Gro&lt;span class="_ _7"&gt;&lt;/span&gt;up i&lt;span class="_ _7"&gt;&lt;/span&gt;s co&lt;span class="_ _7"&gt;&lt;/span&gt;ns&lt;span class="_ _7"&gt;&lt;/span&gt;id&lt;span class="_ _7"&gt;&lt;/span&gt;ere&lt;span class="_ _7"&gt;&lt;/span&gt;d to h&lt;span class="_ _7"&gt;&lt;/span&gt;ave on&lt;span class="_ _7"&gt;&lt;/span&gt;e op&lt;span class="_ _7"&gt;&lt;/span&gt;er&lt;span class="_ _7"&gt;&lt;/span&gt;ati&lt;span class="_ _7"&gt;&lt;/span&gt;ng s&lt;span class="_ _7"&gt;&lt;/span&gt;eg&lt;span class="_ _7"&gt;&lt;/span&gt;me&lt;span class="_ _7"&gt;&lt;/span&gt;nt.&lt;/span&gt;&lt;/span&gt; &lt;/span&gt;&lt;span style="display:inherit;clear:left;"&gt;CRITICAL A&lt;span class="_ _2"&gt;&lt;/span&gt;CC&lt;span class="_ _7"&gt;&lt;/span&gt;OUNTING ESTIMA&lt;span class="_ _6"&gt;&lt;/span&gt;TES AND JUDGEMENTS&lt;/span&gt;&lt;span style="display:inherit;clear:left;"&gt;Cri&lt;span class="_ _7"&gt;&lt;/span&gt;tic&lt;span class="_ _7"&gt;&lt;/span&gt;a&lt;span class="_ _7"&gt;&lt;/span&gt;l jud&lt;span class="_ _7"&gt;&lt;/span&gt;gem&lt;span class="_ _7"&gt;&lt;/span&gt;en&lt;span class="_ _7"&gt;&lt;/span&gt;ts i&lt;span class="_ _7"&gt;&lt;/span&gt;n the d&lt;span class="_ _7"&gt;&lt;/span&gt;ete&lt;span class="_ _7"&gt;&lt;/span&gt;rm&lt;span class="_ _7"&gt;&lt;/span&gt;in&lt;span class="_ _7"&gt;&lt;/span&gt;ati&lt;span class="_ _7"&gt;&lt;/span&gt;on of Volvo C&lt;span class="_ _7"&gt;&lt;/span&gt;ar G&lt;span class="_ _7"&gt;&lt;/span&gt;ro&lt;span class="_ _7"&gt;&lt;/span&gt;up h&lt;span class="_ _7"&gt;&lt;/span&gt;avi&lt;span class="_ _7"&gt;&lt;/span&gt;ng &lt;/span&gt;&lt;span style="display:inherit;clear:left;"&gt;on&lt;span class="_ _7"&gt;&lt;/span&gt;e op&lt;span class="_ _7"&gt;&lt;/span&gt;er&lt;span class="_ _7"&gt;&lt;/span&gt;ati&lt;span class="_ _7"&gt;&lt;/span&gt;ng se&lt;span class="_ _7"&gt;&lt;/span&gt;gm&lt;span class="_ _7"&gt;&lt;/span&gt;en&lt;span class="_ _7"&gt;&lt;/span&gt;t re&lt;span class="_ _7"&gt;&lt;/span&gt;lat&lt;span class="_ _7"&gt;&lt;/span&gt;es to t&lt;span class="_ _7"&gt;&lt;/span&gt;he le&lt;span class="_ _7"&gt;&lt;/span&gt;vel o&lt;span class="_ _7"&gt;&lt;/span&gt;f int&lt;span class="_ _7"&gt;&lt;/span&gt;eg&lt;span class="_ _7"&gt;&lt;/span&gt;rat&lt;span class="_ _7"&gt;&lt;/span&gt;io&lt;span class="_ _7"&gt;&lt;/span&gt;n acr&lt;span class="_ _7"&gt;&lt;/span&gt;os&lt;span class="_ _7"&gt;&lt;/span&gt;s t&lt;span class="_ _7"&gt;&lt;/span&gt;he &lt;/span&gt;&lt;span style="display:inherit;clear:left;"&gt;dif&lt;span class="_ _7"&gt;&lt;/span&gt;ferent functions&lt;span class="_ _2"&gt;&lt;/span&gt; of the Group,&lt;span class="_ _2"&gt;&lt;/span&gt; the identification of&lt;span class="_ _2"&gt;&lt;/span&gt; the Chief &lt;/span&gt;&lt;span style="display:inherit;clear:left;"&gt;op&lt;span class="_ _7"&gt;&lt;/span&gt;er&lt;span class="_ _7"&gt;&lt;/span&gt;ati&lt;span class="_ _7"&gt;&lt;/span&gt;ng de&lt;span class="_ _7"&gt;&lt;/span&gt;ci&lt;span class="_ _7"&gt;&lt;/span&gt;si&lt;span class="_ _7"&gt;&lt;/span&gt;on-mak&lt;span class="_ _7"&gt;&lt;/span&gt;in&lt;span class="_ _7"&gt;&lt;/span&gt;g bo&lt;span class="_ _7"&gt;&lt;/span&gt;dy a&lt;span class="_ _7"&gt;&lt;/span&gt;nd h&lt;span class="_ _7"&gt;&lt;/span&gt;ow re&lt;span class="_ _7"&gt;&lt;/span&gt;s&lt;span class="_ _7"&gt;&lt;/span&gt;ou&lt;span class="_ _7"&gt;&lt;/span&gt;rc&lt;span class="_ _7"&gt;&lt;/span&gt;es a&lt;span class="_ _7"&gt;&lt;/span&gt;re al&lt;span class="_ _7"&gt;&lt;/span&gt;loc&lt;span class="_ _7"&gt;&lt;/span&gt;at&lt;span class="_ _7"&gt;&lt;/span&gt;ed&lt;span class="_ _7"&gt;&lt;/span&gt;. &lt;/span&gt;&lt;span style="display:inherit;clear:left;"&gt;Th&lt;span class="_ _7"&gt;&lt;/span&gt;e act&lt;span class="_ _7"&gt;&lt;/span&gt;iv&lt;span class="_ _7"&gt;&lt;/span&gt;iti&lt;span class="_ _7"&gt;&lt;/span&gt;e&lt;span class="_ _7"&gt;&lt;/span&gt;s tha&lt;span class="_ _7"&gt;&lt;/span&gt;t the a&lt;span class="_ _7"&gt;&lt;/span&gt;uto&lt;span class="_ _7"&gt;&lt;/span&gt;mot&lt;span class="_ _7"&gt;&lt;/span&gt;iv&lt;span class="_ _7"&gt;&lt;/span&gt;e bu&lt;span class="_ _7"&gt;&lt;/span&gt;sin&lt;span class="_ _7"&gt;&lt;/span&gt;e&lt;span class="_ _7"&gt;&lt;/span&gt;s&lt;span class="_ _7"&gt;&lt;/span&gt;s eng&lt;span class="_ _7"&gt;&lt;/span&gt;age i&lt;span class="_ _7"&gt;&lt;/span&gt;n re&lt;span class="_ _7"&gt;&lt;/span&gt;la&lt;span class="_ _7"&gt;&lt;/span&gt;te&lt;span class="_ _7"&gt;&lt;/span&gt;s to &lt;/span&gt;&lt;span style="display:inherit;clear:left;"&gt;development,&lt;span class="_ _2"&gt;&lt;/span&gt; design&lt;span class="_ _7"&gt;&lt;/span&gt;, manufacturing,&lt;span class="_ _2"&gt;&lt;/span&gt; as&lt;span class="_ _7"&gt;&lt;/span&gt;sembly and&lt;span class="_ _2"&gt;&lt;/span&gt; s&lt;span class="_ _7"&gt;&lt;/span&gt;ale of&lt;span class="_ _2"&gt;&lt;/span&gt; vehicles, &lt;/span&gt;&lt;span style="display:inherit;clear:left;"&gt;as we&lt;span class="_ _7"&gt;&lt;/span&gt;ll a&lt;span class="_ _7"&gt;&lt;/span&gt;s sa&lt;span class="_ _7"&gt;&lt;/span&gt;le o&lt;span class="_ _7"&gt;&lt;/span&gt;f rel&lt;span class="_ _7"&gt;&lt;/span&gt;at&lt;span class="_ _7"&gt;&lt;/span&gt;ed p&lt;span class="_ _7"&gt;&lt;/span&gt;ar&lt;span class="_ _7"&gt;&lt;/span&gt;t&lt;span class="_ _7"&gt;&lt;/span&gt;s an&lt;span class="_ _7"&gt;&lt;/span&gt;d ac&lt;span class="_ _7"&gt;&lt;/span&gt;ce&lt;span class="_ _7"&gt;&lt;/span&gt;s&lt;span class="_ _7"&gt;&lt;/span&gt;so&lt;span class="_ _7"&gt;&lt;/span&gt;ri&lt;span class="_ _7"&gt;&lt;/span&gt;es f&lt;span class="_ _7"&gt;&lt;/span&gt;ro&lt;span class="_ _7"&gt;&lt;/span&gt;m wh&lt;span class="_ _7"&gt;&lt;/span&gt;ich Volvo &lt;/span&gt;&lt;span style="display:inherit;clear:left;"&gt;Ca&lt;span class="_ _7"&gt;&lt;/span&gt;rs d&lt;span class="_ _7"&gt;&lt;/span&gt;er&lt;span class="_ _7"&gt;&lt;/span&gt;ive&lt;span class="_ _7"&gt;&lt;/span&gt;s i&lt;span class="_ _7"&gt;&lt;/span&gt;ts r&lt;span class="_ _7"&gt;&lt;/span&gt;even&lt;span class="_ _7"&gt;&lt;/span&gt;ue&lt;span class="_ _7"&gt;&lt;/span&gt;s&lt;span class="_ _7"&gt;&lt;/span&gt;. All o&lt;span class="_ _7"&gt;&lt;/span&gt;f th&lt;span class="_ _7"&gt;&lt;/span&gt;e act&lt;span class="_ _7"&gt;&lt;/span&gt;iv&lt;span class="_ _7"&gt;&lt;/span&gt;it&lt;span class="_ _7"&gt;&lt;/span&gt;ie&lt;span class="_ _7"&gt;&lt;/span&gt;s of th&lt;span class="_ _7"&gt;&lt;/span&gt;e Gr&lt;span class="_ _7"&gt;&lt;/span&gt;ou&lt;span class="_ _7"&gt;&lt;/span&gt;p are n&lt;span class="_ _7"&gt;&lt;/span&gt;ot &lt;/span&gt;&lt;span style="display:inherit;clear:left;"&gt;man&lt;span class="_ _7"&gt;&lt;/span&gt;ag&lt;span class="_ _7"&gt;&lt;/span&gt;ed i&lt;span class="_ _7"&gt;&lt;/span&gt;ndi&lt;span class="_ _7"&gt;&lt;/span&gt;v&lt;span class="_ _7"&gt;&lt;/span&gt;idu&lt;span class="_ _7"&gt;&lt;/span&gt;al&lt;span class="_ _7"&gt;&lt;/span&gt;ly bu&lt;span class="_ _7"&gt;&lt;/span&gt;t glo&lt;span class="_ _7"&gt;&lt;/span&gt;ba&lt;span class="_ _7"&gt;&lt;/span&gt;lly o&lt;span class="_ _7"&gt;&lt;/span&gt;n a hig&lt;span class="_ _7"&gt;&lt;/span&gt;hly i&lt;span class="_ _7"&gt;&lt;/span&gt;nteg&lt;span class="_ _7"&gt;&lt;/span&gt;r&lt;span class="_ _7"&gt;&lt;/span&gt;ate&lt;span class="_ _7"&gt;&lt;/span&gt;d ba&lt;span class="_ _7"&gt;&lt;/span&gt;si&lt;span class="_ _7"&gt;&lt;/span&gt;s. &lt;/span&gt;&lt;span style="display:inherit;clear:left;"&gt;Volvo Ca&lt;span class="_ _7"&gt;&lt;/span&gt;r Gro&lt;span class="_ _7"&gt;&lt;/span&gt;up i&lt;span class="_ _7"&gt;&lt;/span&gt;s ma&lt;span class="_ _7"&gt;&lt;/span&gt;nag&lt;span class="_ _7"&gt;&lt;/span&gt;ed by t&lt;span class="_ _7"&gt;&lt;/span&gt;he E&lt;span class="_ _7"&gt;&lt;/span&gt;xe&lt;span class="_ _7"&gt;&lt;/span&gt;cuti&lt;span class="_ _7"&gt;&lt;/span&gt;ve M&lt;span class="_ _7"&gt;&lt;/span&gt;an&lt;span class="_ _7"&gt;&lt;/span&gt;age&lt;span class="_ _7"&gt;&lt;/span&gt;men&lt;span class="_ _7"&gt;&lt;/span&gt;t T&lt;span class="_ _2"&gt;&lt;/span&gt;ea&lt;span class="_ _7"&gt;&lt;/span&gt;m &lt;/span&gt;&lt;span style="display:inherit;clear:left;"&gt;(EMT&lt;span class="_ _7"&gt;&lt;/span&gt;) wi&lt;span class="_ _7"&gt;&lt;/span&gt;th 8 (8) memb&lt;span class="_ _7"&gt;&lt;/span&gt;er&lt;span class="_ _7"&gt;&lt;/span&gt;s&lt;span class="_ _7"&gt;&lt;/span&gt;, le&lt;span class="_ _7"&gt;&lt;/span&gt;d by th&lt;span class="_ _7"&gt;&lt;/span&gt;e CEO an&lt;span class="_ _7"&gt;&lt;/span&gt;d ove&lt;span class="_ _7"&gt;&lt;/span&gt;rs&lt;span class="_ _7"&gt;&lt;/span&gt;e&lt;span class="_ _7"&gt;&lt;/span&gt;en by t&lt;span class="_ _7"&gt;&lt;/span&gt;he &lt;/span&gt;&lt;span style="display:inherit;clear:left;"&gt;Bo&lt;span class="_ _7"&gt;&lt;/span&gt;ar&lt;span class="_ _7"&gt;&lt;/span&gt;d of D&lt;span class="_ _7"&gt;&lt;/span&gt;ire&lt;span class="_ _7"&gt;&lt;/span&gt;ct&lt;span class="_ _7"&gt;&lt;/span&gt;or&lt;span class="_ _7"&gt;&lt;/span&gt;s&lt;span class="_ _7"&gt;&lt;/span&gt;. EMT ta&lt;span class="_ _7"&gt;&lt;/span&gt;ke all s&lt;span class="_ _7"&gt;&lt;/span&gt;ig&lt;span class="_ _7"&gt;&lt;/span&gt;ni&lt;span class="_ _7"&gt;&lt;/span&gt;fi&lt;span class="_ _7"&gt;&lt;/span&gt;ca&lt;span class="_ _7"&gt;&lt;/span&gt;nt op&lt;span class="_ _7"&gt;&lt;/span&gt;er&lt;span class="_ _7"&gt;&lt;/span&gt;at&lt;span class="_ _7"&gt;&lt;/span&gt;ing d&lt;span class="_ _7"&gt;&lt;/span&gt;eci&lt;span class="_ _7"&gt;&lt;/span&gt;si&lt;span class="_ _7"&gt;&lt;/span&gt;on&lt;span class="_ _7"&gt;&lt;/span&gt;s an&lt;span class="_ _7"&gt;&lt;/span&gt;d &lt;/span&gt;&lt;span style="display:inherit;clear:left;"&gt;me&lt;span class="_ _7"&gt;&lt;/span&gt;mbe&lt;span class="_ _7"&gt;&lt;/span&gt;r&lt;span class="_ _7"&gt;&lt;/span&gt;s of EMT h&lt;span class="_ _7"&gt;&lt;/span&gt;ave th&lt;span class="_ _7"&gt;&lt;/span&gt;e re&lt;span class="_ _7"&gt;&lt;/span&gt;s&lt;span class="_ _7"&gt;&lt;/span&gt;po&lt;span class="_ _7"&gt;&lt;/span&gt;ns&lt;span class="_ _7"&gt;&lt;/span&gt;ibi&lt;span class="_ _7"&gt;&lt;/span&gt;li&lt;span class="_ _7"&gt;&lt;/span&gt;t&lt;span class="_ _7"&gt;&lt;/span&gt;y for i&lt;span class="_ _7"&gt;&lt;/span&gt;mp&lt;span class="_ _7"&gt;&lt;/span&gt;lem&lt;span class="_ _7"&gt;&lt;/span&gt;ent&lt;span class="_ _7"&gt;&lt;/span&gt;ing t&lt;span class="_ _7"&gt;&lt;/span&gt;he de&lt;span class="_ _7"&gt;&lt;/span&gt;ci-&lt;/span&gt;&lt;span style="display:inherit;clear:left;"&gt;si&lt;span class="_ _7"&gt;&lt;/span&gt;on&lt;span class="_ _7"&gt;&lt;/span&gt;s in th&lt;span class="_ _7"&gt;&lt;/span&gt;eir r&lt;span class="_ _7"&gt;&lt;/span&gt;e&lt;span class="_ _7"&gt;&lt;/span&gt;sp&lt;span class="_ _7"&gt;&lt;/span&gt;ec&lt;span class="_ _7"&gt;&lt;/span&gt;tiv&lt;span class="_ _7"&gt;&lt;/span&gt;e are&lt;span class="_ _7"&gt;&lt;/span&gt;as&lt;span class="_ _7"&gt;&lt;/span&gt;. T&lt;span class="_ _7"&gt;&lt;/span&gt;he o&lt;span class="_ _7"&gt;&lt;/span&gt;pe&lt;span class="_ _7"&gt;&lt;/span&gt;rat&lt;span class="_ _7"&gt;&lt;/span&gt;ing d&lt;span class="_ _7"&gt;&lt;/span&gt;ec&lt;span class="_ _7"&gt;&lt;/span&gt;is&lt;span class="_ _7"&gt;&lt;/span&gt;io&lt;span class="_ _7"&gt;&lt;/span&gt;n-mak&lt;span class="_ _7"&gt;&lt;/span&gt;ing i&lt;span class="_ _7"&gt;&lt;/span&gt;s at &lt;/span&gt;&lt;span style="display:inherit;clear:left;"&gt;EMT leve&lt;span class="_ _7"&gt;&lt;/span&gt;l as a w&lt;span class="_ _7"&gt;&lt;/span&gt;ho&lt;span class="_ _7"&gt;&lt;/span&gt;le, h&lt;span class="_ _7"&gt;&lt;/span&gt;owe&lt;span class="_ _7"&gt;&lt;/span&gt;ver Volvo C&lt;span class="_ _7"&gt;&lt;/span&gt;ar G&lt;span class="_ _7"&gt;&lt;/span&gt;ro&lt;span class="_ _7"&gt;&lt;/span&gt;up co&lt;span class="_ _7"&gt;&lt;/span&gt;ns&lt;span class="_ _7"&gt;&lt;/span&gt;id&lt;span class="_ _7"&gt;&lt;/span&gt;er&lt;span class="_ _7"&gt;&lt;/span&gt;s th&lt;span class="_ _7"&gt;&lt;/span&gt;e CEO &lt;/span&gt;&lt;span style="display:inherit;clear:left;"&gt;to the b&lt;span class="_ _7"&gt;&lt;/span&gt;e Ch&lt;span class="_ _7"&gt;&lt;/span&gt;ie&lt;span class="_ _7"&gt;&lt;/span&gt;f op&lt;span class="_ _7"&gt;&lt;/span&gt;er&lt;span class="_ _7"&gt;&lt;/span&gt;ati&lt;span class="_ _7"&gt;&lt;/span&gt;ng de&lt;span class="_ _7"&gt;&lt;/span&gt;ci&lt;span class="_ _7"&gt;&lt;/span&gt;si&lt;span class="_ _7"&gt;&lt;/span&gt;on m&lt;span class="_ _7"&gt;&lt;/span&gt;aker a&lt;span class="_ _7"&gt;&lt;/span&gt;s the C&lt;span class="_ _7"&gt;&lt;/span&gt;EO ha&lt;span class="_ _7"&gt;&lt;/span&gt;s the a&lt;span class="_ _7"&gt;&lt;/span&gt;bi&lt;span class="_ _7"&gt;&lt;/span&gt;lit&lt;span class="_ _7"&gt;&lt;/span&gt;y &lt;/span&gt;&lt;span style="display:inherit;clear:left;"&gt;to o&lt;span class="_ _2"&gt;&lt;/span&gt;verride decisions made by&lt;span class="_ _2"&gt;&lt;/span&gt; the EM&lt;span class="_ _2"&gt;&lt;/span&gt;T&lt;span class="_ _2"&gt;&lt;/span&gt;. All&lt;span class="_ _2"&gt;&lt;/span&gt; subs&lt;span class="_ _7"&gt;&lt;/span&gt;tantial decisions&lt;span class="_ _2"&gt;&lt;/span&gt; &lt;/span&gt;&lt;span style="display:inherit;clear:left;"&gt;reg&lt;span class="_ _7"&gt;&lt;/span&gt;ar&lt;span class="_ _7"&gt;&lt;/span&gt;di&lt;span class="_ _7"&gt;&lt;/span&gt;ng all&lt;span class="_ _7"&gt;&lt;/span&gt;oc&lt;span class="_ _7"&gt;&lt;/span&gt;ati&lt;span class="_ _7"&gt;&lt;/span&gt;on o&lt;span class="_ _7"&gt;&lt;/span&gt;f re&lt;span class="_ _7"&gt;&lt;/span&gt;s&lt;span class="_ _7"&gt;&lt;/span&gt;our&lt;span class="_ _7"&gt;&lt;/span&gt;ce&lt;span class="_ _7"&gt;&lt;/span&gt;s as w&lt;span class="_ _7"&gt;&lt;/span&gt;el&lt;span class="_ _7"&gt;&lt;/span&gt;l as th&lt;span class="_ _7"&gt;&lt;/span&gt;e as&lt;span class="_ _7"&gt;&lt;/span&gt;s&lt;span class="_ _7"&gt;&lt;/span&gt;e&lt;span class="_ _7"&gt;&lt;/span&gt;s&lt;span class="_ _7"&gt;&lt;/span&gt;sm&lt;span class="_ _7"&gt;&lt;/span&gt;ent o&lt;span class="_ _7"&gt;&lt;/span&gt;f pe&lt;span class="_ _7"&gt;&lt;/span&gt;r&lt;span class="_ _2"&gt;&lt;/span&gt;-&lt;/span&gt;&lt;span style="display:inherit;clear:left;"&gt;for&lt;span class="_ _7"&gt;&lt;/span&gt;ma&lt;span class="_ _7"&gt;&lt;/span&gt;nc&lt;span class="_ _7"&gt;&lt;/span&gt;e is b&lt;span class="_ _7"&gt;&lt;/span&gt;as&lt;span class="_ _7"&gt;&lt;/span&gt;e&lt;span class="_ _7"&gt;&lt;/span&gt;d on Volvo C&lt;span class="_ _7"&gt;&lt;/span&gt;ar Gr&lt;span class="_ _7"&gt;&lt;/span&gt;ou&lt;span class="_ _7"&gt;&lt;/span&gt;p as a wh&lt;span class="_ _7"&gt;&lt;/span&gt;ol&lt;span class="_ _7"&gt;&lt;/span&gt;e. Th&lt;span class="_ _7"&gt;&lt;/span&gt;er&lt;span class="_ _7"&gt;&lt;/span&gt;ef&lt;span class="_ _7"&gt;&lt;/span&gt;or&lt;span class="_ _7"&gt;&lt;/span&gt;e, Volvo &lt;/span&gt;&lt;span style="display:inherit;clear:left;"&gt;&lt;span&gt;&lt;span style="display:inherit;clear:left;"&gt;Car Group&lt;span class="_ _2"&gt;&lt;/span&gt; is considered to ha&lt;span class="_ _2"&gt;&lt;/span&gt;ve only one&lt;span class="_ _2"&gt;&lt;/span&gt; operating segment&lt;/span&gt;&lt;/span&gt;.&lt;/span&gt;&lt;span style="display:inherit;clear:left;position:relative;height:100.568359375px;"&gt;&lt;span class="pp-font-color-override-1" style="position: absolute; display: inline-block; left: 256.031px; top: 0.0039062px; width: 30.7617px; white-space: pre; word-spacing: 0px; letter-spacing: 0px; margin-left: 0px; font-size: 9.6px; font-family: ffb1; -webkit-text-stroke: 0.144px rgba(0, 0, 0, 0);"&gt;&lt;span style="display: inline-block;"&gt;Re&lt;/span&gt;&lt;span style="word-spacing: 0px; letter-spacing: 0px; display: inline-block; margin-left: 0px; width: 0.410156px; font-size: 9.6px; font-family: ffb1; -webkit-text-stroke: 0.144px rgba(0, 0, 0, 0);"&gt;&lt;/span&gt;&lt;span style="display: inline-block;"&gt;st o&lt;/span&gt;&lt;span style="word-spacing: 0px; letter-spacing: 0px; display: inline-block; margin-left: 0px; width: 0.410156px; font-size: 9.6px; font-family: ffb1; -webkit-text-stroke: 0.144px rgba(0, 0, 0, 0);"&gt;&lt;/span&gt;&lt;span style="display: inline-block;"&gt;f &lt;/span&gt;&lt;span style="word-spacing: 0px; letter-spacing: 0px; display: inline-block; margin-left: -2.33175px; width: 0px; font-size: 9.6px; font-family: ffb1; -webkit-text-stroke: 0.144px rgba(0, 0, 0, 0);"&gt;&lt;/span&gt;&lt;span style="display: inline-block;"&gt; &lt;/span&gt;&lt;/span&gt;&lt;span class="pp-font-color-override-1" style="position: absolute; display: inline-block; left: 142.172px; top: 10.5039px; width: 84.041px; white-space: pre; word-spacing: -0.2016px; letter-spacing: 0.2016px; margin-left: 0px; font-size: 9.6px; font-family: ffb1; -webkit-text-stroke: 0.144px rgba(0, 0, 0, 0);"&gt;&lt;span style="display: inline-block;"&gt;Sweden&lt;/span&gt;&lt;span style="word-spacing: -0.2016px; letter-spacing: 0.2016px; display: inline-block; margin-left: 0px; width: 28.6465px; font-size: 9.6px; font-family: ffb1; -webkit-text-stroke: 0.144px rgba(0, 0, 0, 0);"&gt;&lt;span style="display: inline-block;"&gt; &lt;/span&gt;&lt;/span&gt;&lt;span class="pp-font-color-override-1" style="word-spacing: -0.1728px; letter-spacing: 0.1728px; display: inline-block; margin-left: 0px; font-size: 9.6px; font-family: ffb1; -webkit-text-stroke: 0.144px rgba(0, 0, 0, 0);"&gt;&lt;span style="display: inline-block;"&gt;China&lt;/span&gt;&lt;/span&gt;&lt;/span&gt;&lt;span class="pp-font-color-override-1" style="position: absolute; display: inline-block; left: 245.422px; top: 10.5039px; width: 88.7578px; white-space: pre; word-spacing: -0.1344px; letter-spacing: 0.1344px; margin-left: 0px; font-size: 9.6px; font-family: ffb1; -webkit-text-stroke: 0.144px rgba(0, 0, 0, 0);"&gt;&lt;span style="display: inline-block;"&gt;the world&lt;/span&gt;&lt;span style="word-spacing: -0.1344px; letter-spacing: 0.1344px; display: inline-block; margin-left: 0px; width: 30.6738px; font-size: 9.6px; font-family: ffb1; -webkit-text-stroke: 0.144px rgba(0, 0, 0, 0);"&gt;&lt;span style="display: inline-block;"&gt; &lt;/span&gt;&lt;/span&gt;&lt;span class="pp-font-color-override-1" style="word-spacing: -0.1824px; letter-spacing: 0.1824px; display: inline-block; margin-left: 0px; font-size: 9.6px; font-family: ffb0; -webkit-text-stroke: 0.144px rgba(0, 0, 0, 0);"&gt;&lt;span style="display: inline-block;"&gt;T&lt;/span&gt;&lt;span style="word-spacing: -0.1824px; letter-spacing: 0.1824px; display: inline-block; margin-left: -0.684px; width: 0px; font-size: 9.6px; font-family: ffb0; -webkit-text-stroke: 0.144px rgba(0, 0, 0, 0);"&gt;&lt;/span&gt;&lt;span style="display: inline-block;"&gt;otal&lt;/span&gt;&lt;/span&gt;&lt;/span&gt;&lt;span class="pp-font-color-override-1" style="position: absolute; display: inline-block; left: 0px; top: 32.8828px; width: 54.416px; white-space: pre; word-spacing: 0px; letter-spacing: 0.0315px; margin-left: 0px; font-size: 10.5px; font-family: ffb0; -webkit-text-stroke: 0.1575px rgba(0, 0, 0, 0);"&gt;&lt;span style="display: inline-block;"&gt;31 De&lt;/span&gt;&lt;span style="word-spacing: 0px; letter-spacing: 0.0315px; display: inline-block; margin-left: 0px; width: 0.410156px; font-size: 10.5px; font-family: ffb0; -webkit-text-stroke: 0.1575px rgba(0, 0, 0, 0);"&gt;&lt;/span&gt;&lt;span style="display: inline-block;"&gt;c 2025&lt;/span&gt;&lt;/span&gt;&lt;span class="pp-font-color-override-1" style="position: absolute; display: inline-block; left: 95.2188px; top: 49.7617px; width: 5.10938px; white-space: pre; word-spacing: -0.0061215px; letter-spacing: 0.0061215px; margin-left: 0px; font-size: 6.1215px; font-family: ffb2; -webkit-text-stroke: 0.0918225px rgba(0, 0, 0, 0);"&gt;&lt;span style="display: inline-block;"&gt;1)&lt;/span&gt;&lt;/span&gt;&lt;span class="pp-font-color-override-1" style="position: absolute; display: inline-block; left: 0px; top: 49.916px; width: 81.4746px; white-space: pre; word-spacing: -0.1365px; letter-spacing: 0.168px; margin-left: 0px; font-size: 10.5px; font-family: ffb2; -webkit-text-stroke: 0.1575px rgba(0, 0, 0, 0);"&gt;&lt;span style="display: inline-block;"&gt;Non-current&lt;/span&gt;&lt;span style="word-spacing: -0.1365px; letter-spacing: 0.168px; display: inline-block; margin-left: -0.684px; width: 0px; font-size: 10.5px; font-family: ffb2; -webkit-text-stroke: 0.1575px rgba(0, 0, 0, 0);"&gt;&lt;/span&gt;&lt;span style="display: inline-block;"&gt; as&lt;/span&gt;&lt;span style="word-spacing: -0.1365px; letter-spacing: 0.168px; display: inline-block; margin-left: 0px; width: 0.410156px; font-size: 10.5px; font-family: ffb2; -webkit-text-stroke: 0.1575px rgba(0, 0, 0, 0);"&gt;&lt;/span&gt;&lt;span style="display: inline-block;"&gt;set&lt;/span&gt;&lt;span style="word-spacing: -0.1365px; letter-spacing: 0.168px; display: inline-block; margin-left: 0px; width: 0.410156px; font-size: 10.5px; font-family: ffb2; -webkit-text-stroke: 0.1575px rgba(0, 0, 0, 0);"&gt;&lt;/span&gt;&lt;span style="display: inline-block;"&gt;s&lt;/span&gt;&lt;/span&gt;&lt;span class="pp-font-color-override-1" style="position: absolute; display: inline-block; left: 140.734px; top: 49.6641px; width: 59.1738px; white-space: pre; word-spacing: 0.3465px; letter-spacing: -0.3465px; margin-left: 0px; font-size: 10.5px; font-family: ffb2; -webkit-text-stroke: 0.1575px rgba(0, 0, 0, 0);"&gt;&lt;span style="display: inline-block;"&gt;141&lt;/span&gt;&lt;span style="word-spacing: 0.3465px; letter-spacing: -0.3465px; display: inline-block; margin-left: 0px; width: 0.410156px; font-size: 10.5px; font-family: ffb2; -webkit-text-stroke: 0.1575px rgba(0, 0, 0, 0);"&gt;&lt;/span&gt;&lt;span style="display: inline-block;"&gt;,7&lt;/span&gt;&lt;span style="word-spacing: 0.3465px; letter-spacing: -0.3465px; display: inline-block; margin-left: 0px; width: 0.410156px; font-size: 10.5px; font-family: ffb2; -webkit-text-stroke: 0.1575px rgba(0, 0, 0, 0);"&gt;&lt;/span&gt;&lt;span style="display: inline-block;"&gt;8&lt;/span&gt;&lt;span style="word-spacing: 0.3465px; letter-spacing: -0.3465px; display: inline-block; margin-left: 0px; width: 0.925781px; font-size: 10.5px; font-family: ffb2; -webkit-text-stroke: 0.1575px rgba(0, 0, 0, 0);"&gt;&lt;/span&gt;&lt;span style="display: inline-block;"&gt;0&lt;/span&gt;&lt;span style="word-spacing: 0.3465px; letter-spacing: -0.3465px; display: inline-block; margin-left: 0px; width: 25.7227px; font-size: 10.5px; font-family: ffb2; -webkit-text-stroke: 0.1575px rgba(0, 0, 0, 0);"&gt;&lt;span style="display: inline-block;"&gt;&lt;span style="width: 2.625px; display: inline-block;"&gt; &lt;/span&gt;&lt;/span&gt;&lt;/span&gt;&lt;/span&gt;&lt;span class="pp-font-color-override-1" style="position: absolute; display: inline-block; left: 199.908px; top: 49.6641px; width: 126.779px; white-space: pre; word-spacing: 0.546px; letter-spacing: -0.546px; margin-left: 0px; font-size: 10.5px; font-family: ffb2; -webkit-text-stroke: 0.1575px rgba(0, 0, 0, 0);"&gt;&lt;span style="display: inline-block;"&gt;1&lt;/span&gt;&lt;span style="word-spacing: 0.546px; letter-spacing: -0.546px; display: inline-block; margin-left: 0px; width: 0.410156px; font-size: 10.5px; font-family: ffb2; -webkit-text-stroke: 0.1575px rgba(0, 0, 0, 0);"&gt;&lt;/span&gt;&lt;span style="display: inline-block;"&gt;7,&lt;/span&gt;&lt;span style="word-spacing: 0.546px; letter-spacing: -0.546px; display: inline-block; margin-left: 0px; width: 0.410156px; font-size: 10.5px; font-family: ffb2; -webkit-text-stroke: 0.1575px rgba(0, 0, 0, 0);"&gt;&lt;/span&gt;&lt;span style="display: inline-block;"&gt;1&lt;/span&gt;&lt;span style="word-spacing: 0.546px; letter-spacing: -0.546px; display: inline-block; margin-left: 0px; width: 0.410156px; font-size: 10.5px; font-family: ffb2; -webkit-text-stroke: 0.1575px rgba(0, 0, 0, 0);"&gt;&lt;/span&gt;&lt;span style="display: inline-block;"&gt;9&lt;/span&gt;&lt;span style="word-spacing: 0.546px; letter-spacing: -0.546px; display: inline-block; margin-left: 0px; width: 0.410156px; font-size: 10.5px; font-family: ffb2; -webkit-text-stroke: 0.1575px rgba(0, 0, 0, 0);"&gt;&lt;/span&gt;&lt;span style="display: inline-block;"&gt;5&lt;/span&gt;&lt;span style="word-spacing: 0.546px; letter-spacing: -0.546px; display: inline-block; margin-left: 0px; width: 21.375px; font-size: 10.5px; font-family: ffb2; -webkit-text-stroke: 0.1575px rgba(0, 0, 0, 0);"&gt;&lt;span style="display: inline-block;"&gt;&lt;span style="width: 2.625px; display: inline-block;"&gt; &lt;/span&gt;&lt;/span&gt;&lt;/span&gt;&lt;span class="pp-font-color-override-1" style="word-spacing: 0.0315px; letter-spacing: -0.0315px; display: inline-block; margin-left: 0px; font-size: 10.5px; font-family: ffb2; -webkit-text-stroke: 0.1575px rgba(0, 0, 0, 0);"&gt;&lt;span style="display: inline-block;"&gt;34&lt;/span&gt;&lt;span style="word-spacing: 0.0315px; letter-spacing: -0.0315px; display: inline-block; margin-left: 0px; width: 0.410156px; font-size: 10.5px; font-family: ffb2; -webkit-text-stroke: 0.1575px rgba(0, 0, 0, 0);"&gt;&lt;/span&gt;&lt;span style="display: inline-block;"&gt;,6&lt;/span&gt;&lt;span style="word-spacing: 0.0315px; letter-spacing: -0.0315px; display: inline-block; margin-left: 0px; width: 0.410156px; font-size: 10.5px; font-family: ffb2; -webkit-text-stroke: 0.1575px rgba(0, 0, 0, 0);"&gt;&lt;/span&gt;&lt;span style="display: inline-block;"&gt;01&lt;/span&gt;&lt;span style="word-spacing: 0.0315px; letter-spacing: -0.0315px; display: inline-block; margin-left: 0px; width: 13.7344px; font-size: 10.5px; font-family: ffb2; -webkit-text-stroke: 0.1575px rgba(0, 0, 0, 0);"&gt;&lt;span style="display: inline-block;"&gt;&lt;span style="width: 2.625px; display: inline-block;"&gt; &lt;/span&gt;&lt;/span&gt;&lt;/span&gt;&lt;span class="pp-font-color-override-1" style="word-spacing: -0.0525px; letter-spacing: 0.0525px; display: inline-block; margin-left: 0px; font-size: 10.5px; font-family: ffb0; -webkit-text-stroke: 0.1575px rgba(0, 0, 0, 0);"&gt;&lt;span style="display: inline-block;"&gt;193,&lt;/span&gt;&lt;span style="word-spacing: -0.0525px; letter-spacing: 0.0525px; display: inline-block; margin-left: 0px; width: 0.410156px; font-size: 10.5px; font-family: ffb0; -webkit-text-stroke: 0.1575px rgba(0, 0, 0, 0);"&gt;&lt;/span&gt;&lt;span style="display: inline-block;"&gt;576&lt;/span&gt;&lt;/span&gt;&lt;/span&gt;&lt;/span&gt;&lt;span class="pp-font-color-override-1" style="position: absolute; display: inline-block; left: 0px; top: 71.9922px; width: 54.416px; white-space: pre; word-spacing: 0px; letter-spacing: 0.0315px; margin-left: 0px; font-size: 10.5px; font-family: ffb0; -webkit-text-stroke: 0.1575px rgba(0, 0, 0, 0);"&gt;&lt;span style="display: inline-block;"&gt;31 De&lt;/span&gt;&lt;span style="word-spacing: 0px; letter-spacing: 0.0315px; display: inline-block; margin-left: 0px; width: 0.410156px; font-size: 10.5px; font-family: ffb0; -webkit-text-stroke: 0.1575px rgba(0, 0, 0, 0);"&gt;&lt;/span&gt;&lt;span style="display: inline-block;"&gt;c 2024&lt;/span&gt;&lt;/span&gt;&lt;span class="pp-font-color-override-1" style="position: absolute; display: inline-block; left: 95.2188px; top: 88.793px; width: 5.10938px; white-space: pre; word-spacing: -0.0061215px; letter-spacing: 0.0061215px; margin-left: 0px; font-size: 6.1215px; font-family: ffb2; -webkit-text-stroke: 0.0918225px rgba(0, 0, 0, 0);"&gt;&lt;span style="display: inline-block;"&gt;1)&lt;/span&gt;&lt;/span&gt;&lt;span class="pp-font-color-override-1" style="position: absolute; display: inline-block; left: 0px; top: 88.9473px; width: 81.4746px; white-space: pre; word-spacing: -0.1365px; letter-spacing: 0.168px; margin-left: 0px; font-size: 10.5px; font-family: ffb2; -webkit-text-stroke: 0.1575px rgba(0, 0, 0, 0);"&gt;&lt;span style="display: inline-block;"&gt;Non-current&lt;/span&gt;&lt;span style="word-spacing: -0.1365px; letter-spacing: 0.168px; display: inline-block; margin-left: -0.684px; width: 0px; font-size: 10.5px; font-family: ffb2; -webkit-text-stroke: 0.1575px rgba(0, 0, 0, 0);"&gt;&lt;/span&gt;&lt;span style="display: inline-block;"&gt; as&lt;/span&gt;&lt;span style="word-spacing: -0.1365px; letter-spacing: 0.168px; display: inline-block; margin-left: 0px; width: 0.410156px; font-size: 10.5px; font-family: ffb2; -webkit-text-stroke: 0.1575px rgba(0, 0, 0, 0);"&gt;&lt;/span&gt;&lt;span style="display: inline-block;"&gt;set&lt;/span&gt;&lt;span style="word-spacing: -0.1365px; letter-spacing: 0.168px; display: inline-block; margin-left: 0px; width: 0.410156px; font-size: 10.5px; font-family: ffb2; -webkit-text-stroke: 0.1575px rgba(0, 0, 0, 0);"&gt;&lt;/span&gt;&lt;span style="display: inline-block;"&gt;s&lt;/span&gt;&lt;/span&gt;&lt;span class="pp-font-color-override-1" style="position: absolute; display: inline-block; left: 136.969px; top: 88.6953px; width: 55.7051px; white-space: pre; word-spacing: 0.147px; letter-spacing: -0.147px; margin-left: 0px; font-size: 10.5px; font-family: ffb2; -webkit-text-stroke: 0.1575px rgba(0, 0, 0, 0);"&gt;&lt;span style="display: inline-block;"&gt;135&lt;/span&gt;&lt;span style="word-spacing: 0.147px; letter-spacing: -0.147px; display: inline-block; margin-left: 0px; width: 0.410156px; font-size: 10.5px; font-family: ffb2; -webkit-text-stroke: 0.1575px rgba(0, 0, 0, 0);"&gt;&lt;/span&gt;&lt;span style="display: inline-block;"&gt;,&lt;/span&gt;&lt;span style="word-spacing: 0.147px; letter-spacing: -0.147px; display: inline-block; margin-left: 0px; width: 0.410156px; font-size: 10.5px; font-family: ffb2; -webkit-text-stroke: 0.1575px rgba(0, 0, 0, 0);"&gt;&lt;/span&gt;&lt;span style="display: inline-block;"&gt;8&lt;/span&gt;&lt;span style="word-spacing: 0.147px; letter-spacing: -0.147px; display: inline-block; margin-left: 0px; width: 0.410156px; font-size: 10.5px; font-family: ffb2; -webkit-text-stroke: 0.1575px rgba(0, 0, 0, 0);"&gt;&lt;/span&gt;&lt;span style="display: inline-block;"&gt;85&lt;/span&gt;&lt;span style="word-spacing: 0.147px; letter-spacing: -0.147px; display: inline-block; margin-left: 0px; width: 21.375px; font-size: 10.5px; font-family: ffb2; -webkit-text-stroke: 0.1575px rgba(0, 0, 0, 0);"&gt;&lt;span style="display: inline-block;"&gt;&lt;span style="width: 2.625px; display: inline-block;"&gt; &lt;/span&gt;&lt;/span&gt;&lt;/span&gt;&lt;/span&gt;&lt;span class="pp-font-color-override-1" style="position: absolute; display: inline-block; left: 192.674px; top: 88.6953px; width: 127.113px; white-space: pre; word-spacing: -0.2415px; letter-spacing: 0.2415px; margin-left: 0px; font-size: 10.5px; font-family: ffb2; -webkit-text-stroke: 0.1575px rgba(0, 0, 0, 0);"&gt;&lt;span style="display: inline-block;"&gt;23,861&lt;/span&gt;&lt;span style="word-spacing: -0.2415px; letter-spacing: 0.2415px; display: inline-block; margin-left: 0px; width: 20.748px; font-size: 10.5px; font-family: ffb2; -webkit-text-stroke: 0.1575px rgba(0, 0, 0, 0);"&gt;&lt;span style="display: inline-block;"&gt; &lt;/span&gt;&lt;/span&gt;&lt;span class="pp-font-color-override-1" style="word-spacing: 0.3465px; letter-spacing: -0.3465px; display: inline-block; margin-left: 0px; font-size: 10.5px; font-family: ffb2; -webkit-text-stroke: 0.1575px rgba(0, 0, 0, 0);"&gt;&lt;span style="display: inline-block;"&gt;4&lt;/span&gt;&lt;span style="word-spacing: 0.3465px; letter-spacing: -0.3465px; display: inline-block; margin-left: 0px; width: 0.410156px; font-size: 10.5px; font-family: ffb2; -webkit-text-stroke: 0.1575px rgba(0, 0, 0, 0);"&gt;&lt;/span&gt;&lt;span style="display: inline-block;"&gt;4&lt;/span&gt;&lt;span style="word-spacing: 0.3465px; letter-spacing: -0.3465px; display: inline-block; margin-left: 0px; width: 0.925781px; font-size: 10.5px; font-family: ffb2; -webkit-text-stroke: 0.1575px rgba(0, 0, 0, 0);"&gt;&lt;/span&gt;&lt;span style="display: inline-block;"&gt;,&lt;/span&gt;&lt;span style="word-spacing: 0.3465px; letter-spacing: -0.3465px; display: inline-block; margin-left: 0px; width: 0.410156px; font-size: 10.5px; font-family: ffb2; -webkit-text-stroke: 0.1575px rgba(0, 0, 0, 0);"&gt;&lt;/span&gt;&lt;span style="display: inline-block;"&gt;41&lt;/span&gt;&lt;span style="word-spacing: 0.3465px; letter-spacing: -0.3465px; display: inline-block; margin-left: 0px; width: 0.410156px; font-size: 10.5px; font-family: ffb2; -webkit-text-stroke: 0.1575px rgba(0, 0, 0, 0);"&gt;&lt;/span&gt;&lt;span style="display: inline-block;"&gt;9&lt;/span&gt;&lt;span style="word-spacing: 0.3465px; letter-spacing: -0.3465px; display: inline-block; margin-left: 0px; width: 12.6504px; font-size: 10.5px; font-family: ffb2; -webkit-text-stroke: 0.1575px rgba(0, 0, 0, 0);"&gt;&lt;span style="display: inline-block;"&gt;&lt;span style="width: 2.625px; display: inline-block;"&gt; &lt;/span&gt;&lt;/span&gt;&lt;/span&gt;&lt;span class="pp-font-color-override-1" style="word-spacing: 0.3255px; letter-spacing: -0.3255px; display: inline-block; margin-left: 0px; font-size: 10.5px; font-family: ffb0; -webkit-text-stroke: 0.1575px rgba(0, 0, 0, 0);"&gt;&lt;span style="display: inline-block;"&gt;2&lt;/span&gt;&lt;span style="word-spacing: 0.3255px; letter-spacing: -0.3255px; display: inline-block; margin-left: 0px; width: 0.410156px; font-size: 10.5px; font-family: ffb0; -webkit-text-stroke: 0.1575px rgba(0, 0, 0, 0);"&gt;&lt;/span&gt;&lt;span style="display: inline-block;"&gt;0&lt;/span&gt;&lt;span style="word-spacing: 0.3255px; letter-spacing: -0.3255px; display: inline-block; margin-left: 0px; width: 0.410156px; font-size: 10.5px; font-family: ffb0; -webkit-text-stroke: 0.1575px rgba(0, 0, 0, 0);"&gt;&lt;/span&gt;&lt;span style="display: inline-block;"&gt;4&lt;/span&gt;&lt;span style="word-spacing: 0.3255px; letter-spacing: -0.3255px; display: inline-block; margin-left: 0px; width: 0.925781px; font-size: 10.5px; font-family: ffb0; -webkit-text-stroke: 0.1575px rgba(0, 0, 0, 0);"&gt;&lt;/span&gt;&lt;span style="display: inline-block;"&gt;,1&lt;/span&gt;&lt;span style="word-spacing: 0.3255px; letter-spacing: -0.3255px; display: inline-block; margin-left: 0px; width: 0.410156px; font-size: 10.5px; font-family: ffb0; -webkit-text-stroke: 0.1575px rgba(0, 0, 0, 0);"&gt;&lt;/span&gt;&lt;span style="display: inline-block;"&gt;6&lt;/span&gt;&lt;span style="word-spacing: 0.3255px; letter-spacing: -0.3255px; display: inline-block; margin-left: 0px; width: 0.410156px; font-size: 10.5px; font-family: ffb0; -webkit-text-stroke: 0.1575px rgba(0, 0, 0, 0);"&gt;&lt;/span&gt;&lt;span style="display: inline-block;"&gt;5&lt;/span&gt;&lt;/span&gt;&lt;/span&gt;&lt;/span&gt;&lt;/span&gt;&lt;span style="display:inherit;clear:left;"&gt;1) Exc&lt;span class="_ _7"&gt;&lt;/span&gt;ludi&lt;span class="_ _7"&gt;&lt;/span&gt;ng de&lt;span class="_ _7"&gt;&lt;/span&gt;fer&lt;span class="_ _7"&gt;&lt;/span&gt;re&lt;span class="_ _7"&gt;&lt;/span&gt;d ta&lt;span class="_ _7"&gt;&lt;/span&gt;x as&lt;span class="_ _7"&gt;&lt;/span&gt;s&lt;span class="_ _7"&gt;&lt;/span&gt;et&lt;span class="_ _7"&gt;&lt;/span&gt;s an&lt;span class="_ _7"&gt;&lt;/span&gt;d fi&lt;span class="_ _7"&gt;&lt;/span&gt;nan&lt;span class="_ _7"&gt;&lt;/span&gt;ci&lt;span class="_ _7"&gt;&lt;/span&gt;al in&lt;span class="_ _7"&gt;&lt;/span&gt;st&lt;span class="_ _7"&gt;&lt;/span&gt;ru&lt;span class="_ _7"&gt;&lt;/span&gt;me&lt;span class="_ _7"&gt;&lt;/span&gt;nts&lt;span class="_ _7"&gt;&lt;/span&gt;.&lt;/span&gt;</t>
  </si>
  <si>
    <t>f1__s8__6__288</t>
  </si>
  <si>
    <t>ifrs-full:DescriptionOfAccountingPolicyForSegmentReportingExplanatory</t>
  </si>
  <si>
    <t>&lt;span style="display:inherit;clear:left;"&gt;ACCOUNTING&lt;span class="_ _2"&gt;&lt;/span&gt; POLICIES&lt;/span&gt;&lt;span style="display:inherit;clear:left;"&gt;Volvo Ca&lt;span class="_ _7"&gt;&lt;/span&gt;r Gro&lt;span class="_ _7"&gt;&lt;/span&gt;up i&lt;span class="_ _7"&gt;&lt;/span&gt;s co&lt;span class="_ _7"&gt;&lt;/span&gt;ns&lt;span class="_ _7"&gt;&lt;/span&gt;id&lt;span class="_ _7"&gt;&lt;/span&gt;ere&lt;span class="_ _7"&gt;&lt;/span&gt;d to h&lt;span class="_ _7"&gt;&lt;/span&gt;ave on&lt;span class="_ _7"&gt;&lt;/span&gt;e op&lt;span class="_ _7"&gt;&lt;/span&gt;er&lt;span class="_ _7"&gt;&lt;/span&gt;ati&lt;span class="_ _7"&gt;&lt;/span&gt;ng s&lt;span class="_ _7"&gt;&lt;/span&gt;eg&lt;span class="_ _7"&gt;&lt;/span&gt;me&lt;span class="_ _7"&gt;&lt;/span&gt;nt.&lt;/span&gt;</t>
  </si>
  <si>
    <t>f1__s8__6__29</t>
  </si>
  <si>
    <t>ifrs-full:DisclosureOfOtherCurrentAssetsExplanatory</t>
  </si>
  <si>
    <t xml:space="preserve">&lt;span style="display:inherit;clear:left;"&gt;Cla&lt;span class="_ _7"&gt;&lt;/span&gt;ss&lt;span class="_ _7"&gt;&lt;/span&gt;ifi&lt;span class="_ _7"&gt;&lt;/span&gt;cati&lt;span class="_ _7"&gt;&lt;/span&gt;on of c&lt;span class="_ _7"&gt;&lt;/span&gt;urre&lt;span class="_ _7"&gt;&lt;/span&gt;nt an&lt;span class="_ _7"&gt;&lt;/span&gt;d non-cu&lt;span class="_ _7"&gt;&lt;/span&gt;rre&lt;span class="_ _7"&gt;&lt;/span&gt;nt as&lt;span class="_ _7"&gt;&lt;/span&gt;se&lt;span class="_ _7"&gt;&lt;/span&gt;ts an&lt;span class="_ _7"&gt;&lt;/span&gt;d &lt;/span&gt;&lt;span style="display:inherit;clear:left;"&gt;liabi&lt;span class="_ _7"&gt;&lt;/span&gt;litie&lt;span class="_ _7"&gt;&lt;/span&gt;s&lt;/span&gt;&lt;span style="display:inherit;clear:left;"&gt;An as&lt;span class="_ _7"&gt;&lt;/span&gt;s&lt;span class="_ _7"&gt;&lt;/span&gt;e&lt;span class="_ _7"&gt;&lt;/span&gt;t is cl&lt;span class="_ _7"&gt;&lt;/span&gt;a&lt;span class="_ _7"&gt;&lt;/span&gt;s&lt;span class="_ _7"&gt;&lt;/span&gt;si&lt;span class="_ _7"&gt;&lt;/span&gt;fi&lt;span class="_ _7"&gt;&lt;/span&gt;ed a&lt;span class="_ _7"&gt;&lt;/span&gt;s cur&lt;span class="_ _7"&gt;&lt;/span&gt;re&lt;span class="_ _7"&gt;&lt;/span&gt;nt wh&lt;span class="_ _7"&gt;&lt;/span&gt;en i&lt;span class="_ _7"&gt;&lt;/span&gt;t is h&lt;span class="_ _7"&gt;&lt;/span&gt;el&lt;span class="_ _7"&gt;&lt;/span&gt;d pr&lt;span class="_ _7"&gt;&lt;/span&gt;ima&lt;span class="_ _7"&gt;&lt;/span&gt;ri&lt;span class="_ _7"&gt;&lt;/span&gt;ly for t&lt;span class="_ _7"&gt;&lt;/span&gt;he p&lt;span class="_ _7"&gt;&lt;/span&gt;ur-&lt;/span&gt;&lt;span style="display:inherit;clear:left;"&gt;po&lt;span class="_ _7"&gt;&lt;/span&gt;se o&lt;span class="_ _7"&gt;&lt;/span&gt;f tr&lt;span class="_ _7"&gt;&lt;/span&gt;ad&lt;span class="_ _7"&gt;&lt;/span&gt;ing&lt;span class="_ _7"&gt;&lt;/span&gt;, is ex&lt;span class="_ _7"&gt;&lt;/span&gt;p&lt;span class="_ _7"&gt;&lt;/span&gt;ec&lt;span class="_ _7"&gt;&lt;/span&gt;ted to b&lt;span class="_ _7"&gt;&lt;/span&gt;e re&lt;span class="_ _7"&gt;&lt;/span&gt;al&lt;span class="_ _7"&gt;&lt;/span&gt;is&lt;span class="_ _7"&gt;&lt;/span&gt;ed w&lt;span class="_ _7"&gt;&lt;/span&gt;it&lt;span class="_ _7"&gt;&lt;/span&gt;hin 12 mo&lt;span class="_ _7"&gt;&lt;/span&gt;nth&lt;span class="_ _7"&gt;&lt;/span&gt;s af&lt;span class="_ _7"&gt;&lt;/span&gt;t&lt;span class="_ _7"&gt;&lt;/span&gt;er th&lt;span class="_ _7"&gt;&lt;/span&gt;e &lt;/span&gt;&lt;span style="display:inherit;clear:left;"&gt;ba&lt;span class="_ _7"&gt;&lt;/span&gt;la&lt;span class="_ _7"&gt;&lt;/span&gt;nc&lt;span class="_ _7"&gt;&lt;/span&gt;e sh&lt;span class="_ _7"&gt;&lt;/span&gt;eet d&lt;span class="_ _7"&gt;&lt;/span&gt;ate o&lt;span class="_ _7"&gt;&lt;/span&gt;r co&lt;span class="_ _7"&gt;&lt;/span&gt;ns&lt;span class="_ _7"&gt;&lt;/span&gt;is&lt;span class="_ _7"&gt;&lt;/span&gt;t&lt;span class="_ _7"&gt;&lt;/span&gt;s of c&lt;span class="_ _7"&gt;&lt;/span&gt;as&lt;span class="_ _7"&gt;&lt;/span&gt;h or c&lt;span class="_ _7"&gt;&lt;/span&gt;as&lt;span class="_ _7"&gt;&lt;/span&gt;h eq&lt;span class="_ _7"&gt;&lt;/span&gt;ui&lt;span class="_ _7"&gt;&lt;/span&gt;va&lt;span class="_ _7"&gt;&lt;/span&gt;lent&lt;span class="_ _7"&gt;&lt;/span&gt;s&lt;span class="_ _7"&gt;&lt;/span&gt;, pr&lt;span class="_ _7"&gt;&lt;/span&gt;ov&lt;span class="_ _7"&gt;&lt;/span&gt;ide&lt;span class="_ _7"&gt;&lt;/span&gt;d &lt;/span&gt;&lt;span style="display:inherit;clear:left;"&gt;it i&lt;span class="_ _7"&gt;&lt;/span&gt;s not s&lt;span class="_ _7"&gt;&lt;/span&gt;ub&lt;span class="_ _7"&gt;&lt;/span&gt;je&lt;span class="_ _7"&gt;&lt;/span&gt;ct to a&lt;span class="_ _7"&gt;&lt;/span&gt;ny re&lt;span class="_ _7"&gt;&lt;/span&gt;st&lt;span class="_ _7"&gt;&lt;/span&gt;ri&lt;span class="_ _7"&gt;&lt;/span&gt;cti&lt;span class="_ _7"&gt;&lt;/span&gt;on&lt;span class="_ _7"&gt;&lt;/span&gt;s&lt;span class="_ _7"&gt;&lt;/span&gt;. All o&lt;span class="_ _7"&gt;&lt;/span&gt;the&lt;span class="_ _7"&gt;&lt;/span&gt;r as&lt;span class="_ _7"&gt;&lt;/span&gt;s&lt;span class="_ _7"&gt;&lt;/span&gt;et&lt;span class="_ _7"&gt;&lt;/span&gt;s ar&lt;span class="_ _7"&gt;&lt;/span&gt;e cl&lt;span class="_ _7"&gt;&lt;/span&gt;as&lt;span class="_ _7"&gt;&lt;/span&gt;s&lt;span class="_ _7"&gt;&lt;/span&gt;if&lt;span class="_ _7"&gt;&lt;/span&gt;ie&lt;span class="_ _7"&gt;&lt;/span&gt;d as &lt;/span&gt;&lt;span style="display:inherit;clear:left;"&gt;no&lt;span class="_ _7"&gt;&lt;/span&gt;n-cur&lt;span class="_ _7"&gt;&lt;/span&gt;ren&lt;span class="_ _7"&gt;&lt;/span&gt;t. A l&lt;span class="_ _7"&gt;&lt;/span&gt;iab&lt;span class="_ _7"&gt;&lt;/span&gt;il&lt;span class="_ _7"&gt;&lt;/span&gt;it&lt;span class="_ _7"&gt;&lt;/span&gt;y is c&lt;span class="_ _7"&gt;&lt;/span&gt;la&lt;span class="_ _7"&gt;&lt;/span&gt;s&lt;span class="_ _7"&gt;&lt;/span&gt;si&lt;span class="_ _7"&gt;&lt;/span&gt;f&lt;span class="_ _7"&gt;&lt;/span&gt;ie&lt;span class="_ _7"&gt;&lt;/span&gt;d as cu&lt;span class="_ _7"&gt;&lt;/span&gt;rr&lt;span class="_ _7"&gt;&lt;/span&gt;ent w&lt;span class="_ _7"&gt;&lt;/span&gt;he&lt;span class="_ _7"&gt;&lt;/span&gt;n it i&lt;span class="_ _7"&gt;&lt;/span&gt;s he&lt;span class="_ _7"&gt;&lt;/span&gt;ld pr&lt;span class="_ _7"&gt;&lt;/span&gt;im&lt;span class="_ _7"&gt;&lt;/span&gt;ar-&lt;/span&gt;&lt;span style="display:inherit;clear:left;"&gt;ily fo&lt;span class="_ _7"&gt;&lt;/span&gt;r th&lt;span class="_ _7"&gt;&lt;/span&gt;e pur&lt;span class="_ _7"&gt;&lt;/span&gt;p&lt;span class="_ _7"&gt;&lt;/span&gt;os&lt;span class="_ _7"&gt;&lt;/span&gt;e of t&lt;span class="_ _7"&gt;&lt;/span&gt;ra&lt;span class="_ _7"&gt;&lt;/span&gt;di&lt;span class="_ _7"&gt;&lt;/span&gt;ng or i&lt;span class="_ _7"&gt;&lt;/span&gt;s exp&lt;span class="_ _7"&gt;&lt;/span&gt;ec&lt;span class="_ _7"&gt;&lt;/span&gt;te&lt;span class="_ _7"&gt;&lt;/span&gt;d to be s&lt;span class="_ _7"&gt;&lt;/span&gt;et&lt;span class="_ _7"&gt;&lt;/span&gt;t&lt;span class="_ _7"&gt;&lt;/span&gt;led w&lt;span class="_ _7"&gt;&lt;/span&gt;it&lt;span class="_ _7"&gt;&lt;/span&gt;hin 12 &lt;/span&gt;&lt;span style="display:inherit;clear:left;"&gt;mo&lt;span class="_ _7"&gt;&lt;/span&gt;nth&lt;span class="_ _7"&gt;&lt;/span&gt;s af&lt;span class="_ _7"&gt;&lt;/span&gt;te&lt;span class="_ _7"&gt;&lt;/span&gt;r th&lt;span class="_ _7"&gt;&lt;/span&gt;e ba&lt;span class="_ _7"&gt;&lt;/span&gt;la&lt;span class="_ _7"&gt;&lt;/span&gt;nc&lt;span class="_ _7"&gt;&lt;/span&gt;e sh&lt;span class="_ _7"&gt;&lt;/span&gt;eet d&lt;span class="_ _7"&gt;&lt;/span&gt;ate a&lt;span class="_ _7"&gt;&lt;/span&gt;nd Volvo C&lt;span class="_ _7"&gt;&lt;/span&gt;ar G&lt;span class="_ _7"&gt;&lt;/span&gt;rou&lt;span class="_ _7"&gt;&lt;/span&gt;p do n&lt;span class="_ _7"&gt;&lt;/span&gt;ot &lt;/span&gt;&lt;span style="display:inherit;clear:left;"&gt;have t&lt;span class="_ _7"&gt;&lt;/span&gt;he r&lt;span class="_ _7"&gt;&lt;/span&gt;igh&lt;span class="_ _7"&gt;&lt;/span&gt;t to de&lt;span class="_ _7"&gt;&lt;/span&gt;fe&lt;span class="_ _7"&gt;&lt;/span&gt;r se&lt;span class="_ _7"&gt;&lt;/span&gt;tt&lt;span class="_ _7"&gt;&lt;/span&gt;lem&lt;span class="_ _7"&gt;&lt;/span&gt;en&lt;span class="_ _7"&gt;&lt;/span&gt;t of th&lt;span class="_ _7"&gt;&lt;/span&gt;e li&lt;span class="_ _7"&gt;&lt;/span&gt;abi&lt;span class="_ _7"&gt;&lt;/span&gt;li&lt;span class="_ _7"&gt;&lt;/span&gt;t&lt;span class="_ _7"&gt;&lt;/span&gt;y for a&lt;span class="_ _7"&gt;&lt;/span&gt;t lea&lt;span class="_ _7"&gt;&lt;/span&gt;st 12 &lt;/span&gt;&lt;span style="display:inherit;clear:left;"&gt;mo&lt;span class="_ _7"&gt;&lt;/span&gt;nth&lt;span class="_ _7"&gt;&lt;/span&gt;s af&lt;span class="_ _7"&gt;&lt;/span&gt;te&lt;span class="_ _7"&gt;&lt;/span&gt;r th&lt;span class="_ _7"&gt;&lt;/span&gt;e ba&lt;span class="_ _7"&gt;&lt;/span&gt;la&lt;span class="_ _7"&gt;&lt;/span&gt;nc&lt;span class="_ _7"&gt;&lt;/span&gt;e sh&lt;span class="_ _7"&gt;&lt;/span&gt;eet d&lt;span class="_ _7"&gt;&lt;/span&gt;ate&lt;span class="_ _7"&gt;&lt;/span&gt;. All o&lt;span class="_ _7"&gt;&lt;/span&gt;the&lt;span class="_ _7"&gt;&lt;/span&gt;r lia&lt;span class="_ _7"&gt;&lt;/span&gt;bi&lt;span class="_ _7"&gt;&lt;/span&gt;lit&lt;span class="_ _7"&gt;&lt;/span&gt;ie&lt;span class="_ _7"&gt;&lt;/span&gt;s ar&lt;span class="_ _7"&gt;&lt;/span&gt;e cl&lt;span class="_ _7"&gt;&lt;/span&gt;as&lt;span class="_ _7"&gt;&lt;/span&gt;si-&lt;/span&gt;&lt;span style="display:inherit;clear:left;"&gt;fi&lt;span class="_ _7"&gt;&lt;/span&gt;ed a&lt;span class="_ _7"&gt;&lt;/span&gt;s no&lt;span class="_ _7"&gt;&lt;/span&gt;n-cur&lt;span class="_ _7"&gt;&lt;/span&gt;re&lt;span class="_ _7"&gt;&lt;/span&gt;nt. &lt;/span&gt;&lt;span style="display:inherit;clear:left;"&gt;Whe&lt;span class="_ _7"&gt;&lt;/span&gt;n th&lt;span class="_ _7"&gt;&lt;/span&gt;e cri&lt;span class="_ _7"&gt;&lt;/span&gt;ter&lt;span class="_ _7"&gt;&lt;/span&gt;ia f&lt;span class="_ _7"&gt;&lt;/span&gt;or b&lt;span class="_ _7"&gt;&lt;/span&gt;ei&lt;span class="_ _7"&gt;&lt;/span&gt;ng cl&lt;span class="_ _7"&gt;&lt;/span&gt;as&lt;span class="_ _7"&gt;&lt;/span&gt;s&lt;span class="_ _7"&gt;&lt;/span&gt;if&lt;span class="_ _7"&gt;&lt;/span&gt;ie&lt;span class="_ _7"&gt;&lt;/span&gt;d as a n&lt;span class="_ _7"&gt;&lt;/span&gt;on-c&lt;span class="_ _7"&gt;&lt;/span&gt;ur&lt;span class="_ _7"&gt;&lt;/span&gt;ren&lt;span class="_ _7"&gt;&lt;/span&gt;t as&lt;span class="_ _7"&gt;&lt;/span&gt;s&lt;span class="_ _7"&gt;&lt;/span&gt;et h&lt;span class="_ _7"&gt;&lt;/span&gt;eld &lt;/span&gt;&lt;span style="display:inherit;clear:left;"&gt;for s&lt;span class="_ _7"&gt;&lt;/span&gt;a&lt;span class="_ _7"&gt;&lt;/span&gt;le ar&lt;span class="_ _7"&gt;&lt;/span&gt;e fu&lt;span class="_ _7"&gt;&lt;/span&gt;lfi&lt;span class="_ _7"&gt;&lt;/span&gt;lle&lt;span class="_ _7"&gt;&lt;/span&gt;d an&lt;span class="_ _7"&gt;&lt;/span&gt;d the a&lt;span class="_ _7"&gt;&lt;/span&gt;s&lt;span class="_ _7"&gt;&lt;/span&gt;s&lt;span class="_ _7"&gt;&lt;/span&gt;et or d&lt;span class="_ _7"&gt;&lt;/span&gt;is&lt;span class="_ _7"&gt;&lt;/span&gt;po&lt;span class="_ _7"&gt;&lt;/span&gt;s&lt;span class="_ _7"&gt;&lt;/span&gt;al g&lt;span class="_ _7"&gt;&lt;/span&gt;ro&lt;span class="_ _7"&gt;&lt;/span&gt;up a&lt;span class="_ _7"&gt;&lt;/span&gt;re of m&lt;span class="_ _7"&gt;&lt;/span&gt;ate&lt;span class="_ _7"&gt;&lt;/span&gt;ri&lt;span class="_ _7"&gt;&lt;/span&gt;al &lt;/span&gt;&lt;span style="display:inherit;clear:left;"&gt;val&lt;span class="_ _7"&gt;&lt;/span&gt;ue, t&lt;span class="_ _7"&gt;&lt;/span&gt;he a&lt;span class="_ _7"&gt;&lt;/span&gt;s&lt;span class="_ _7"&gt;&lt;/span&gt;se&lt;span class="_ _7"&gt;&lt;/span&gt;t or di&lt;span class="_ _7"&gt;&lt;/span&gt;sp&lt;span class="_ _7"&gt;&lt;/span&gt;o&lt;span class="_ _7"&gt;&lt;/span&gt;sa&lt;span class="_ _7"&gt;&lt;/span&gt;l gr&lt;span class="_ _7"&gt;&lt;/span&gt;ou&lt;span class="_ _7"&gt;&lt;/span&gt;p an&lt;span class="_ _7"&gt;&lt;/span&gt;d the r&lt;span class="_ _7"&gt;&lt;/span&gt;el&lt;span class="_ _7"&gt;&lt;/span&gt;ate&lt;span class="_ _7"&gt;&lt;/span&gt;d li&lt;span class="_ _7"&gt;&lt;/span&gt;abi&lt;span class="_ _7"&gt;&lt;/span&gt;li&lt;span class="_ _7"&gt;&lt;/span&gt;tie&lt;span class="_ _7"&gt;&lt;/span&gt;s ar&lt;span class="_ _7"&gt;&lt;/span&gt;e  &lt;/span&gt;&lt;span style="display:inherit;clear:left;"&gt;re&lt;span class="_ _7"&gt;&lt;/span&gt;cog&lt;span class="_ _7"&gt;&lt;/span&gt;ni&lt;span class="_ _7"&gt;&lt;/span&gt;s&lt;span class="_ _7"&gt;&lt;/span&gt;ed o&lt;span class="_ _7"&gt;&lt;/span&gt;n a se&lt;span class="_ _7"&gt;&lt;/span&gt;pa&lt;span class="_ _7"&gt;&lt;/span&gt;rat&lt;span class="_ _7"&gt;&lt;/span&gt;e lin&lt;span class="_ _7"&gt;&lt;/span&gt;e on th&lt;span class="_ _7"&gt;&lt;/span&gt;e b&lt;span class="_ _7"&gt;&lt;/span&gt;al&lt;span class="_ _7"&gt;&lt;/span&gt;anc&lt;span class="_ _7"&gt;&lt;/span&gt;e sh&lt;span class="_ _7"&gt;&lt;/span&gt;ee&lt;span class="_ _7"&gt;&lt;/span&gt;t.&lt;/span&gt;&lt;span style="display:inherit;clear:left;position:relative;height:316.19921875px;"&gt;&lt;span class="pp-font-color-override-1" style="position: absolute; display: inline-block; left: 706.859px; top: 0.0136718px; width: 33.6914px; white-space: pre; word-spacing: 0px; letter-spacing: 0px; margin-left: 0px; font-size: 9.6px; font-family: ff6f; -webkit-text-stroke: 0.144px rgba(0, 0, 0, 0);"&gt;&lt;span style="display: inline-block;"&gt;Cli&lt;/span&gt;&lt;span style="word-spacing: 0px; letter-spacing: 0px; display: inline-block; margin-left: 0px; width: 0.410156px; font-size: 9.6px; font-family: ff6f; -webkit-text-stroke: 0.144px rgba(0, 0, 0, 0);"&gt;&lt;/span&gt;&lt;span style="display: inline-block;"&gt;ma&lt;/span&gt;&lt;span style="word-spacing: 0px; letter-spacing: 0px; display: inline-block; margin-left: 0px; width: 0.410156px; font-size: 9.6px; font-family: ff6f; -webkit-text-stroke: 0.144px rgba(0, 0, 0, 0);"&gt;&lt;/span&gt;&lt;span style="display: inline-block;"&gt;te &lt;/span&gt;&lt;span style="word-spacing: 0px; letter-spacing: 0px; display: inline-block; margin-left: -2.33175px; width: 0px; font-size: 9.6px; font-family: ff6f; -webkit-text-stroke: 0.144px rgba(0, 0, 0, 0);"&gt;&lt;/span&gt;&lt;span style="display: inline-block;"&gt; &lt;/span&gt;&lt;/span&gt;&lt;span class="pp-font-color-override-1" style="position: absolute; display: inline-block; left: 0px; top: 10.5137px; width: 511.5px; white-space: pre; word-spacing: -0.1152px; letter-spacing: 0.1152px; margin-left: 0px; font-size: 9.6px; font-family: ff6f; -webkit-text-stroke: 0.144px rgba(0, 0, 0, 0);"&gt;&lt;span style="display: inline-block;"&gt;Note&lt;/span&gt;&lt;span style="word-spacing: -0.1152px; letter-spacing: 0.1152px; display: inline-block; margin-left: 0px; width: 311.303px; font-size: 9.6px; font-family: ff6f; -webkit-text-stroke: 0.144px rgba(0, 0, 0, 0);"&gt;&lt;span style="display: inline-block;"&gt; &lt;/span&gt;&lt;/span&gt;&lt;span class="pp-font-color-override-1" style="word-spacing: -0.1824px; letter-spacing: 0.1824px; display: inline-block; margin-left: 0px; font-size: 9.6px; font-family: ff6f; -webkit-text-stroke: 0.144px rgba(0, 0, 0, 0);"&gt;&lt;span style="display: inline-block;"&gt;C&lt;/span&gt;&lt;span style="word-spacing: -0.1824px; letter-spacing: 0.1824px; display: inline-block; margin-left: -0.684px; width: 0px; font-size: 9.6px; font-family: ff6f; -webkit-text-stroke: 0.144px rgba(0, 0, 0, 0);"&gt;&lt;/span&gt;&lt;span style="display: inline-block;"&gt;ritic&lt;/span&gt;&lt;span style="word-spacing: -0.1824px; letter-spacing: 0.1824px; display: inline-block; margin-left: 0px; width: 0.410156px; font-size: 9.6px; font-family: ff6f; -webkit-text-stroke: 0.144px rgba(0, 0, 0, 0);"&gt;&lt;/span&gt;&lt;span style="display: inline-block;"&gt;al accounting&lt;/span&gt;&lt;span style="word-spacing: -0.1824px; letter-spacing: 0.1824px; display: inline-block; margin-left: -0.684px; width: 0px; font-size: 9.6px; font-family: ff6f; -webkit-text-stroke: 0.144px rgba(0, 0, 0, 0);"&gt;&lt;/span&gt;&lt;span style="display: inline-block;"&gt; e&lt;/span&gt;&lt;span style="word-spacing: -0.1824px; letter-spacing: 0.1824px; display: inline-block; margin-left: 0px; width: 0.410156px; font-size: 9.6px; font-family: ff6f; -webkit-text-stroke: 0.144px rgba(0, 0, 0, 0);"&gt;&lt;/span&gt;&lt;span style="display: inline-block;"&gt;stimates and judgements&lt;/span&gt;&lt;/span&gt;&lt;/span&gt;&lt;span class="pp-font-color-override-1" style="position: absolute; display: inline-block; left: 672.406px; top: 10.5137px; width: 58.3301px; white-space: pre; word-spacing: -2.3904px; letter-spacing: 0.192px; margin-left: 0px; font-size: 9.6px; font-family: ff6f; -webkit-text-stroke: 0.144px rgba(0, 0, 0, 0);"&gt;&lt;span style="display: inline-block;"&gt;consider ations&lt;/span&gt;&lt;/span&gt;&lt;span class="pp-font-color-override-1" style="position: absolute; display: inline-block; left: 0px; top: 32.3848px; width: 296.607px; white-space: pre; word-spacing: 0px; letter-spacing: -0.21px; margin-left: 0px; font-size: 10.5px; font-family: ff70; -webkit-text-stroke: 0.1575px rgba(0, 0, 0, 0);"&gt;&lt;span style="display: inline-block;"&gt;Note 1 – G&lt;/span&gt;&lt;span style="word-spacing: 0px; letter-spacing: -0.21px; display: inline-block; margin-left: 0px; width: 0.410156px; font-size: 10.5px; font-family: ff70; -webkit-text-stroke: 0.1575px rgba(0, 0, 0, 0);"&gt;&lt;/span&gt;&lt;span style="display: inline-block;"&gt;en&lt;/span&gt;&lt;span style="word-spacing: 0px; letter-spacing: -0.21px; display: inline-block; margin-left: 0px; width: 0.410156px; font-size: 10.5px; font-family: ff70; -webkit-text-stroke: 0.1575px rgba(0, 0, 0, 0);"&gt;&lt;/span&gt;&lt;span style="display: inline-block;"&gt;era&lt;/span&gt;&lt;span style="word-spacing: 0px; letter-spacing: -0.21px; display: inline-block; margin-left: 0px; width: 0.410156px; font-size: 10.5px; font-family: ff70; -webkit-text-stroke: 0.1575px rgba(0, 0, 0, 0);"&gt;&lt;/span&gt;&lt;span style="display: inline-block;"&gt;l in&lt;/span&gt;&lt;span style="word-spacing: 0px; letter-spacing: -0.21px; display: inline-block; margin-left: 0px; width: 0.410156px; font-size: 10.5px; font-family: ff70; -webkit-text-stroke: 0.1575px rgba(0, 0, 0, 0);"&gt;&lt;/span&gt;&lt;span style="display: inline-block;"&gt;for&lt;/span&gt;&lt;span style="word-spacing: 0px; letter-spacing: -0.21px; display: inline-block; margin-left: 0px; width: 0.410156px; font-size: 10.5px; font-family: ff70; -webkit-text-stroke: 0.1575px rgba(0, 0, 0, 0);"&gt;&lt;/span&gt;&lt;span style="display: inline-block;"&gt;mat&lt;/span&gt;&lt;span style="word-spacing: 0px; letter-spacing: -0.21px; display: inline-block; margin-left: 0px; width: 0.410156px; font-size: 10.5px; font-family: ff70; -webkit-text-stroke: 0.1575px rgba(0, 0, 0, 0);"&gt;&lt;/span&gt;&lt;span style="display: inline-block;"&gt;ion f&lt;/span&gt;&lt;span style="word-spacing: 0px; letter-spacing: -0.21px; display: inline-block; margin-left: 0px; width: 0.410156px; font-size: 10.5px; font-family: ff70; -webkit-text-stroke: 0.1575px rgba(0, 0, 0, 0);"&gt;&lt;/span&gt;&lt;span style="display: inline-block;"&gt;or f&lt;/span&gt;&lt;span style="word-spacing: 0px; letter-spacing: -0.21px; display: inline-block; margin-left: 0px; width: 0.410156px; font-size: 10.5px; font-family: ff70; -webkit-text-stroke: 0.1575px rgba(0, 0, 0, 0);"&gt;&lt;/span&gt;&lt;span style="display: inline-block;"&gt;ina&lt;/span&gt;&lt;span style="word-spacing: 0px; letter-spacing: -0.21px; display: inline-block; margin-left: 0px; width: 0.410156px; font-size: 10.5px; font-family: ff70; -webkit-text-stroke: 0.1575px rgba(0, 0, 0, 0);"&gt;&lt;/span&gt;&lt;span style="display: inline-block;"&gt;nci&lt;/span&gt;&lt;span style="word-spacing: 0px; letter-spacing: -0.21px; display: inline-block; margin-left: 0px; width: 0.410156px; font-size: 10.5px; font-family: ff70; -webkit-text-stroke: 0.1575px rgba(0, 0, 0, 0);"&gt;&lt;/span&gt;&lt;span style="display: inline-block;"&gt;al re&lt;/span&gt;&lt;span style="word-spacing: 0px; letter-spacing: -0.21px; display: inline-block; margin-left: 0px; width: 0.410156px; font-size: 10.5px; font-family: ff70; -webkit-text-stroke: 0.1575px rgba(0, 0, 0, 0);"&gt;&lt;/span&gt;&lt;span style="display: inline-block;"&gt;po&lt;/span&gt;&lt;span style="word-spacing: 0px; letter-spacing: -0.21px; display: inline-block; margin-left: 0px; width: 0.410156px; font-size: 10.5px; font-family: ff70; -webkit-text-stroke: 0.1575px rgba(0, 0, 0, 0);"&gt;&lt;/span&gt;&lt;span style="display: inline-block;"&gt;r&lt;/span&gt;&lt;span style="word-spacing: 0px; letter-spacing: -0.21px; display: inline-block; margin-left: 0px; width: 0.410156px; font-size: 10.5px; font-family: ff70; -webkit-text-stroke: 0.1575px rgba(0, 0, 0, 0);"&gt;&lt;/span&gt;&lt;span style="display: inline-block;"&gt;tin&lt;/span&gt;&lt;span style="word-spacing: 0px; letter-spacing: -0.21px; display: inline-block; margin-left: 0px; width: 0.410156px; font-size: 10.5px; font-family: ff70; -webkit-text-stroke: 0.1575px rgba(0, 0, 0, 0);"&gt;&lt;/span&gt;&lt;span style="display: inline-block;"&gt;g in Volvo C&lt;/span&gt;&lt;span style="word-spacing: 0px; letter-spacing: -0.21px; display: inline-block; margin-left: 0px; width: 0.410156px; font-size: 10.5px; font-family: ff70; -webkit-text-stroke: 0.1575px rgba(0, 0, 0, 0);"&gt;&lt;/span&gt;&lt;span style="display: inline-block;"&gt;ar Gro&lt;/span&gt;&lt;span style="word-spacing: 0px; letter-spacing: -0.21px; display: inline-block; margin-left: 0px; width: 0.410156px; font-size: 10.5px; font-family: ff70; -webkit-text-stroke: 0.1575px rgba(0, 0, 0, 0);"&gt;&lt;/span&gt;&lt;span style="display: inline-block;"&gt;up&lt;/span&gt;&lt;/span&gt;&lt;span class="pp-font-color-override-1" style="position: absolute; display: inline-block; left: 0px; top: 49.416px; width: 611.355px; white-space: pre; word-spacing: 0px; letter-spacing: 0.0315px; margin-left: 0px; font-size: 10.5px; font-family: ff70; -webkit-text-stroke: 0.1575px rgba(0, 0, 0, 0);"&gt;&lt;span style="display: inline-block;"&gt;Note 2 – N&lt;/span&gt;&lt;span style="word-spacing: 0px; letter-spacing: 0.0315px; display: inline-block; margin-left: 0px; width: 0.410156px; font-size: 10.5px; font-family: ff70; -webkit-text-stroke: 0.1575px rgba(0, 0, 0, 0);"&gt;&lt;/span&gt;&lt;span style="display: inline-block;"&gt;et rev&lt;/span&gt;&lt;span style="word-spacing: 0px; letter-spacing: 0.0315px; display: inline-block; margin-left: 0px; width: 0.410156px; font-size: 10.5px; font-family: ff70; -webkit-text-stroke: 0.1575px rgba(0, 0, 0, 0);"&gt;&lt;/span&gt;&lt;span style="display: inline-block;"&gt;enu&lt;/span&gt;&lt;span style="word-spacing: 0px; letter-spacing: 0.0315px; display: inline-block; margin-left: 0px; width: 0.410156px; font-size: 10.5px; font-family: ff70; -webkit-text-stroke: 0.1575px rgba(0, 0, 0, 0);"&gt;&lt;/span&gt;&lt;span style="display: inline-block;"&gt;e&lt;/span&gt;&lt;span style="word-spacing: 0px; letter-spacing: 0.0315px; display: inline-block; margin-left: 0px; width: 232.148px; font-size: 10.5px; font-family: ff70; -webkit-text-stroke: 0.1575px rgba(0, 0, 0, 0);"&gt;&lt;span style="display: inline-block;"&gt; &lt;/span&gt;&lt;/span&gt;&lt;span class="pp-font-color-override-1" style="word-spacing: -0.1575px; letter-spacing: 0.189px; display: inline-block; margin-left: 0px; font-size: 10.5px; font-family: ff70; -webkit-text-stroke: 0.1575px rgba(0, 0, 0, 0);"&gt;&lt;span style="display: inline-block;"&gt;Sales with residual val&lt;/span&gt;&lt;span style="word-spacing: -0.1575px; letter-spacing: 0.189px; display: inline-block; margin-left: -0.684px; width: 0px; font-size: 10.5px; font-family: ff70; -webkit-text-stroke: 0.1575px rgba(0, 0, 0, 0);"&gt;&lt;/span&gt;&lt;span style="display: inline-block;"&gt;ue commitments, repurchase commitments &lt;/span&gt;&lt;/span&gt;&lt;/span&gt;&lt;span class="pp-font-color-override-1" style="position: absolute; display: inline-block; left: 333.922px; top: 61.416px; width: 106.354px; white-space: pre; word-spacing: -0.147px; letter-spacing: 0.1785px; margin-left: 0px; font-size: 10.5px; font-family: ff70; -webkit-text-stroke: 0.1575px rgba(0, 0, 0, 0);"&gt;&lt;span style="display: inline-block;"&gt;and variable sales prices&lt;/span&gt;&lt;/span&gt;&lt;span class="pp-font-color-override-1" style="position: absolute; display: inline-block; left: 0px; top: 77.3691px; width: 451.318px; white-space: pre; word-spacing: 0px; letter-spacing: 0.0315px; margin-left: 0px; font-size: 10.5px; font-family: ff70; -webkit-text-stroke: 0.1575px rgba(0, 0, 0, 0);"&gt;&lt;span style="display: inline-block;"&gt;Note 7 – Le&lt;/span&gt;&lt;span style="word-spacing: 0px; letter-spacing: 0.0315px; display: inline-block; margin-left: 0px; width: 0.410156px; font-size: 10.5px; font-family: ff70; -webkit-text-stroke: 0.1575px rgba(0, 0, 0, 0);"&gt;&lt;/span&gt;&lt;span style="display: inline-block;"&gt;as&lt;/span&gt;&lt;span style="word-spacing: 0px; letter-spacing: 0.0315px; display: inline-block; margin-left: 0px; width: 0.410156px; font-size: 10.5px; font-family: ff70; -webkit-text-stroke: 0.1575px rgba(0, 0, 0, 0);"&gt;&lt;/span&gt;&lt;span style="display: inline-block;"&gt;e&lt;/span&gt;&lt;span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257.777px; font-size: 10.5px; font-family: ff70; -webkit-text-stroke: 0.1575px rgba(0, 0, 0, 0);"&gt;&lt;span style="display: inline-block;"&gt; &lt;/span&gt;&lt;/span&gt;&lt;span style="display: inline-block;"&gt;Lea&lt;/span&gt;&lt;span style="word-spacing: 0px; letter-spacing: 0.0315px; display: inline-block; margin-left: 0px; width: 0.410156px; font-size: 10.5px; font-family: ff70; -webkit-text-stroke: 0.1575px rgba(0, 0, 0, 0);"&gt;&lt;/span&gt;&lt;span style="display: inline-block;"&gt;se te&lt;/span&gt;&lt;span style="word-spacing: 0px; letter-spacing: 0.0315px; display: inline-block; margin-left: 0px; width: 0.410156px; font-size: 10.5px; font-family: ff70; -webkit-text-stroke: 0.1575px rgba(0, 0, 0, 0);"&gt;&lt;/span&gt;&lt;span style="display: inline-block;"&gt;rm a&lt;/span&gt;&lt;span style="word-spacing: 0px; letter-spacing: 0.0315px; display: inline-block; margin-left: 0px; width: 0.410156px; font-size: 10.5px; font-family: ff70; -webkit-text-stroke: 0.1575px rgba(0, 0, 0, 0);"&gt;&lt;/span&gt;&lt;span style="display: inline-block;"&gt;nd di&lt;/span&gt;&lt;span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inline-block;"&gt;co&lt;/span&gt;&lt;span style="word-spacing: 0px; letter-spacing: 0.0315px; display: inline-block; margin-left: 0px; width: 0.410156px; font-size: 10.5px; font-family: ff70; -webkit-text-stroke: 0.1575px rgba(0, 0, 0, 0);"&gt;&lt;/span&gt;&lt;span style="display: inline-block;"&gt;unt ra&lt;/span&gt;&lt;span style="word-spacing: 0px; letter-spacing: 0.0315px; display: inline-block; margin-left: 0px; width: 0.410156px; font-size: 10.5px; font-family: ff70; -webkit-text-stroke: 0.1575px rgba(0, 0, 0, 0);"&gt;&lt;/span&gt;&lt;span style="display: inline-block;"&gt;te&lt;/span&gt;&lt;/span&gt;&lt;span class="pp-font-color-override-1" style="position: absolute; display: inline-block; left: 0px; top: 94.4004px; width: 587.191px; white-space: pre; word-spacing: 0px; letter-spacing: 0.0315px; margin-left: 0px; font-size: 10.5px; font-family: ff70; -webkit-text-stroke: 0.1575px rgba(0, 0, 0, 0);"&gt;&lt;span style="display: inline-block;"&gt;Note 10 – G&lt;/span&gt;&lt;span style="word-spacing: 0px; letter-spacing: 0.0315px; display: inline-block; margin-left: 0px; width: 0.410156px; font-size: 10.5px; font-family: ff70; -webkit-text-stroke: 0.1575px rgba(0, 0, 0, 0);"&gt;&lt;/span&gt;&lt;span style="display: inline-block;"&gt;over&lt;/span&gt;&lt;span style="word-spacing: 0px; letter-spacing: 0.0315px; display: inline-block; margin-left: 0px; width: 0.410156px; font-size: 10.5px; font-family: ff70; -webkit-text-stroke: 0.1575px rgba(0, 0, 0, 0);"&gt;&lt;/span&gt;&lt;span style="display: inline-block;"&gt;nm&lt;/span&gt;&lt;span style="word-spacing: 0px; letter-spacing: 0.0315px; display: inline-block; margin-left: 0px; width: 0.410156px; font-size: 10.5px; font-family: ff70; -webkit-text-stroke: 0.1575px rgba(0, 0, 0, 0);"&gt;&lt;/span&gt;&lt;span style="display: inline-block;"&gt;ent g&lt;/span&gt;&lt;span style="word-spacing: 0px; letter-spacing: 0.0315px; display: inline-block; margin-left: 0px; width: 0.410156px; font-size: 10.5px; font-family: ff70; -webkit-text-stroke: 0.1575px rgba(0, 0, 0, 0);"&gt;&lt;/span&gt;&lt;span style="display: inline-block;"&gt;r&lt;/span&gt;&lt;span style="word-spacing: 0px; letter-spacing: 0.0315px; display: inline-block; margin-left: 0px; width: 0.410156px; font-size: 10.5px; font-family: ff70; -webkit-text-stroke: 0.1575px rgba(0, 0, 0, 0);"&gt;&lt;/span&gt;&lt;span style="display: inline-block;"&gt;ant&lt;/span&gt;&lt;span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190.992px; font-size: 10.5px; font-family: ff70; -webkit-text-stroke: 0.1575px rgba(0, 0, 0, 0);"&gt;&lt;span style="display: inline-block;"&gt; &lt;/span&gt;&lt;/span&gt;&lt;span style="display: inline-block;"&gt;As&lt;/span&gt;&lt;span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inline-block;"&gt;es&lt;/span&gt;&lt;span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inline-block;"&gt;me&lt;/span&gt;&lt;span style="word-spacing: 0px; letter-spacing: 0.0315px; display: inline-block; margin-left: 0px; width: 0.410156px; font-size: 10.5px; font-family: ff70; -webkit-text-stroke: 0.1575px rgba(0, 0, 0, 0);"&gt;&lt;/span&gt;&lt;span style="display: inline-block;"&gt;nt of re&lt;/span&gt;&lt;span style="word-spacing: 0px; letter-spacing: 0.0315px; display: inline-block; margin-left: 0px; width: 0.410156px; font-size: 10.5px; font-family: ff70; -webkit-text-stroke: 0.1575px rgba(0, 0, 0, 0);"&gt;&lt;/span&gt;&lt;span style="display: inline-block;"&gt;as&lt;/span&gt;&lt;span style="word-spacing: 0px; letter-spacing: 0.0315px; display: inline-block; margin-left: 0px; width: 0.410156px; font-size: 10.5px; font-family: ff70; -webkit-text-stroke: 0.1575px rgba(0, 0, 0, 0);"&gt;&lt;/span&gt;&lt;span style="display: inline-block;"&gt;o&lt;/span&gt;&lt;span style="word-spacing: 0px; letter-spacing: 0.0315px; display: inline-block; margin-left: 0px; width: 0.410156px; font-size: 10.5px; font-family: ff70; -webkit-text-stroke: 0.1575px rgba(0, 0, 0, 0);"&gt;&lt;/span&gt;&lt;span style="display: inline-block;"&gt;nab&lt;/span&gt;&lt;span style="word-spacing: 0px; letter-spacing: 0.0315px; display: inline-block; margin-left: 0px; width: 0.410156px; font-size: 10.5px; font-family: ff70; -webkit-text-stroke: 0.1575px rgba(0, 0, 0, 0);"&gt;&lt;/span&gt;&lt;span style="display: inline-block;"&gt;le as&lt;/span&gt;&lt;span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inline-block;"&gt;ur&lt;/span&gt;&lt;span style="word-spacing: 0px; letter-spacing: 0.0315px; display: inline-block; margin-left: 0px; width: 0.410156px; font-size: 10.5px; font-family: ff70; -webkit-text-stroke: 0.1575px rgba(0, 0, 0, 0);"&gt;&lt;/span&gt;&lt;span style="display: inline-block;"&gt;an&lt;/span&gt;&lt;span style="word-spacing: 0px; letter-spacing: 0.0315px; display: inline-block; margin-left: 0px; width: 0.410156px; font-size: 10.5px; font-family: ff70; -webkit-text-stroke: 0.1575px rgba(0, 0, 0, 0);"&gt;&lt;/span&gt;&lt;span style="display: inline-block;"&gt;ce in c&lt;/span&gt;&lt;span style="word-spacing: 0px; letter-spacing: 0.0315px; display: inline-block; margin-left: 0px; width: 0.410156px; font-size: 10.5px; font-family: ff70; -webkit-text-stroke: 0.1575px rgba(0, 0, 0, 0);"&gt;&lt;/span&gt;&lt;span style="display: inline-block;"&gt;om&lt;/span&gt;&lt;span style="word-spacing: 0px; letter-spacing: 0.0315px; display: inline-block; margin-left: 0px; width: 0.410156px; font-size: 10.5px; font-family: ff70; -webkit-text-stroke: 0.1575px rgba(0, 0, 0, 0);"&gt;&lt;/span&gt;&lt;span style="display: inline-block;"&gt;ply&lt;/span&gt;&lt;span style="word-spacing: 0px; letter-spacing: 0.0315px; display: inline-block; margin-left: 0px; width: 0.410156px; font-size: 10.5px; font-family: ff70; -webkit-text-stroke: 0.1575px rgba(0, 0, 0, 0);"&gt;&lt;/span&gt;&lt;span style="display: inline-block;"&gt;ing w&lt;/span&gt;&lt;span style="word-spacing: 0px; letter-spacing: 0.0315px; display: inline-block; margin-left: 0px; width: 0.410156px; font-size: 10.5px; font-family: ff70; -webkit-text-stroke: 0.1575px rgba(0, 0, 0, 0);"&gt;&lt;/span&gt;&lt;span style="display: inline-block;"&gt;ith g&lt;/span&gt;&lt;span style="word-spacing: 0px; letter-spacing: 0.0315px; display: inline-block; margin-left: 0px; width: 0.410156px; font-size: 10.5px; font-family: ff70; -webkit-text-stroke: 0.1575px rgba(0, 0, 0, 0);"&gt;&lt;/span&gt;&lt;span style="display: inline-block;"&gt;ra&lt;/span&gt;&lt;span style="word-spacing: 0px; letter-spacing: 0.0315px; display: inline-block; margin-left: 0px; width: 0.410156px; font-size: 10.5px; font-family: ff70; -webkit-text-stroke: 0.1575px rgba(0, 0, 0, 0);"&gt;&lt;/span&gt;&lt;span style="display: inline-block;"&gt;nt &lt;/span&gt;&lt;/span&gt;&lt;span class="pp-font-color-override-1" style="position: absolute; display: inline-block; left: 333.922px; top: 106.4px; width: 23.9531px; white-space: pre; word-spacing: -0.042px; letter-spacing: 0.042px; margin-left: 0px; font-size: 10.5px; font-family: ff70; -webkit-text-stroke: 0.1575px rgba(0, 0, 0, 0);"&gt;&lt;span style="display: inline-block;"&gt;term&lt;/span&gt;&lt;span style="word-spacing: -0.042px; letter-spacing: 0.042px; display: inline-block; margin-left: 0px; width: 0.410156px; font-size: 10.5px; font-family: ff70; -webkit-text-stroke: 0.1575px rgba(0, 0, 0, 0);"&gt;&lt;/span&gt;&lt;span style="display: inline-block;"&gt;s&lt;/span&gt;&lt;/span&gt;&lt;span class="pp-font-color-override-1" style="position: absolute; display: inline-block; left: 0px; top: 122.354px; width: 529.723px; white-space: pre; word-spacing: 0px; letter-spacing: 0.0315px; margin-left: 0px; font-size: 10.5px; font-family: ff70; -webkit-text-stroke: 0.1575px rgba(0, 0, 0, 0);"&gt;&lt;span style="display: inline-block;"&gt;Note 12 – Inv&lt;/span&gt;&lt;span style="word-spacing: 0px; letter-spacing: 0.0315px; display: inline-block; margin-left: 0px; width: 0.410156px; font-size: 10.5px; font-family: ff70; -webkit-text-stroke: 0.1575px rgba(0, 0, 0, 0);"&gt;&lt;/span&gt;&lt;span style="display: inline-block;"&gt;es&lt;/span&gt;&lt;span style="word-spacing: 0px; letter-spacing: 0.0315px; display: inline-block; margin-left: 0px; width: 0.410156px; font-size: 10.5px; font-family: ff70; -webkit-text-stroke: 0.1575px rgba(0, 0, 0, 0);"&gt;&lt;/span&gt;&lt;span style="display: inline-block;"&gt;tm&lt;/span&gt;&lt;span style="word-spacing: 0px; letter-spacing: 0.0315px; display: inline-block; margin-left: 0px; width: 0.410156px; font-size: 10.5px; font-family: ff70; -webkit-text-stroke: 0.1575px rgba(0, 0, 0, 0);"&gt;&lt;/span&gt;&lt;span style="display: inline-block;"&gt;ent&lt;/span&gt;&lt;span style="word-spacing: 0px; letter-spacing: 0.0315px; display: inline-block; margin-left: 0px; width: 0.410156px; font-size: 10.5px; font-family: ff70; -webkit-text-stroke: 0.1575px rgba(0, 0, 0, 0);"&gt;&lt;/span&gt;&lt;span style="display: inline-block;"&gt;s in jo&lt;/span&gt;&lt;span style="word-spacing: 0px; letter-spacing: 0.0315px; display: inline-block; margin-left: 0px; width: 0.410156px; font-size: 10.5px; font-family: ff70; -webkit-text-stroke: 0.1575px rgba(0, 0, 0, 0);"&gt;&lt;/span&gt;&lt;span style="display: inline-block;"&gt;int ve&lt;/span&gt;&lt;span style="word-spacing: 0px; letter-spacing: 0.0315px; display: inline-block; margin-left: 0px; width: 0.410156px; font-size: 10.5px; font-family: ff70; -webkit-text-stroke: 0.1575px rgba(0, 0, 0, 0);"&gt;&lt;/span&gt;&lt;span style="display: inline-block;"&gt;ntu&lt;/span&gt;&lt;span style="word-spacing: 0px; letter-spacing: 0.0315px; display: inline-block; margin-left: 0px; width: 0.410156px; font-size: 10.5px; font-family: ff70; -webkit-text-stroke: 0.1575px rgba(0, 0, 0, 0);"&gt;&lt;/span&gt;&lt;span style="display: inline-block;"&gt;re&lt;/span&gt;&lt;span style="word-spacing: 0px; letter-spacing: 0.0315px; display: inline-block; margin-left: 0px; width: 0.410156px; font-size: 10.5px; font-family: ff70; -webkit-text-stroke: 0.1575px rgba(0, 0, 0, 0);"&gt;&lt;/span&gt;&lt;span style="display: inline-block;"&gt;s and a&lt;/span&gt;&lt;span style="word-spacing: 0px; letter-spacing: 0.0315px; display: inline-block; margin-left: 0px; width: 0.410156px; font-size: 10.5px; font-family: ff70; -webkit-text-stroke: 0.1575px rgba(0, 0, 0, 0);"&gt;&lt;/span&gt;&lt;span style="display: </t>
  </si>
  <si>
    <t>f1__s8__6__292</t>
  </si>
  <si>
    <t>ifrs-full:DisclosureOfEventsAfterReportingPeriodExplanatory</t>
  </si>
  <si>
    <t>&lt;span style="display:inherit;clear:left;"&gt;Significant events after the r&lt;span class="_ _2"&gt;&lt;/span&gt;epor&lt;span class="_ _7"&gt;&lt;/span&gt;ting period&lt;/span&gt;&lt;span style="display:inherit;clear:left;"&gt;On 7 J&lt;span class="_ _7"&gt;&lt;/span&gt;anu&lt;span class="_ _7"&gt;&lt;/span&gt;ar&lt;span class="_ _7"&gt;&lt;/span&gt;y, Volvo Ca&lt;span class="_ _7"&gt;&lt;/span&gt;rs a&lt;span class="_ _7"&gt;&lt;/span&gt;nn&lt;span class="_ _7"&gt;&lt;/span&gt;ou&lt;span class="_ _7"&gt;&lt;/span&gt;nce&lt;span class="_ _7"&gt;&lt;/span&gt;d th&lt;span class="_ _7"&gt;&lt;/span&gt;e ap&lt;span class="_ _7"&gt;&lt;/span&gt;po&lt;span class="_ _7"&gt;&lt;/span&gt;int&lt;span class="_ _7"&gt;&lt;/span&gt;men&lt;span class="_ _7"&gt;&lt;/span&gt;t of T&lt;span class="_ _7"&gt;&lt;/span&gt;ho&lt;span class="_ _7"&gt;&lt;/span&gt;ma&lt;span class="_ _7"&gt;&lt;/span&gt;s &lt;/span&gt;&lt;span style="display:inherit;clear:left;"&gt;Ingenlath&lt;span class="_ _2"&gt;&lt;/span&gt; as Chief Design Off&lt;span class="_ _7"&gt;&lt;/span&gt;icer&lt;span class="_ _2"&gt;&lt;/span&gt;, effective 1 February 2&lt;span class="_ _2"&gt;&lt;/span&gt;026.&lt;/span&gt;&lt;span style="display:inherit;clear:left;"&gt;On 21 Ja&lt;span class="_ _7"&gt;&lt;/span&gt;nu&lt;span class="_ _7"&gt;&lt;/span&gt;ar&lt;span class="_ _7"&gt;&lt;/span&gt;y, the n&lt;span class="_ _7"&gt;&lt;/span&gt;ew Volvo E&lt;span class="_ _7"&gt;&lt;/span&gt;X60 was r&lt;span class="_ _7"&gt;&lt;/span&gt;el&lt;span class="_ _7"&gt;&lt;/span&gt;ea&lt;span class="_ _7"&gt;&lt;/span&gt;se&lt;span class="_ _7"&gt;&lt;/span&gt;d, a&lt;span class="_ _7"&gt;&lt;/span&gt;s th&lt;span class="_ _7"&gt;&lt;/span&gt;e new&lt;span class="_ _7"&gt;&lt;/span&gt;es&lt;span class="_ _7"&gt;&lt;/span&gt;t &lt;/span&gt;&lt;span style="display:inherit;clear:left;"&gt;ent&lt;span class="_ _7"&gt;&lt;/span&gt;r&lt;span class="_ _7"&gt;&lt;/span&gt;y in o&lt;span class="_ _7"&gt;&lt;/span&gt;ur p&lt;span class="_ _7"&gt;&lt;/span&gt;or&lt;span class="_ _7"&gt;&lt;/span&gt;t&lt;span class="_ _7"&gt;&lt;/span&gt;f&lt;span class="_ _7"&gt;&lt;/span&gt;oli&lt;span class="_ _7"&gt;&lt;/span&gt;o of e&lt;span class="_ _7"&gt;&lt;/span&gt;le&lt;span class="_ _7"&gt;&lt;/span&gt;ctr&lt;span class="_ _7"&gt;&lt;/span&gt;if&lt;span class="_ _7"&gt;&lt;/span&gt;i&lt;span class="_ _7"&gt;&lt;/span&gt;ed c&lt;span class="_ _7"&gt;&lt;/span&gt;ar&lt;span class="_ _7"&gt;&lt;/span&gt;s&lt;span class="_ _7"&gt;&lt;/span&gt;.&lt;/span&gt;&lt;span style="display:inherit;clear:left;"&gt;On 17 Feb&lt;span class="_ _7"&gt;&lt;/span&gt;ru&lt;span class="_ _7"&gt;&lt;/span&gt;ar&lt;span class="_ _7"&gt;&lt;/span&gt;y, Volvo Ca&lt;span class="_ _7"&gt;&lt;/span&gt;rs&lt;span class="_ _7"&gt;&lt;/span&gt;’ la&lt;span class="_ _7"&gt;&lt;/span&gt;rge&lt;span class="_ _7"&gt;&lt;/span&gt;s&lt;span class="_ _7"&gt;&lt;/span&gt;t sh&lt;span class="_ _7"&gt;&lt;/span&gt;ar&lt;span class="_ _7"&gt;&lt;/span&gt;eh&lt;span class="_ _7"&gt;&lt;/span&gt;old&lt;span class="_ _7"&gt;&lt;/span&gt;er, Gee&lt;span class="_ _7"&gt;&lt;/span&gt;ly, repo&lt;span class="_ _7"&gt;&lt;/span&gt;r&lt;span class="_ _7"&gt;&lt;/span&gt;te&lt;span class="_ _7"&gt;&lt;/span&gt;d an &lt;/span&gt;&lt;span style="display:inherit;clear:left;"&gt;inc&lt;span class="_ _7"&gt;&lt;/span&gt;re&lt;span class="_ _7"&gt;&lt;/span&gt;as&lt;span class="_ _7"&gt;&lt;/span&gt;e in i&lt;span class="_ _7"&gt;&lt;/span&gt;ts h&lt;span class="_ _7"&gt;&lt;/span&gt;ol&lt;span class="_ _7"&gt;&lt;/span&gt;din&lt;span class="_ _7"&gt;&lt;/span&gt;gs i&lt;span class="_ _7"&gt;&lt;/span&gt;n Volvo Ca&lt;span class="_ _7"&gt;&lt;/span&gt;rs b&lt;span class="_ _7"&gt;&lt;/span&gt;y 0.2&lt;span class="_ _7"&gt;&lt;/span&gt;2 pe&lt;span class="_ _7"&gt;&lt;/span&gt;r ce&lt;span class="_ _7"&gt;&lt;/span&gt;nt, a&lt;span class="_ _7"&gt;&lt;/span&gt;s Ge&lt;span class="_ _7"&gt;&lt;/span&gt;ely &lt;/span&gt;&lt;span style="display:inherit;clear:left;"&gt;Inte&lt;span class="_ _7"&gt;&lt;/span&gt;rn&lt;span class="_ _7"&gt;&lt;/span&gt;ati&lt;span class="_ _7"&gt;&lt;/span&gt;on&lt;span class="_ _7"&gt;&lt;/span&gt;al H&lt;span class="_ _7"&gt;&lt;/span&gt;ong Ko&lt;span class="_ _7"&gt;&lt;/span&gt;ng Li&lt;span class="_ _7"&gt;&lt;/span&gt;mit&lt;span class="_ _7"&gt;&lt;/span&gt;ed p&lt;span class="_ _7"&gt;&lt;/span&gt;urc&lt;span class="_ _7"&gt;&lt;/span&gt;ha&lt;span class="_ _7"&gt;&lt;/span&gt;se&lt;span class="_ _7"&gt;&lt;/span&gt;d ap&lt;span class="_ _7"&gt;&lt;/span&gt;pr&lt;span class="_ _7"&gt;&lt;/span&gt;oxi&lt;span class="_ _7"&gt;&lt;/span&gt;mat&lt;span class="_ _7"&gt;&lt;/span&gt;ely 6&lt;span class="_ _7"&gt;&lt;/span&gt;.5&lt;span class="_ _7"&gt;&lt;/span&gt;4 &lt;/span&gt;&lt;span style="display:inherit;clear:left;"&gt; &lt;span class="_ _1"&gt;&lt;/span&gt;mi&lt;span class="_ _7"&gt;&lt;/span&gt;lli&lt;span class="_ _7"&gt;&lt;/span&gt;on s&lt;span class="_ _7"&gt;&lt;/span&gt;ha&lt;span class="_ _7"&gt;&lt;/span&gt;re&lt;span class="_ _7"&gt;&lt;/span&gt;s be&lt;span class="_ _7"&gt;&lt;/span&gt;t&lt;span class="_ _7"&gt;&lt;/span&gt;wee&lt;span class="_ _7"&gt;&lt;/span&gt;n 6-&lt;span class="_ _2"&gt;&lt;/span&gt;16 Feb&lt;span class="_ _7"&gt;&lt;/span&gt;ru&lt;span class="_ _7"&gt;&lt;/span&gt;ar&lt;span class="_ _7"&gt;&lt;/span&gt;y. Af&lt;span class="_ _7"&gt;&lt;/span&gt;ter t&lt;span class="_ _7"&gt;&lt;/span&gt;ho&lt;span class="_ _7"&gt;&lt;/span&gt;se t&lt;span class="_ _7"&gt;&lt;/span&gt;ra&lt;span class="_ _7"&gt;&lt;/span&gt;ns&lt;span class="_ _7"&gt;&lt;/span&gt;a&lt;span class="_ _7"&gt;&lt;/span&gt;cti&lt;span class="_ _7"&gt;&lt;/span&gt;on&lt;span class="_ _7"&gt;&lt;/span&gt;s&lt;span class="_ _7"&gt;&lt;/span&gt;, &lt;/span&gt;&lt;span style="display:inherit;clear:left;"&gt;Ge&lt;span class="_ _7"&gt;&lt;/span&gt;ely&lt;span class="_ _7"&gt;&lt;/span&gt;’s tota&lt;span class="_ _7"&gt;&lt;/span&gt;l ow&lt;span class="_ _7"&gt;&lt;/span&gt;ner&lt;span class="_ _7"&gt;&lt;/span&gt;s&lt;span class="_ _7"&gt;&lt;/span&gt;hi&lt;span class="_ _7"&gt;&lt;/span&gt;p pe&lt;span class="_ _7"&gt;&lt;/span&gt;rce&lt;span class="_ _7"&gt;&lt;/span&gt;nt&lt;span class="_ _7"&gt;&lt;/span&gt;age i&lt;span class="_ _7"&gt;&lt;/span&gt;n Volvo Ca&lt;span class="_ _7"&gt;&lt;/span&gt;rs i&lt;span class="_ _7"&gt;&lt;/span&gt;s 78.&lt;span class="_ _7"&gt;&lt;/span&gt;87 pe&lt;span class="_ _7"&gt;&lt;/span&gt;r ce&lt;span class="_ _7"&gt;&lt;/span&gt;nt&lt;span class="_ _7"&gt;&lt;/span&gt;.&lt;/span&gt;</t>
  </si>
  <si>
    <t>f1__s8__6__30-1</t>
  </si>
  <si>
    <t>ifrs-full:DisclosureOfOtherCurrentLiabilitiesExplanatory</t>
  </si>
  <si>
    <t>f1__s8__6__31</t>
  </si>
  <si>
    <t>ifrs-full:DisclosureOfOtherNoncurrentAssetsExplanatory</t>
  </si>
  <si>
    <t>f1__s8__6__32-1</t>
  </si>
  <si>
    <t>ifrs-full:DisclosureOfOtherNoncurrentLiabilitiesExplanatory</t>
  </si>
  <si>
    <t>f1__s8__6__34</t>
  </si>
  <si>
    <t>ifrs-full:DisclosureOfRevenueExplanatory</t>
  </si>
  <si>
    <t>&lt;span style="display:inherit;clear:left;"&gt;NOT&lt;span class="_ _7"&gt;&lt;/span&gt;E 2&lt;/span&gt;&lt;span style="display:inherit;clear:left;"&gt;REVE&lt;span class="_ _2"&gt;&lt;/span&gt;NUE&lt;/span&gt;&lt;span style="display:inherit;clear:left;"&gt;ACCOUNTING&lt;span class="_ _2"&gt;&lt;/span&gt; POLICIES&lt;/span&gt;&lt;span style="display:inherit;clear:left;"&gt;Reve&lt;span class="_ _7"&gt;&lt;/span&gt;nue f&lt;span class="_ _7"&gt;&lt;/span&gt;ro&lt;span class="_ _7"&gt;&lt;/span&gt;m th&lt;span class="_ _7"&gt;&lt;/span&gt;e sa&lt;span class="_ _7"&gt;&lt;/span&gt;le o&lt;span class="_ _7"&gt;&lt;/span&gt;f go&lt;span class="_ _7"&gt;&lt;/span&gt;od&lt;span class="_ _7"&gt;&lt;/span&gt;s an&lt;span class="_ _7"&gt;&lt;/span&gt;d se&lt;span class="_ _7"&gt;&lt;/span&gt;r&lt;span class="_ _7"&gt;&lt;/span&gt;vi&lt;span class="_ _7"&gt;&lt;/span&gt;ce&lt;span class="_ _7"&gt;&lt;/span&gt;s i&lt;span class="_ _7"&gt;&lt;/span&gt;s valu&lt;span class="_ _7"&gt;&lt;/span&gt;ed a&lt;span class="_ _7"&gt;&lt;/span&gt;t tr&lt;span class="_ _7"&gt;&lt;/span&gt;an&lt;span class="_ _7"&gt;&lt;/span&gt;sa&lt;span class="_ _7"&gt;&lt;/span&gt;ct&lt;span class="_ _7"&gt;&lt;/span&gt;ion &lt;/span&gt;&lt;span style="display:inherit;clear:left;"&gt;pr&lt;span class="_ _7"&gt;&lt;/span&gt;ice l&lt;span class="_ _7"&gt;&lt;/span&gt;es&lt;span class="_ _7"&gt;&lt;/span&gt;s s&lt;span class="_ _7"&gt;&lt;/span&gt;a&lt;span class="_ _7"&gt;&lt;/span&gt;les t&lt;span class="_ _7"&gt;&lt;/span&gt;a&lt;span class="_ _7"&gt;&lt;/span&gt;xe&lt;span class="_ _7"&gt;&lt;/span&gt;s and i&lt;span class="_ _7"&gt;&lt;/span&gt;s re&lt;span class="_ _7"&gt;&lt;/span&gt;co&lt;span class="_ _7"&gt;&lt;/span&gt;gn&lt;span class="_ _7"&gt;&lt;/span&gt;is&lt;span class="_ _7"&gt;&lt;/span&gt;ed w&lt;span class="_ _7"&gt;&lt;/span&gt;he&lt;span class="_ _7"&gt;&lt;/span&gt;n co&lt;span class="_ _7"&gt;&lt;/span&gt;ntr&lt;span class="_ _7"&gt;&lt;/span&gt;ol o&lt;span class="_ _7"&gt;&lt;/span&gt;f the d&lt;span class="_ _7"&gt;&lt;/span&gt;el&lt;span class="_ _7"&gt;&lt;/span&gt;iv-&lt;/span&gt;&lt;span style="display:inherit;clear:left;"&gt;ere&lt;span class="_ _7"&gt;&lt;/span&gt;d go&lt;span class="_ _7"&gt;&lt;/span&gt;o&lt;span class="_ _7"&gt;&lt;/span&gt;d or s&lt;span class="_ _7"&gt;&lt;/span&gt;er&lt;span class="_ _7"&gt;&lt;/span&gt;v&lt;span class="_ _7"&gt;&lt;/span&gt;ic&lt;span class="_ _7"&gt;&lt;/span&gt;e is t&lt;span class="_ _7"&gt;&lt;/span&gt;ra&lt;span class="_ _7"&gt;&lt;/span&gt;ns&lt;span class="_ _7"&gt;&lt;/span&gt;fe&lt;span class="_ _7"&gt;&lt;/span&gt;rr&lt;span class="_ _7"&gt;&lt;/span&gt;ed to t&lt;span class="_ _7"&gt;&lt;/span&gt;he cu&lt;span class="_ _7"&gt;&lt;/span&gt;s&lt;span class="_ _7"&gt;&lt;/span&gt;tom&lt;span class="_ _7"&gt;&lt;/span&gt;er. Cont&lt;span class="_ _7"&gt;&lt;/span&gt;ro&lt;span class="_ _7"&gt;&lt;/span&gt;l pa&lt;span class="_ _7"&gt;&lt;/span&gt;s&lt;span class="_ _7"&gt;&lt;/span&gt;se&lt;span class="_ _7"&gt;&lt;/span&gt;s &lt;/span&gt;&lt;span style="display:inherit;clear:left;"&gt;to the c&lt;span class="_ _7"&gt;&lt;/span&gt;us&lt;span class="_ _7"&gt;&lt;/span&gt;to&lt;span class="_ _7"&gt;&lt;/span&gt;mer g&lt;span class="_ _7"&gt;&lt;/span&gt;en&lt;span class="_ _7"&gt;&lt;/span&gt;er&lt;span class="_ _7"&gt;&lt;/span&gt;al&lt;span class="_ _7"&gt;&lt;/span&gt;ly wh&lt;span class="_ _7"&gt;&lt;/span&gt;en th&lt;span class="_ _7"&gt;&lt;/span&gt;ey c&lt;span class="_ _7"&gt;&lt;/span&gt;an di&lt;span class="_ _7"&gt;&lt;/span&gt;re&lt;span class="_ _7"&gt;&lt;/span&gt;ct th&lt;span class="_ _7"&gt;&lt;/span&gt;e us&lt;span class="_ _7"&gt;&lt;/span&gt;e o&lt;span class="_ _7"&gt;&lt;/span&gt;f and &lt;/span&gt;&lt;span style="display:inherit;clear:left;"&gt;obt&lt;span class="_ _7"&gt;&lt;/span&gt;ai&lt;span class="_ _7"&gt;&lt;/span&gt;n the b&lt;span class="_ _7"&gt;&lt;/span&gt;en&lt;span class="_ _7"&gt;&lt;/span&gt;ef&lt;span class="_ _7"&gt;&lt;/span&gt;i&lt;span class="_ _7"&gt;&lt;/span&gt;ts f&lt;span class="_ _7"&gt;&lt;/span&gt;ro&lt;span class="_ _7"&gt;&lt;/span&gt;m the g&lt;span class="_ _7"&gt;&lt;/span&gt;oo&lt;span class="_ _7"&gt;&lt;/span&gt;d or s&lt;span class="_ _7"&gt;&lt;/span&gt;e&lt;span class="_ _7"&gt;&lt;/span&gt;r&lt;span class="_ _7"&gt;&lt;/span&gt;vi&lt;span class="_ _7"&gt;&lt;/span&gt;ce&lt;span class="_ _7"&gt;&lt;/span&gt;. Thi&lt;span class="_ _7"&gt;&lt;/span&gt;s p&lt;span class="_ _7"&gt;&lt;/span&gt;as&lt;span class="_ _7"&gt;&lt;/span&gt;si&lt;span class="_ _7"&gt;&lt;/span&gt;ng o&lt;span class="_ _7"&gt;&lt;/span&gt;f con&lt;span class="_ _7"&gt;&lt;/span&gt;tro&lt;span class="_ _7"&gt;&lt;/span&gt;l &lt;/span&gt;&lt;span style="display:inherit;clear:left;"&gt;ca&lt;span class="_ _7"&gt;&lt;/span&gt;n hap&lt;span class="_ _7"&gt;&lt;/span&gt;p&lt;span class="_ _7"&gt;&lt;/span&gt;en at a p&lt;span class="_ _7"&gt;&lt;/span&gt;oi&lt;span class="_ _7"&gt;&lt;/span&gt;nt in t&lt;span class="_ _7"&gt;&lt;/span&gt;ime o&lt;span class="_ _7"&gt;&lt;/span&gt;r ove&lt;span class="_ _7"&gt;&lt;/span&gt;r a pe&lt;span class="_ _7"&gt;&lt;/span&gt;ri&lt;span class="_ _7"&gt;&lt;/span&gt;od o&lt;span class="_ _7"&gt;&lt;/span&gt;f tim&lt;span class="_ _7"&gt;&lt;/span&gt;e an&lt;span class="_ _7"&gt;&lt;/span&gt;d reve&lt;span class="_ _7"&gt;&lt;/span&gt;nu&lt;span class="_ _7"&gt;&lt;/span&gt;e &lt;/span&gt;&lt;span style="display:inherit;clear:left;"&gt;recognition foll&lt;span class="_ _2"&gt;&lt;/span&gt;ows this.&lt;/span&gt;&lt;span style="display:inherit;clear:left;"&gt;For b&lt;span class="_ _7"&gt;&lt;/span&gt;un&lt;span class="_ _7"&gt;&lt;/span&gt;dle&lt;span class="_ _7"&gt;&lt;/span&gt;d s&lt;span class="_ _7"&gt;&lt;/span&gt;ale&lt;span class="_ _7"&gt;&lt;/span&gt;s co&lt;span class="_ _7"&gt;&lt;/span&gt;ntr&lt;span class="_ _7"&gt;&lt;/span&gt;ac&lt;span class="_ _7"&gt;&lt;/span&gt;t&lt;span class="_ _7"&gt;&lt;/span&gt;s whi&lt;span class="_ _7"&gt;&lt;/span&gt;ch in&lt;span class="_ _7"&gt;&lt;/span&gt;clu&lt;span class="_ _7"&gt;&lt;/span&gt;de b&lt;span class="_ _7"&gt;&lt;/span&gt;oth a c&lt;span class="_ _7"&gt;&lt;/span&gt;ar a&lt;span class="_ _7"&gt;&lt;/span&gt;nd s&lt;span class="_ _7"&gt;&lt;/span&gt;er&lt;span class="_ _9"&gt;&lt;/span&gt;vic&lt;span class="_ _7"&gt;&lt;/span&gt;e&lt;span class="_ _7"&gt;&lt;/span&gt;s &lt;/span&gt;&lt;span style="display:inherit;clear:left;"&gt;wh&lt;span class="_ _7"&gt;&lt;/span&gt;ere t&lt;span class="_ _7"&gt;&lt;/span&gt;he cu&lt;span class="_ _7"&gt;&lt;/span&gt;s&lt;span class="_ _7"&gt;&lt;/span&gt;tom&lt;span class="_ _7"&gt;&lt;/span&gt;er c&lt;span class="_ _7"&gt;&lt;/span&gt;an b&lt;span class="_ _7"&gt;&lt;/span&gt;en&lt;span class="_ _7"&gt;&lt;/span&gt;ef&lt;span class="_ _7"&gt;&lt;/span&gt;it f&lt;span class="_ _7"&gt;&lt;/span&gt;ro&lt;span class="_ _7"&gt;&lt;/span&gt;m the&lt;span class="_ _7"&gt;&lt;/span&gt;s&lt;span class="_ _7"&gt;&lt;/span&gt;e in&lt;span class="_ _7"&gt;&lt;/span&gt;de&lt;span class="_ _7"&gt;&lt;/span&gt;pe&lt;span class="_ _7"&gt;&lt;/span&gt;nd&lt;span class="_ _7"&gt;&lt;/span&gt;ent&lt;span class="_ _7"&gt;&lt;/span&gt;ly of e&lt;span class="_ _7"&gt;&lt;/span&gt;ach &lt;/span&gt;&lt;span style="display:inherit;clear:left;"&gt;oth&lt;span class="_ _7"&gt;&lt;/span&gt;er, the tr&lt;span class="_ _7"&gt;&lt;/span&gt;an&lt;span class="_ _7"&gt;&lt;/span&gt;sa&lt;span class="_ _7"&gt;&lt;/span&gt;ct&lt;span class="_ _7"&gt;&lt;/span&gt;ion p&lt;span class="_ _7"&gt;&lt;/span&gt;ri&lt;span class="_ _7"&gt;&lt;/span&gt;ce o&lt;span class="_ _7"&gt;&lt;/span&gt;f the c&lt;span class="_ _7"&gt;&lt;/span&gt;ar i&lt;span class="_ _7"&gt;&lt;/span&gt;s re&lt;span class="_ _7"&gt;&lt;/span&gt;du&lt;span class="_ _7"&gt;&lt;/span&gt;ce&lt;span class="_ _7"&gt;&lt;/span&gt;d by al&lt;span class="_ _7"&gt;&lt;/span&gt;loc&lt;span class="_ _7"&gt;&lt;/span&gt;at&lt;span class="_ _7"&gt;&lt;/span&gt;ing a &lt;/span&gt;&lt;span style="display:inherit;clear:left;"&gt;transaction price to&lt;span class="_ _2"&gt;&lt;/span&gt; the service&lt;span class="_ _7"&gt;&lt;/span&gt;s based on stand&lt;span class="_ _2"&gt;&lt;/span&gt;-alone sellin&lt;span class="_ _2"&gt;&lt;/span&gt;g &lt;/span&gt;&lt;span style="display:inherit;clear:left;"&gt;pr&lt;span class="_ _7"&gt;&lt;/span&gt;ice&lt;span class="_ _7"&gt;&lt;/span&gt;s&lt;span class="_ _7"&gt;&lt;/span&gt;, or a&lt;span class="_ _7"&gt;&lt;/span&gt;n es&lt;span class="_ _7"&gt;&lt;/span&gt;ti&lt;span class="_ _7"&gt;&lt;/span&gt;ma&lt;span class="_ _7"&gt;&lt;/span&gt;te the&lt;span class="_ _7"&gt;&lt;/span&gt;re&lt;span class="_ _7"&gt;&lt;/span&gt;of b&lt;span class="_ _7"&gt;&lt;/span&gt;as&lt;span class="_ _7"&gt;&lt;/span&gt;e&lt;span class="_ _7"&gt;&lt;/span&gt;d on th&lt;span class="_ _7"&gt;&lt;/span&gt;e exp&lt;span class="_ _7"&gt;&lt;/span&gt;e&lt;span class="_ _7"&gt;&lt;/span&gt;cte&lt;span class="_ _7"&gt;&lt;/span&gt;d co&lt;span class="_ _7"&gt;&lt;/span&gt;s&lt;span class="_ _7"&gt;&lt;/span&gt;t plu&lt;span class="_ _7"&gt;&lt;/span&gt;s a &lt;/span&gt;&lt;span style="display:inherit;clear:left;"&gt;margin approach&lt;span class="_ _7"&gt;&lt;/span&gt;.&lt;/span&gt;&lt;span style="display:inherit;clear:left;"&gt;Sales contracts may&lt;span class="_ _2"&gt;&lt;/span&gt; include variabl&lt;span class="_ _2"&gt;&lt;/span&gt;e revenue com&lt;span class="_ _2"&gt;&lt;/span&gt;ponent&lt;span class="_ _7"&gt;&lt;/span&gt;s, such &lt;/span&gt;&lt;span style="display:inherit;clear:left;"&gt;as vo&lt;span class="_ _7"&gt;&lt;/span&gt;lum&lt;span class="_ _7"&gt;&lt;/span&gt;e di&lt;span class="_ _7"&gt;&lt;/span&gt;sc&lt;span class="_ _7"&gt;&lt;/span&gt;ou&lt;span class="_ _7"&gt;&lt;/span&gt;nt&lt;span class="_ _7"&gt;&lt;/span&gt;s&lt;span class="_ _7"&gt;&lt;/span&gt;, inc&lt;span class="_ _7"&gt;&lt;/span&gt;en&lt;span class="_ _7"&gt;&lt;/span&gt;tiv&lt;span class="_ _7"&gt;&lt;/span&gt;e pro&lt;span class="_ _7"&gt;&lt;/span&gt;gr&lt;span class="_ _7"&gt;&lt;/span&gt;am&lt;span class="_ _7"&gt;&lt;/span&gt;me&lt;span class="_ _7"&gt;&lt;/span&gt;s&lt;span class="_ _7"&gt;&lt;/span&gt;, an&lt;span class="_ _7"&gt;&lt;/span&gt;d oth&lt;span class="_ _7"&gt;&lt;/span&gt;er di&lt;span class="_ _7"&gt;&lt;/span&gt;s&lt;span class="_ _7"&gt;&lt;/span&gt;co&lt;span class="_ _7"&gt;&lt;/span&gt;unt&lt;span class="_ _7"&gt;&lt;/span&gt;s &lt;/span&gt;&lt;span style="display:inherit;clear:left;"&gt;tha&lt;span class="_ _7"&gt;&lt;/span&gt;t are p&lt;span class="_ _7"&gt;&lt;/span&gt;ai&lt;span class="_ _7"&gt;&lt;/span&gt;d ou&lt;span class="_ _7"&gt;&lt;/span&gt;t at a l&lt;span class="_ _7"&gt;&lt;/span&gt;ate&lt;span class="_ _7"&gt;&lt;/span&gt;r date&lt;span class="_ _7"&gt;&lt;/span&gt;. Wh&lt;span class="_ _7"&gt;&lt;/span&gt;en r&lt;span class="_ _7"&gt;&lt;/span&gt;even&lt;span class="_ _7"&gt;&lt;/span&gt;ue i&lt;span class="_ _7"&gt;&lt;/span&gt;s re&lt;span class="_ _7"&gt;&lt;/span&gt;co&lt;span class="_ _7"&gt;&lt;/span&gt;gni&lt;span class="_ _7"&gt;&lt;/span&gt;s&lt;span class="_ _7"&gt;&lt;/span&gt;ed f&lt;span class="_ _7"&gt;&lt;/span&gt;ro&lt;span class="_ _7"&gt;&lt;/span&gt;m &lt;/span&gt;&lt;span style="display:inherit;clear:left;"&gt;the&lt;span class="_ _7"&gt;&lt;/span&gt;s&lt;span class="_ _7"&gt;&lt;/span&gt;e tr&lt;span class="_ _7"&gt;&lt;/span&gt;an&lt;span class="_ _7"&gt;&lt;/span&gt;sa&lt;span class="_ _7"&gt;&lt;/span&gt;ct&lt;span class="_ _7"&gt;&lt;/span&gt;ion&lt;span class="_ _7"&gt;&lt;/span&gt;s&lt;span class="_ _7"&gt;&lt;/span&gt;, it i&lt;span class="_ _7"&gt;&lt;/span&gt;s ad&lt;span class="_ _7"&gt;&lt;/span&gt;jus&lt;span class="_ _7"&gt;&lt;/span&gt;te&lt;span class="_ _7"&gt;&lt;/span&gt;d by th&lt;span class="_ _7"&gt;&lt;/span&gt;e es&lt;span class="_ _7"&gt;&lt;/span&gt;ti&lt;span class="_ _7"&gt;&lt;/span&gt;ma&lt;span class="_ _7"&gt;&lt;/span&gt;ted v&lt;span class="_ _7"&gt;&lt;/span&gt;alu&lt;span class="_ _7"&gt;&lt;/span&gt;e of th&lt;span class="_ _7"&gt;&lt;/span&gt;e va&lt;span class="_ _7"&gt;&lt;/span&gt;ri&lt;span class="_ _7"&gt;&lt;/span&gt;a-&lt;/span&gt;&lt;span style="display:inherit;clear:left;"&gt;ble components, which&lt;span class="_ _2"&gt;&lt;/span&gt; is recognised as a con&lt;span class="_ _2"&gt;&lt;/span&gt;tract liability.&lt;/span&gt;&lt;span style="display:inherit;clear:left;"&gt;For s&lt;span class="_ _7"&gt;&lt;/span&gt;al&lt;span class="_ _7"&gt;&lt;/span&gt;es c&lt;span class="_ _7"&gt;&lt;/span&gt;ont&lt;span class="_ _7"&gt;&lt;/span&gt;ra&lt;span class="_ _7"&gt;&lt;/span&gt;ct&lt;span class="_ _7"&gt;&lt;/span&gt;s wh&lt;span class="_ _7"&gt;&lt;/span&gt;er&lt;span class="_ _7"&gt;&lt;/span&gt;e Volvo Ca&lt;span class="_ _7"&gt;&lt;/span&gt;r Gro&lt;span class="_ _7"&gt;&lt;/span&gt;up h&lt;span class="_ _7"&gt;&lt;/span&gt;as a&lt;span class="_ _7"&gt;&lt;/span&gt;n ob&lt;span class="_ _7"&gt;&lt;/span&gt;lig&lt;span class="_ _7"&gt;&lt;/span&gt;ati&lt;span class="_ _7"&gt;&lt;/span&gt;on to &lt;/span&gt;&lt;span style="display:inherit;clear:left;"&gt;transfer goods or services to the&lt;span class="_ _2"&gt;&lt;/span&gt; customer and has r&lt;span class="_ _2"&gt;&lt;/span&gt;ecei&lt;span class="_ _7"&gt;&lt;/span&gt;ved consid&lt;span class="_ _2"&gt;&lt;/span&gt;&lt;span class="ls3 ws3"&gt;-&lt;/span&gt;&lt;/span&gt;&lt;span style="display:inherit;clear:left;"&gt;eration in&lt;span class="_ _2"&gt;&lt;/span&gt; advance, or an&lt;span class="_ _2"&gt;&lt;/span&gt; amount of consideration&lt;span class="_ _2"&gt;&lt;/span&gt; is due from the&lt;span class="_ _2"&gt;&lt;/span&gt; &lt;/span&gt;&lt;span style="display:inherit;clear:left;"&gt;cus&lt;span class="_ _7"&gt;&lt;/span&gt;to&lt;span class="_ _7"&gt;&lt;/span&gt;me&lt;span class="_ _7"&gt;&lt;/span&gt;r&lt;span class="_ _2"&gt;&lt;/span&gt;, a c&lt;span class="_ _7"&gt;&lt;/span&gt;ont&lt;span class="_ _7"&gt;&lt;/span&gt;ra&lt;span class="_ _7"&gt;&lt;/span&gt;ct li&lt;span class="_ _7"&gt;&lt;/span&gt;ab&lt;span class="_ _7"&gt;&lt;/span&gt;ili&lt;span class="_ _7"&gt;&lt;/span&gt;t&lt;span class="_ _7"&gt;&lt;/span&gt;y is r&lt;span class="_ _7"&gt;&lt;/span&gt;ec&lt;span class="_ _7"&gt;&lt;/span&gt;og&lt;span class="_ _7"&gt;&lt;/span&gt;nis&lt;span class="_ _7"&gt;&lt;/span&gt;e&lt;span class="_ _7"&gt;&lt;/span&gt;d. R&lt;span class="_ _7"&gt;&lt;/span&gt;even&lt;span class="_ _7"&gt;&lt;/span&gt;ue i&lt;span class="_ _7"&gt;&lt;/span&gt;s the&lt;span class="_ _7"&gt;&lt;/span&gt;n re&lt;span class="_ _7"&gt;&lt;/span&gt;co&lt;span class="_ _7"&gt;&lt;/span&gt;g-&lt;/span&gt;&lt;span style="display:inherit;clear:left;"&gt;nis&lt;span class="_ _7"&gt;&lt;/span&gt;e&lt;span class="_ _7"&gt;&lt;/span&gt;d, a&lt;span class="_ _7"&gt;&lt;/span&gt;nd th&lt;span class="_ _7"&gt;&lt;/span&gt;e co&lt;span class="_ _7"&gt;&lt;/span&gt;ntr&lt;span class="_ _7"&gt;&lt;/span&gt;ac&lt;span class="_ _7"&gt;&lt;/span&gt;t li&lt;span class="_ _7"&gt;&lt;/span&gt;abi&lt;span class="_ _7"&gt;&lt;/span&gt;li&lt;span class="_ _7"&gt;&lt;/span&gt;t&lt;span class="_ _7"&gt;&lt;/span&gt;y der&lt;span class="_ _7"&gt;&lt;/span&gt;ec&lt;span class="_ _7"&gt;&lt;/span&gt;og&lt;span class="_ _7"&gt;&lt;/span&gt;ni&lt;span class="_ _7"&gt;&lt;/span&gt;se&lt;span class="_ _7"&gt;&lt;/span&gt;d wh&lt;span class="_ _7"&gt;&lt;/span&gt;en t&lt;span class="_ _7"&gt;&lt;/span&gt;he go&lt;span class="_ _7"&gt;&lt;/span&gt;o&lt;span class="_ _7"&gt;&lt;/span&gt;d or  &lt;/span&gt;&lt;span style="display:inherit;clear:left;"&gt;se&lt;span class="_ _7"&gt;&lt;/span&gt;r&lt;span class="_ _7"&gt;&lt;/span&gt;vi&lt;span class="_ _7"&gt;&lt;/span&gt;ce i&lt;span class="_ _7"&gt;&lt;/span&gt;s tr&lt;span class="_ _7"&gt;&lt;/span&gt;an&lt;span class="_ _7"&gt;&lt;/span&gt;s&lt;span class="_ _7"&gt;&lt;/span&gt;fer&lt;span class="_ _7"&gt;&lt;/span&gt;re&lt;span class="_ _7"&gt;&lt;/span&gt;d to th&lt;span class="_ _7"&gt;&lt;/span&gt;e cu&lt;span class="_ _7"&gt;&lt;/span&gt;sto&lt;span class="_ _7"&gt;&lt;/span&gt;me&lt;span class="_ _7"&gt;&lt;/span&gt;r&lt;span class="_ _2"&gt;&lt;/span&gt;. T&lt;span class="_ _7"&gt;&lt;/span&gt;hi&lt;span class="_ _7"&gt;&lt;/span&gt;s app&lt;span class="_ _7"&gt;&lt;/span&gt;li&lt;span class="_ _7"&gt;&lt;/span&gt;es t&lt;span class="_ _7"&gt;&lt;/span&gt;o sa&lt;span class="_ _7"&gt;&lt;/span&gt;le&lt;span class="_ _7"&gt;&lt;/span&gt;s co&lt;span class="_ _7"&gt;&lt;/span&gt;n-&lt;/span&gt;&lt;span style="display:inherit;clear:left;"&gt;tr&lt;span class="_ _7"&gt;&lt;/span&gt;act&lt;span class="_ _7"&gt;&lt;/span&gt;s w&lt;span class="_ _7"&gt;&lt;/span&gt;ith r&lt;span class="_ _7"&gt;&lt;/span&gt;es&lt;span class="_ _7"&gt;&lt;/span&gt;id&lt;span class="_ _7"&gt;&lt;/span&gt;ual v&lt;span class="_ _7"&gt;&lt;/span&gt;alu&lt;span class="_ _7"&gt;&lt;/span&gt;e gu&lt;span class="_ _7"&gt;&lt;/span&gt;ar&lt;span class="_ _7"&gt;&lt;/span&gt;an&lt;span class="_ _7"&gt;&lt;/span&gt;tee&lt;span class="_ _7"&gt;&lt;/span&gt;s&lt;span class="_ _7"&gt;&lt;/span&gt;, s&lt;span class="_ _7"&gt;&lt;/span&gt;ale&lt;span class="_ _7"&gt;&lt;/span&gt;s re&lt;span class="_ _7"&gt;&lt;/span&gt;la&lt;span class="_ _7"&gt;&lt;/span&gt;ted t&lt;span class="_ _7"&gt;&lt;/span&gt;o ex&lt;span class="_ _7"&gt;&lt;/span&gt;ten&lt;span class="_ _7"&gt;&lt;/span&gt;de&lt;span class="_ _7"&gt;&lt;/span&gt;d  &lt;/span&gt;&lt;span style="display:inherit;clear:left;"&gt;ser&lt;span class="_ _7"&gt;&lt;/span&gt;vice business&lt;span class="_ _7"&gt;&lt;/span&gt;, sales with&lt;span class="_ _2"&gt;&lt;/span&gt; repurchase commitment, and&lt;span class="_ _2"&gt;&lt;/span&gt; advance &lt;/span&gt;&lt;span style="display:inherit;clear:left;"&gt;payments from customers. The&lt;span class="_ _2"&gt;&lt;/span&gt; contract liability is derecognised &lt;/span&gt;&lt;span style="display:inherit;clear:left;"&gt;aga&lt;span class="_ _7"&gt;&lt;/span&gt;in&lt;span class="_ _7"&gt;&lt;/span&gt;st c&lt;span class="_ _7"&gt;&lt;/span&gt;a&lt;span class="_ _7"&gt;&lt;/span&gt;sh an&lt;span class="_ _7"&gt;&lt;/span&gt;d c&lt;span class="_ _7"&gt;&lt;/span&gt;as&lt;span class="_ _7"&gt;&lt;/span&gt;h eq&lt;span class="_ _7"&gt;&lt;/span&gt;ui&lt;span class="_ _7"&gt;&lt;/span&gt;vale&lt;span class="_ _7"&gt;&lt;/span&gt;nt&lt;span class="_ _7"&gt;&lt;/span&gt;s wh&lt;span class="_ _7"&gt;&lt;/span&gt;en i&lt;span class="_ _7"&gt;&lt;/span&gt;t pay&lt;span class="_ _7"&gt;&lt;/span&gt;s ou&lt;span class="_ _7"&gt;&lt;/span&gt;t or s&lt;span class="_ _7"&gt;&lt;/span&gt;et&lt;span class="_ _7"&gt;&lt;/span&gt;tl&lt;span class="_ _7"&gt;&lt;/span&gt;es s&lt;span class="_ _7"&gt;&lt;/span&gt;a&lt;span class="_ _7"&gt;&lt;/span&gt;les &lt;/span&gt;&lt;span style="display:inherit;clear:left;"&gt;generated obli&lt;span class="_ _2"&gt;&lt;/span&gt;gations such as a&lt;span class="_ _2"&gt;&lt;/span&gt; discount.&lt;/span&gt;&lt;span style="display:inherit;clear:left;"&gt;Revenue f&lt;span class="_ _7"&gt;&lt;/span&gt;rom sa&lt;span class="_ _7"&gt;&lt;/span&gt;le of goo&lt;span class="_ _7"&gt;&lt;/span&gt;ds&lt;/span&gt;&lt;span style="display:inherit;clear:left;"&gt;Reve&lt;span class="_ _7"&gt;&lt;/span&gt;nue r&lt;span class="_ _7"&gt;&lt;/span&gt;ec&lt;span class="_ _7"&gt;&lt;/span&gt;og&lt;span class="_ _7"&gt;&lt;/span&gt;ni&lt;span class="_ _7"&gt;&lt;/span&gt;tio&lt;span class="_ _7"&gt;&lt;/span&gt;n for s&lt;span class="_ _7"&gt;&lt;/span&gt;a&lt;span class="_ _7"&gt;&lt;/span&gt;le of n&lt;span class="_ _7"&gt;&lt;/span&gt;ew an&lt;span class="_ _7"&gt;&lt;/span&gt;d u&lt;span class="_ _7"&gt;&lt;/span&gt;se&lt;span class="_ _7"&gt;&lt;/span&gt;d ca&lt;span class="_ _7"&gt;&lt;/span&gt;r&lt;span class="_ _7"&gt;&lt;/span&gt;s, p&lt;span class="_ _7"&gt;&lt;/span&gt;ar&lt;span class="_ _7"&gt;&lt;/span&gt;t&lt;span class="_ _7"&gt;&lt;/span&gt;s an&lt;span class="_ _7"&gt;&lt;/span&gt;d ac&lt;span class="_ _7"&gt;&lt;/span&gt;ce&lt;span class="_ _7"&gt;&lt;/span&gt;s-&lt;/span&gt;&lt;span style="display:inherit;clear:left;"&gt;so&lt;span class="_ _7"&gt;&lt;/span&gt;ri&lt;span class="_ _7"&gt;&lt;/span&gt;es a&lt;span class="_ _7"&gt;&lt;/span&gt;s we&lt;span class="_ _7"&gt;&lt;/span&gt;ll as s&lt;span class="_ _7"&gt;&lt;/span&gt;a&lt;span class="_ _7"&gt;&lt;/span&gt;le of g&lt;span class="_ _7"&gt;&lt;/span&gt;oo&lt;span class="_ _7"&gt;&lt;/span&gt;ds t&lt;span class="_ _7"&gt;&lt;/span&gt;hat a&lt;span class="_ _7"&gt;&lt;/span&gt;re p&lt;span class="_ _7"&gt;&lt;/span&gt;ar&lt;span class="_ _7"&gt;&lt;/span&gt;t o&lt;span class="_ _7"&gt;&lt;/span&gt;f co&lt;span class="_ _7"&gt;&lt;/span&gt;ntr&lt;span class="_ _7"&gt;&lt;/span&gt;ac&lt;span class="_ _7"&gt;&lt;/span&gt;t ma&lt;span class="_ _7"&gt;&lt;/span&gt;nu&lt;span class="_ _7"&gt;&lt;/span&gt;fa&lt;span class="_ _7"&gt;&lt;/span&gt;ctu&lt;span class="_ _7"&gt;&lt;/span&gt;r&lt;span class="_ _2"&gt;&lt;/span&gt;-&lt;/span&gt;&lt;span style="display:inherit;clear:left;"&gt;ing arrang&lt;span class="_ _2"&gt;&lt;/span&gt;ements&lt;span class="_ _7"&gt;&lt;/span&gt;, depends on specific con&lt;span class="_ _2"&gt;&lt;/span&gt;tract terms, but generally&lt;span class="_ _2"&gt;&lt;/span&gt; &lt;/span&gt;&lt;span style="display:inherit;clear:left;"&gt;is at a p&lt;span class="_ _7"&gt;&lt;/span&gt;oi&lt;span class="_ _7"&gt;&lt;/span&gt;nt in t&lt;span class="_ _7"&gt;&lt;/span&gt;im&lt;span class="_ _7"&gt;&lt;/span&gt;e aro&lt;span class="_ _7"&gt;&lt;/span&gt;un&lt;span class="_ _7"&gt;&lt;/span&gt;d wh&lt;span class="_ _7"&gt;&lt;/span&gt;en th&lt;span class="_ _7"&gt;&lt;/span&gt;e cu&lt;span class="_ _7"&gt;&lt;/span&gt;sto&lt;span class="_ _7"&gt;&lt;/span&gt;me&lt;span class="_ _7"&gt;&lt;/span&gt;r ta&lt;span class="_ _7"&gt;&lt;/span&gt;kes p&lt;span class="_ _7"&gt;&lt;/span&gt;hys&lt;span class="_ _7"&gt;&lt;/span&gt;ic&lt;span class="_ _7"&gt;&lt;/span&gt;al  &lt;/span&gt;&lt;span style="display:inherit;clear:left;"&gt;poss&lt;span class="_ _7"&gt;&lt;/span&gt;ess&lt;span class="_ _7"&gt;&lt;/span&gt;ion. &lt;/span&gt;&lt;span style="display:inherit;clear:left;"&gt;For th&lt;span class="_ _7"&gt;&lt;/span&gt;e s&lt;span class="_ _7"&gt;&lt;/span&gt;ale o&lt;span class="_ _7"&gt;&lt;/span&gt;f ca&lt;span class="_ _7"&gt;&lt;/span&gt;r&lt;span class="_ _7"&gt;&lt;/span&gt;s wh&lt;span class="_ _7"&gt;&lt;/span&gt;ere a r&lt;span class="_ _7"&gt;&lt;/span&gt;es&lt;span class="_ _7"&gt;&lt;/span&gt;id&lt;span class="_ _7"&gt;&lt;/span&gt;ua&lt;span class="_ _7"&gt;&lt;/span&gt;l val&lt;span class="_ _7"&gt;&lt;/span&gt;ue g&lt;span class="_ _7"&gt;&lt;/span&gt;uar&lt;span class="_ _7"&gt;&lt;/span&gt;an&lt;span class="_ _7"&gt;&lt;/span&gt;tee i&lt;span class="_ _7"&gt;&lt;/span&gt;s is&lt;span class="_ _7"&gt;&lt;/span&gt;s&lt;span class="_ _7"&gt;&lt;/span&gt;ue&lt;span class="_ _7"&gt;&lt;/span&gt;d to &lt;/span&gt;&lt;span style="display:inherit;clear:left;"&gt;an independent&lt;span class="_ _2"&gt;&lt;/span&gt; financing provider as&lt;span class="_ _2"&gt;&lt;/span&gt; par&lt;span class="_ _7"&gt;&lt;/span&gt;t of t&lt;span class="_ _2"&gt;&lt;/span&gt;he sales contract, &lt;/span&gt;&lt;span style="display:inherit;clear:left;"&gt; &lt;span class="_ _1"&gt;&lt;/span&gt;r&lt;span class="_ _7"&gt;&lt;/span&gt;even&lt;span class="_ _7"&gt;&lt;/span&gt;ue r&lt;span class="_ _7"&gt;&lt;/span&gt;ec&lt;span class="_ _7"&gt;&lt;/span&gt;og&lt;span class="_ _7"&gt;&lt;/span&gt;nis&lt;span class="_ _7"&gt;&lt;/span&gt;e&lt;span class="_ _7"&gt;&lt;/span&gt;d is r&lt;span class="_ _7"&gt;&lt;/span&gt;ed&lt;span class="_ _7"&gt;&lt;/span&gt;uce&lt;span class="_ _7"&gt;&lt;/span&gt;d by th&lt;span class="_ _7"&gt;&lt;/span&gt;e am&lt;span class="_ _7"&gt;&lt;/span&gt;ou&lt;span class="_ _7"&gt;&lt;/span&gt;nt co&lt;span class="_ _7"&gt;&lt;/span&gt;rr&lt;span class="_ _7"&gt;&lt;/span&gt;es&lt;span class="_ _7"&gt;&lt;/span&gt;po&lt;span class="_ _7"&gt;&lt;/span&gt;nd&lt;span class="_ _7"&gt;&lt;/span&gt;ing t&lt;span class="_ _7"&gt;&lt;/span&gt;o the &lt;/span&gt;&lt;span style="display:inherit;clear:left;"&gt;es&lt;span class="_ _7"&gt;&lt;/span&gt;ti&lt;span class="_ _7"&gt;&lt;/span&gt;mat&lt;span class="_ _7"&gt;&lt;/span&gt;ed r&lt;span class="_ _7"&gt;&lt;/span&gt;es&lt;span class="_ _7"&gt;&lt;/span&gt;id&lt;span class="_ _7"&gt;&lt;/span&gt;ual v&lt;span class="_ _7"&gt;&lt;/span&gt;alu&lt;span class="_ _7"&gt;&lt;/span&gt;e to be p&lt;span class="_ _7"&gt;&lt;/span&gt;ai&lt;span class="_ _7"&gt;&lt;/span&gt;d in th&lt;span class="_ _7"&gt;&lt;/span&gt;e f&lt;span class="_ _7"&gt;&lt;/span&gt;utu&lt;span class="_ _7"&gt;&lt;/span&gt;re. T&lt;span class="_ _7"&gt;&lt;/span&gt;hi&lt;span class="_ _7"&gt;&lt;/span&gt;s va&lt;span class="_ _7"&gt;&lt;/span&gt;lue i&lt;span class="_ _7"&gt;&lt;/span&gt;s re&lt;span class="_ _7"&gt;&lt;/span&gt;cog-&lt;/span&gt;&lt;span style="display:inherit;clear:left;"&gt;nis&lt;span class="_ _7"&gt;&lt;/span&gt;e&lt;span class="_ _7"&gt;&lt;/span&gt;d as a c&lt;span class="_ _7"&gt;&lt;/span&gt;ont&lt;span class="_ _7"&gt;&lt;/span&gt;ra&lt;span class="_ _7"&gt;&lt;/span&gt;ct li&lt;span class="_ _7"&gt;&lt;/span&gt;ab&lt;span class="_ _7"&gt;&lt;/span&gt;ili&lt;span class="_ _7"&gt;&lt;/span&gt;t&lt;span class="_ _7"&gt;&lt;/span&gt;y. &lt;/span&gt;&lt;span style="display:inherit;clear:left;"&gt;For th&lt;span class="_ _7"&gt;&lt;/span&gt;e s&lt;span class="_ _7"&gt;&lt;/span&gt;ale o&lt;span class="_ _7"&gt;&lt;/span&gt;f ca&lt;span class="_ _7"&gt;&lt;/span&gt;r&lt;span class="_ _7"&gt;&lt;/span&gt;s wh&lt;span class="_ _7"&gt;&lt;/span&gt;ere a r&lt;span class="_ _7"&gt;&lt;/span&gt;ep&lt;span class="_ _7"&gt;&lt;/span&gt;urc&lt;span class="_ _7"&gt;&lt;/span&gt;ha&lt;span class="_ _7"&gt;&lt;/span&gt;se c&lt;span class="_ _7"&gt;&lt;/span&gt;om&lt;span class="_ _7"&gt;&lt;/span&gt;mit&lt;span class="_ _7"&gt;&lt;/span&gt;me&lt;span class="_ _7"&gt;&lt;/span&gt;nt (rig&lt;span class="_ _7"&gt;&lt;/span&gt;ht o&lt;span class="_ _7"&gt;&lt;/span&gt;r &lt;/span&gt;&lt;span style="display:inherit;clear:left;"&gt;ob&lt;span class="_ _7"&gt;&lt;/span&gt;lig&lt;span class="_ _7"&gt;&lt;/span&gt;ati&lt;span class="_ _7"&gt;&lt;/span&gt;on to r&lt;span class="_ _7"&gt;&lt;/span&gt;ep&lt;span class="_ _7"&gt;&lt;/span&gt;urc&lt;span class="_ _7"&gt;&lt;/span&gt;ha&lt;span class="_ _7"&gt;&lt;/span&gt;se) is i&lt;span class="_ _7"&gt;&lt;/span&gt;s&lt;span class="_ _7"&gt;&lt;/span&gt;su&lt;span class="_ _7"&gt;&lt;/span&gt;ed t&lt;span class="_ _7"&gt;&lt;/span&gt;o the c&lt;span class="_ _7"&gt;&lt;/span&gt;us&lt;span class="_ _7"&gt;&lt;/span&gt;tom&lt;span class="_ _7"&gt;&lt;/span&gt;er a&lt;span class="_ _7"&gt;&lt;/span&gt;s pa&lt;span class="_ _7"&gt;&lt;/span&gt;r&lt;span class="_ _7"&gt;&lt;/span&gt;t of th&lt;span class="_ _7"&gt;&lt;/span&gt;e &lt;/span&gt;&lt;span style="display:inherit;clear:left;"&gt;sa&lt;span class="_ _7"&gt;&lt;/span&gt;le&lt;span class="_ _7"&gt;&lt;/span&gt;s co&lt;span class="_ _7"&gt;&lt;/span&gt;ntr&lt;span class="_ _7"&gt;&lt;/span&gt;ac&lt;span class="_ _7"&gt;&lt;/span&gt;t, r&lt;span class="_ _7"&gt;&lt;/span&gt;eve&lt;span class="_ _7"&gt;&lt;/span&gt;nue i&lt;span class="_ _7"&gt;&lt;/span&gt;s re&lt;span class="_ _7"&gt;&lt;/span&gt;co&lt;span class="_ _7"&gt;&lt;/span&gt;gn&lt;span class="_ _7"&gt;&lt;/span&gt;is&lt;span class="_ _7"&gt;&lt;/span&gt;ed o&lt;span class="_ _7"&gt;&lt;/span&gt;ver th&lt;span class="_ _7"&gt;&lt;/span&gt;e co&lt;span class="_ _7"&gt;&lt;/span&gt;ntr&lt;span class="_ _7"&gt;&lt;/span&gt;ac&lt;span class="_ _7"&gt;&lt;/span&gt;t p&lt;span class="_ _7"&gt;&lt;/span&gt;eri&lt;span class="_ _7"&gt;&lt;/span&gt;od a&lt;span class="_ _7"&gt;&lt;/span&gt;s i&lt;span class="_ _7"&gt;&lt;/span&gt;f it &lt;/span&gt;&lt;span style="display:inherit;clear:left;"&gt;wer&lt;span class="_ _7"&gt;&lt;/span&gt;e an op&lt;span class="_ _7"&gt;&lt;/span&gt;er&lt;span class="_ _7"&gt;&lt;/span&gt;at&lt;span class="_ _7"&gt;&lt;/span&gt;ing l&lt;span class="_ _7"&gt;&lt;/span&gt;ea&lt;span class="_ _7"&gt;&lt;/span&gt;se c&lt;span class="_ _7"&gt;&lt;/span&gt;ont&lt;span class="_ _7"&gt;&lt;/span&gt;ra&lt;span class="_ _7"&gt;&lt;/span&gt;ct d&lt;span class="_ _7"&gt;&lt;/span&gt;ue to th&lt;span class="_ _7"&gt;&lt;/span&gt;e cu&lt;span class="_ _7"&gt;&lt;/span&gt;st&lt;span class="_ _7"&gt;&lt;/span&gt;ome&lt;span class="_ _7"&gt;&lt;/span&gt;r no&lt;span class="_ _7"&gt;&lt;/span&gt;t obt&lt;span class="_ _7"&gt;&lt;/span&gt;ai&lt;span class="_ _7"&gt;&lt;/span&gt;nin&lt;span class="_ _7"&gt;&lt;/span&gt;g &lt;/span&gt;&lt;span style="display:inherit;clear:left;"&gt;con&lt;span class="_ _7"&gt;&lt;/span&gt;tr&lt;span class="_ _7"&gt;&lt;/span&gt;ol o&lt;span class="_ _7"&gt;&lt;/span&gt;f the c&lt;span class="_ _7"&gt;&lt;/span&gt;ar a&lt;span class="_ _7"&gt;&lt;/span&gt;t the p&lt;span class="_ _7"&gt;&lt;/span&gt;oi&lt;span class="_ _7"&gt;&lt;/span&gt;nt of s&lt;span class="_ _7"&gt;&lt;/span&gt;a&lt;span class="_ _7"&gt;&lt;/span&gt;le. T&lt;span class="_ _7"&gt;&lt;/span&gt;he d&lt;span class="_ _7"&gt;&lt;/span&gt;efe&lt;span class="_ _7"&gt;&lt;/span&gt;rr&lt;span class="_ _7"&gt;&lt;/span&gt;ed r&lt;span class="_ _7"&gt;&lt;/span&gt;eve&lt;span class="_ _7"&gt;&lt;/span&gt;nue&lt;span class="_ _7"&gt;&lt;/span&gt;, eq&lt;span class="_ _7"&gt;&lt;/span&gt;ua&lt;span class="_ _7"&gt;&lt;/span&gt;l to &lt;/span&gt;&lt;span style="display:inherit;clear:left;"&gt;the t&lt;span class="_ _7"&gt;&lt;/span&gt;ra&lt;span class="_ _7"&gt;&lt;/span&gt;ns&lt;span class="_ _7"&gt;&lt;/span&gt;ac&lt;span class="_ _7"&gt;&lt;/span&gt;ti&lt;span class="_ _7"&gt;&lt;/span&gt;on p&lt;span class="_ _7"&gt;&lt;/span&gt;ric&lt;span class="_ _7"&gt;&lt;/span&gt;e le&lt;span class="_ _7"&gt;&lt;/span&gt;s&lt;span class="_ _7"&gt;&lt;/span&gt;s s&lt;span class="_ _7"&gt;&lt;/span&gt;ale&lt;span class="_ _7"&gt;&lt;/span&gt;s t&lt;span class="_ _7"&gt;&lt;/span&gt;axe&lt;span class="_ _7"&gt;&lt;/span&gt;s le&lt;span class="_ _7"&gt;&lt;/span&gt;s&lt;span class="_ _7"&gt;&lt;/span&gt;s th&lt;span class="_ _7"&gt;&lt;/span&gt;e rep&lt;span class="_ _7"&gt;&lt;/span&gt;ur&lt;span class="_ _7"&gt;&lt;/span&gt;ch&lt;span class="_ _7"&gt;&lt;/span&gt;as&lt;span class="_ _7"&gt;&lt;/span&gt;e co&lt;span class="_ _7"&gt;&lt;/span&gt;mmi&lt;span class="_ _7"&gt;&lt;/span&gt;t&lt;span class="_ _2"&gt;&lt;/span&gt;-&lt;/span&gt;&lt;span style="display:inherit;clear:left;"&gt;me&lt;span class="_ _7"&gt;&lt;/span&gt;nt, i&lt;span class="_ _7"&gt;&lt;/span&gt;s re&lt;span class="_ _7"&gt;&lt;/span&gt;co&lt;span class="_ _7"&gt;&lt;/span&gt;gn&lt;span class="_ _7"&gt;&lt;/span&gt;is&lt;span class="_ _7"&gt;&lt;/span&gt;ed a&lt;span class="_ _7"&gt;&lt;/span&gt;s co&lt;span class="_ _7"&gt;&lt;/span&gt;ntr&lt;span class="_ _7"&gt;&lt;/span&gt;ac&lt;span class="_ _7"&gt;&lt;/span&gt;t li&lt;span class="_ _7"&gt;&lt;/span&gt;abi&lt;span class="_ _7"&gt;&lt;/span&gt;lit&lt;span class="_ _7"&gt;&lt;/span&gt;ie&lt;span class="_ _7"&gt;&lt;/span&gt;s an&lt;span class="_ _7"&gt;&lt;/span&gt;d the r&lt;span class="_ _7"&gt;&lt;/span&gt;ep&lt;span class="_ _7"&gt;&lt;/span&gt;ur&lt;span class="_ _7"&gt;&lt;/span&gt;cha&lt;span class="_ _7"&gt;&lt;/span&gt;s&lt;span class="_ _7"&gt;&lt;/span&gt;e com-&lt;/span&gt;&lt;span style="display:inherit;clear:left;"&gt;mit&lt;span class="_ _7"&gt;&lt;/span&gt;me&lt;span class="_ _7"&gt;&lt;/span&gt;nt, e&lt;span class="_ _7"&gt;&lt;/span&gt;qu&lt;span class="_ _7"&gt;&lt;/span&gt;al to t&lt;span class="_ _7"&gt;&lt;/span&gt;he r&lt;span class="_ _7"&gt;&lt;/span&gt;ep&lt;span class="_ _7"&gt;&lt;/span&gt;urc&lt;span class="_ _7"&gt;&lt;/span&gt;ha&lt;span class="_ _7"&gt;&lt;/span&gt;se p&lt;span class="_ _7"&gt;&lt;/span&gt;ri&lt;span class="_ _7"&gt;&lt;/span&gt;ce, a&lt;span class="_ _7"&gt;&lt;/span&gt;s ot&lt;span class="_ _7"&gt;&lt;/span&gt;her l&lt;span class="_ _7"&gt;&lt;/span&gt;ia&lt;span class="_ _7"&gt;&lt;/span&gt;bil&lt;span class="_ _7"&gt;&lt;/span&gt;iti&lt;span class="_ _7"&gt;&lt;/span&gt;es&lt;span class="_ _7"&gt;&lt;/span&gt;. T&lt;span class="_ _7"&gt;&lt;/span&gt;he c&lt;span class="_ _7"&gt;&lt;/span&gt;ar i&lt;span class="_ _7"&gt;&lt;/span&gt;s &lt;/span&gt;&lt;span style="display:inherit;clear:left;"&gt;re&lt;span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a&lt;span class="_ _7"&gt;&lt;/span&gt;s a tan&lt;span class="_ _7"&gt;&lt;/span&gt;gi&lt;span class="_ _7"&gt;&lt;/span&gt;ble a&lt;span class="_ _7"&gt;&lt;/span&gt;s&lt;span class="_ _7"&gt;&lt;/span&gt;s&lt;span class="_ _7"&gt;&lt;/span&gt;et un&lt;span class="_ _7"&gt;&lt;/span&gt;de&lt;span class="_ _7"&gt;&lt;/span&gt;r op&lt;span class="_ _7"&gt;&lt;/span&gt;er&lt;span class="_ _7"&gt;&lt;/span&gt;ati&lt;span class="_ _7"&gt;&lt;/span&gt;ng &lt;/span&gt;&lt;span style="display:inherit;clear:left;"&gt;lea&lt;span class="_ _7"&gt;&lt;/span&gt;s&lt;span class="_ _7"&gt;&lt;/span&gt;e over t&lt;span class="_ _7"&gt;&lt;/span&gt;he c&lt;span class="_ _7"&gt;&lt;/span&gt;ont&lt;span class="_ _7"&gt;&lt;/span&gt;ra&lt;span class="_ _7"&gt;&lt;/span&gt;ct p&lt;span class="_ _7"&gt;&lt;/span&gt;er&lt;span class="_ _7"&gt;&lt;/span&gt;io&lt;span class="_ _7"&gt;&lt;/span&gt;d and i&lt;span class="_ _7"&gt;&lt;/span&gt;s de&lt;span class="_ _7"&gt;&lt;/span&gt;pr&lt;span class="_ _7"&gt;&lt;/span&gt;ec&lt;span class="_ _7"&gt;&lt;/span&gt;iate&lt;span class="_ _7"&gt;&lt;/span&gt;d to th&lt;span class="_ _7"&gt;&lt;/span&gt;e e&lt;span class="_ _7"&gt;&lt;/span&gt;st&lt;span class="_ _7"&gt;&lt;/span&gt;ima&lt;span class="_ _7"&gt;&lt;/span&gt;ted &lt;/span&gt;&lt;span style="display:inherit;clear:left;"&gt;re&lt;span class="_ _7"&gt;&lt;/span&gt;si&lt;span class="_ _7"&gt;&lt;/span&gt;dua&lt;span class="_ _7"&gt;&lt;/span&gt;l va&lt;span class="_ _7"&gt;&lt;/span&gt;lue&lt;span class="_ _7"&gt;&lt;/span&gt;. The u&lt;span class="_ _7"&gt;&lt;/span&gt;s&lt;span class="_ _7"&gt;&lt;/span&gt;ef&lt;span class="_ _7"&gt;&lt;/span&gt;ul l&lt;span class="_ _7"&gt;&lt;/span&gt;ife a&lt;span class="_ _7"&gt;&lt;/span&gt;nd r&lt;span class="_ _7"&gt;&lt;/span&gt;es&lt;span class="_ _7"&gt;&lt;/span&gt;id&lt;span class="_ _7"&gt;&lt;/span&gt;ua&lt;span class="_ _7"&gt;&lt;/span&gt;l val&lt;span class="_ _7"&gt;&lt;/span&gt;ue of t&lt;span class="_ _7"&gt;&lt;/span&gt;he a&lt;span class="_ _7"&gt;&lt;/span&gt;s&lt;span class="_ _7"&gt;&lt;/span&gt;se&lt;span class="_ _7"&gt;&lt;/span&gt;ts a&lt;span class="_ _7"&gt;&lt;/span&gt;re &lt;/span&gt;&lt;span style="display:inherit;clear:left;"&gt;mo&lt;span class="_ _7"&gt;&lt;/span&gt;nito&lt;span class="_ _7"&gt;&lt;/span&gt;re&lt;span class="_ _7"&gt;&lt;/span&gt;d clo&lt;span class="_ _7"&gt;&lt;/span&gt;s&lt;span class="_ _7"&gt;&lt;/span&gt;ely a&lt;span class="_ _7"&gt;&lt;/span&gt;nd ch&lt;span class="_ _7"&gt;&lt;/span&gt;an&lt;span class="_ _7"&gt;&lt;/span&gt;ge&lt;span class="_ _7"&gt;&lt;/span&gt;d if n&lt;span class="_ _7"&gt;&lt;/span&gt;ec&lt;span class="_ _7"&gt;&lt;/span&gt;es&lt;span class="_ _7"&gt;&lt;/span&gt;s&lt;span class="_ _7"&gt;&lt;/span&gt;a&lt;span class="_ _7"&gt;&lt;/span&gt;r&lt;span class="_ _7"&gt;&lt;/span&gt;y. For fu&lt;span class="_ _7"&gt;&lt;/span&gt;r&lt;span class="_ _7"&gt;&lt;/span&gt;the&lt;span class="_ _7"&gt;&lt;/span&gt;r in&lt;span class="_ _7"&gt;&lt;/span&gt;for&lt;span class="_ _7"&gt;&lt;/span&gt;m&lt;span class="_ _7"&gt;&lt;/span&gt;ati&lt;span class="_ _7"&gt;&lt;/span&gt;on &lt;/span&gt;&lt;span style="display:inherit;clear:left;"&gt;reg&lt;span class="_ _7"&gt;&lt;/span&gt;ar&lt;span class="_ _7"&gt;&lt;/span&gt;di&lt;span class="_ _7"&gt;&lt;/span&gt;ng op&lt;span class="_ _7"&gt;&lt;/span&gt;er&lt;span class="_ _7"&gt;&lt;/span&gt;ati&lt;span class="_ _7"&gt;&lt;/span&gt;ng le&lt;span class="_ _7"&gt;&lt;/span&gt;as&lt;span class="_ _7"&gt;&lt;/span&gt;e&lt;span class="_ _7"&gt;&lt;/span&gt;s se&lt;span class="_ _7"&gt;&lt;/span&gt;e No&lt;span class="_ _7"&gt;&lt;/span&gt;te 7 – Le&lt;span class="_ _7"&gt;&lt;/span&gt;as&lt;span class="_ _7"&gt;&lt;/span&gt;es&lt;span class="_ _7"&gt;&lt;/span&gt;. &lt;/span&gt;&lt;span style="display:inherit;clear:left;"&gt;Revenue f&lt;span class="_ _7"&gt;&lt;/span&gt;rom sa&lt;span class="_ _7"&gt;&lt;/span&gt;le of se&lt;span class="_ _7"&gt;&lt;/span&gt;rv&lt;span class="_ _7"&gt;&lt;/span&gt;ic&lt;span class="_ _7"&gt;&lt;/span&gt;es&lt;/span&gt;&lt;span style="display:inherit;clear:left;"&gt;Volvo Ca&lt;span class="_ _7"&gt;&lt;/span&gt;r Gro&lt;span class="_ _7"&gt;&lt;/span&gt;up s&lt;span class="_ _7"&gt;&lt;/span&gt;el&lt;span class="_ _7"&gt;&lt;/span&gt;ls s&lt;span class="_ _7"&gt;&lt;/span&gt;e&lt;span class="_ _7"&gt;&lt;/span&gt;r&lt;span class="_ _7"&gt;&lt;/span&gt;vi&lt;span class="_ _7"&gt;&lt;/span&gt;ce&lt;span class="_ _7"&gt;&lt;/span&gt;s in t&lt;span class="_ _7"&gt;&lt;/span&gt;he fo&lt;span class="_ _7"&gt;&lt;/span&gt;rm o&lt;span class="_ _7"&gt;&lt;/span&gt;f ma&lt;span class="_ _7"&gt;&lt;/span&gt;int&lt;span class="_ _7"&gt;&lt;/span&gt;ena&lt;span class="_ _7"&gt;&lt;/span&gt;nc&lt;span class="_ _7"&gt;&lt;/span&gt;e co&lt;span class="_ _7"&gt;&lt;/span&gt;n-&lt;/span&gt;&lt;span style="display:inherit;clear:left;"&gt;tr&lt;span class="_ _7"&gt;&lt;/span&gt;act&lt;span class="_ _7"&gt;&lt;/span&gt;s&lt;span class="_ _7"&gt;&lt;/span&gt;, ex&lt;span class="_ _7"&gt;&lt;/span&gt;te&lt;span class="_ _7"&gt;&lt;/span&gt;nd&lt;span class="_ _7"&gt;&lt;/span&gt;ed wa&lt;span class="_ _7"&gt;&lt;/span&gt;rr&lt;span class="_ _7"&gt;&lt;/span&gt;an&lt;span class="_ _7"&gt;&lt;/span&gt;tie&lt;span class="_ _7"&gt;&lt;/span&gt;s&lt;span class="_ _7"&gt;&lt;/span&gt;, co&lt;span class="_ _7"&gt;&lt;/span&gt;nn&lt;span class="_ _7"&gt;&lt;/span&gt;ec&lt;span class="_ _7"&gt;&lt;/span&gt;tiv&lt;span class="_ _7"&gt;&lt;/span&gt;it&lt;span class="_ _7"&gt;&lt;/span&gt;y, an&lt;span class="_ _7"&gt;&lt;/span&gt;d in-c&lt;span class="_ _7"&gt;&lt;/span&gt;ar s&lt;span class="_ _7"&gt;&lt;/span&gt;of&lt;span class="_ _7"&gt;&lt;/span&gt;t&lt;span class="_ _7"&gt;&lt;/span&gt;w&lt;span class="_ _7"&gt;&lt;/span&gt;are to &lt;/span&gt;&lt;span style="display:inherit;clear:left;"&gt;customers. Revenue&lt;span class="_ _2"&gt;&lt;/span&gt; from these ser&lt;span class="_ _7"&gt;&lt;/span&gt;vices is generally&lt;span class="_ _2"&gt;&lt;/span&gt; recognised &lt;/span&gt;&lt;span style="display:inherit;clear:left;"&gt;over t&lt;span class="_ _7"&gt;&lt;/span&gt;he c&lt;span class="_ _7"&gt;&lt;/span&gt;ont&lt;span class="_ _7"&gt;&lt;/span&gt;ra&lt;span class="_ _7"&gt;&lt;/span&gt;ct p&lt;span class="_ _7"&gt;&lt;/span&gt;er&lt;span class="_ _7"&gt;&lt;/span&gt;io&lt;span class="_ _7"&gt;&lt;/span&gt;d on a s&lt;span class="_ _7"&gt;&lt;/span&gt;tr&lt;span class="_ _7"&gt;&lt;/span&gt;aig&lt;span class="_ _7"&gt;&lt;/span&gt;ht-&lt;span class="_ _2"&gt;&lt;/span&gt;l&lt;span class="_ _7"&gt;&lt;/span&gt;ine b&lt;span class="_ _7"&gt;&lt;/span&gt;as&lt;span class="_ _7"&gt;&lt;/span&gt;is&lt;span class="_ _7"&gt;&lt;/span&gt;. W&lt;span class="_ _7"&gt;&lt;/span&gt;he&lt;span class="_ _7"&gt;&lt;/span&gt;n an ex&lt;span class="_ _7"&gt;&lt;/span&gt;te&lt;span class="_ _7"&gt;&lt;/span&gt;nd&lt;span class="_ _7"&gt;&lt;/span&gt;ed &lt;/span&gt;&lt;span style="display:inherit;clear:left;"&gt;war&lt;span class="_ _7"&gt;&lt;/span&gt;ra&lt;span class="_ _7"&gt;&lt;/span&gt;nt&lt;span class="_ _7"&gt;&lt;/span&gt;y c&lt;span class="_ _7"&gt;&lt;/span&gt;ont&lt;span class="_ _7"&gt;&lt;/span&gt;ra&lt;span class="_ _7"&gt;&lt;/span&gt;ct i&lt;span class="_ _7"&gt;&lt;/span&gt;s bun&lt;span class="_ _7"&gt;&lt;/span&gt;dl&lt;span class="_ _7"&gt;&lt;/span&gt;ed w&lt;span class="_ _7"&gt;&lt;/span&gt;ith t&lt;span class="_ _7"&gt;&lt;/span&gt;he s&lt;span class="_ _7"&gt;&lt;/span&gt;al&lt;span class="_ _7"&gt;&lt;/span&gt;e of a c&lt;span class="_ _7"&gt;&lt;/span&gt;ar an&lt;span class="_ _7"&gt;&lt;/span&gt;d th&lt;span class="_ _7"&gt;&lt;/span&gt;e inc&lt;span class="_ _7"&gt;&lt;/span&gt;lus&lt;span class="_ _7"&gt;&lt;/span&gt;io&lt;span class="_ _7"&gt;&lt;/span&gt;n &lt;/span&gt;&lt;span style="display:inherit;clear:left;"&gt;in th&lt;span class="_ _7"&gt;&lt;/span&gt;e co&lt;span class="_ _7"&gt;&lt;/span&gt;ntr&lt;span class="_ _7"&gt;&lt;/span&gt;ac&lt;span class="_ _7"&gt;&lt;/span&gt;t is a&lt;span class="_ _7"&gt;&lt;/span&gt;s&lt;span class="_ _7"&gt;&lt;/span&gt;se&lt;span class="_ _7"&gt;&lt;/span&gt;s&lt;span class="_ _7"&gt;&lt;/span&gt;s&lt;span class="_ _7"&gt;&lt;/span&gt;ed to b&lt;span class="_ _7"&gt;&lt;/span&gt;e co&lt;span class="_ _7"&gt;&lt;/span&gt;mm&lt;span class="_ _7"&gt;&lt;/span&gt;on p&lt;span class="_ _7"&gt;&lt;/span&gt;ra&lt;span class="_ _7"&gt;&lt;/span&gt;cti&lt;span class="_ _7"&gt;&lt;/span&gt;ce i&lt;span class="_ _7"&gt;&lt;/span&gt;n the m&lt;span class="_ _7"&gt;&lt;/span&gt;ar&lt;span class="_ _7"&gt;&lt;/span&gt;ket&lt;span class="_ _7"&gt;&lt;/span&gt;, a &lt;/span&gt;&lt;span style="display:inherit;clear:left;"&gt;pro&lt;span class="_ _7"&gt;&lt;/span&gt;vi&lt;span class="_ _7"&gt;&lt;/span&gt;si&lt;span class="_ _7"&gt;&lt;/span&gt;on i&lt;span class="_ _7"&gt;&lt;/span&gt;s re&lt;span class="_ _7"&gt;&lt;/span&gt;cog&lt;span class="_ _7"&gt;&lt;/span&gt;ni&lt;span class="_ _7"&gt;&lt;/span&gt;s&lt;span class="_ _7"&gt;&lt;/span&gt;ed at t&lt;span class="_ _7"&gt;&lt;/span&gt;he p&lt;span class="_ _7"&gt;&lt;/span&gt;oi&lt;span class="_ _7"&gt;&lt;/span&gt;nt of s&lt;span class="_ _7"&gt;&lt;/span&gt;a&lt;span class="_ _7"&gt;&lt;/span&gt;le for t&lt;span class="_ _7"&gt;&lt;/span&gt;he c&lt;span class="_ _7"&gt;&lt;/span&gt;os&lt;span class="_ _7"&gt;&lt;/span&gt;t&lt;span class="_ _7"&gt;&lt;/span&gt;s. W&lt;span class="_ _7"&gt;&lt;/span&gt;he&lt;span class="_ _7"&gt;&lt;/span&gt;n th&lt;span class="_ _7"&gt;&lt;/span&gt;e &lt;/span&gt;&lt;span style="display:inherit;clear:left;"&gt;inc&lt;span class="_ _7"&gt;&lt;/span&gt;lus&lt;span class="_ _7"&gt;&lt;/span&gt;io&lt;span class="_ _7"&gt;&lt;/span&gt;n go&lt;span class="_ _7"&gt;&lt;/span&gt;es b&lt;span class="_ _7"&gt;&lt;/span&gt;eyo&lt;span class="_ _7"&gt;&lt;/span&gt;nd c&lt;span class="_ _7"&gt;&lt;/span&gt;om&lt;span class="_ _7"&gt;&lt;/span&gt;mo&lt;span class="_ _7"&gt;&lt;/span&gt;n pr&lt;span class="_ _7"&gt;&lt;/span&gt;ac&lt;span class="_ _7"&gt;&lt;/span&gt;tic&lt;span class="_ _7"&gt;&lt;/span&gt;e in th&lt;span class="_ _7"&gt;&lt;/span&gt;e ma&lt;span class="_ _7"&gt;&lt;/span&gt;rket&lt;span class="_ _7"&gt;&lt;/span&gt;, pa&lt;span class="_ _7"&gt;&lt;/span&gt;r&lt;span class="_ _7"&gt;&lt;/span&gt;t of t&lt;span class="_ _7"&gt;&lt;/span&gt;he &lt;/span&gt;&lt;span style="display:inherit;clear:left;"&gt;reve&lt;span class="_ _7"&gt;&lt;/span&gt;nu&lt;span class="_ _7"&gt;&lt;/span&gt;e is d&lt;span class="_ _7"&gt;&lt;/span&gt;efe&lt;span class="_ _7"&gt;&lt;/span&gt;rr&lt;span class="_ _7"&gt;&lt;/span&gt;ed a&lt;span class="_ _7"&gt;&lt;/span&gt;s a co&lt;span class="_ _7"&gt;&lt;/span&gt;ntr&lt;span class="_ _7"&gt;&lt;/span&gt;ac&lt;span class="_ _7"&gt;&lt;/span&gt;t li&lt;span class="_ _7"&gt;&lt;/span&gt;abi&lt;span class="_ _7"&gt;&lt;/span&gt;li&lt;span class="_ _7"&gt;&lt;/span&gt;t&lt;span class="_ _7"&gt;&lt;/span&gt;y and r&lt;span class="_ _7"&gt;&lt;/span&gt;ec&lt;span class="_ _7"&gt;&lt;/span&gt;og&lt;span class="_ _7"&gt;&lt;/span&gt;ni&lt;span class="_ _7"&gt;&lt;/span&gt;se&lt;span class="_ _7"&gt;&lt;/span&gt;d ove&lt;span class="_ _7"&gt;&lt;/span&gt;r the &lt;/span&gt;&lt;span style="display:inherit;clear:left;"&gt;con&lt;span class="_ _7"&gt;&lt;/span&gt;tr&lt;span class="_ _7"&gt;&lt;/span&gt;ac&lt;span class="_ _7"&gt;&lt;/span&gt;t pe&lt;span class="_ _7"&gt;&lt;/span&gt;ri&lt;span class="_ _7"&gt;&lt;/span&gt;od&lt;span class="_ _7"&gt;&lt;/span&gt;. Th&lt;span class="_ _7"&gt;&lt;/span&gt;e reve&lt;span class="_ _7"&gt;&lt;/span&gt;nu&lt;span class="_ _7"&gt;&lt;/span&gt;e de&lt;span class="_ _7"&gt;&lt;/span&gt;fer&lt;span class="_ _7"&gt;&lt;/span&gt;re&lt;span class="_ _7"&gt;&lt;/span&gt;d is b&lt;span class="_ _7"&gt;&lt;/span&gt;a&lt;span class="_ _7"&gt;&lt;/span&gt;se&lt;span class="_ _7"&gt;&lt;/span&gt;d on s&lt;span class="_ _7"&gt;&lt;/span&gt;t&lt;span class="_ _7"&gt;&lt;/span&gt;and-al&lt;span class="_ _7"&gt;&lt;/span&gt;one  &lt;/span&gt;&lt;span style="display:inherit;clear:left;"&gt;se&lt;span class="_ _7"&gt;&lt;/span&gt;lli&lt;span class="_ _7"&gt;&lt;/span&gt;ng pr&lt;span class="_ _7"&gt;&lt;/span&gt;ic&lt;span class="_ _7"&gt;&lt;/span&gt;e&lt;span class="_ _7"&gt;&lt;/span&gt;s, o&lt;span class="_ _7"&gt;&lt;/span&gt;r if n&lt;span class="_ _7"&gt;&lt;/span&gt;ot o&lt;span class="_ _7"&gt;&lt;/span&gt;bs&lt;span class="_ _7"&gt;&lt;/span&gt;er&lt;span class="_ _9"&gt;&lt;/span&gt;vab&lt;span class="_ _7"&gt;&lt;/span&gt;le, e&lt;span class="_ _7"&gt;&lt;/span&gt;s&lt;span class="_ _7"&gt;&lt;/span&gt;tim&lt;span class="_ _7"&gt;&lt;/span&gt;ate&lt;span class="_ _7"&gt;&lt;/span&gt;d ba&lt;span class="_ _7"&gt;&lt;/span&gt;s&lt;span class="_ _7"&gt;&lt;/span&gt;ed</t>
  </si>
  <si>
    <t>f1__s8__6__35</t>
  </si>
  <si>
    <t>ifrs-full:DisclosureOfRevenueFromContractsWithCustomersExplanatory</t>
  </si>
  <si>
    <t>f1__s8__6__36</t>
  </si>
  <si>
    <t>ifrs-full:DescriptionOfAccountingPolicyForRecognitionOfRevenue</t>
  </si>
  <si>
    <t>&lt;span style="display:inherit;clear:left;"&gt;ACCOUNTING&lt;span class="_ _2"&gt;&lt;/span&gt; POLICIES&lt;/span&gt;&lt;span style="display:inherit;clear:left;"&gt;Reve&lt;span class="_ _7"&gt;&lt;/span&gt;nue f&lt;span class="_ _7"&gt;&lt;/span&gt;ro&lt;span class="_ _7"&gt;&lt;/span&gt;m th&lt;span class="_ _7"&gt;&lt;/span&gt;e sa&lt;span class="_ _7"&gt;&lt;/span&gt;le o&lt;span class="_ _7"&gt;&lt;/span&gt;f go&lt;span class="_ _7"&gt;&lt;/span&gt;od&lt;span class="_ _7"&gt;&lt;/span&gt;s an&lt;span class="_ _7"&gt;&lt;/span&gt;d se&lt;span class="_ _7"&gt;&lt;/span&gt;r&lt;span class="_ _7"&gt;&lt;/span&gt;vi&lt;span class="_ _7"&gt;&lt;/span&gt;ce&lt;span class="_ _7"&gt;&lt;/span&gt;s i&lt;span class="_ _7"&gt;&lt;/span&gt;s valu&lt;span class="_ _7"&gt;&lt;/span&gt;ed a&lt;span class="_ _7"&gt;&lt;/span&gt;t tr&lt;span class="_ _7"&gt;&lt;/span&gt;an&lt;span class="_ _7"&gt;&lt;/span&gt;sa&lt;span class="_ _7"&gt;&lt;/span&gt;ct&lt;span class="_ _7"&gt;&lt;/span&gt;ion &lt;/span&gt;&lt;span style="display:inherit;clear:left;"&gt;pr&lt;span class="_ _7"&gt;&lt;/span&gt;ice l&lt;span class="_ _7"&gt;&lt;/span&gt;es&lt;span class="_ _7"&gt;&lt;/span&gt;s s&lt;span class="_ _7"&gt;&lt;/span&gt;a&lt;span class="_ _7"&gt;&lt;/span&gt;les t&lt;span class="_ _7"&gt;&lt;/span&gt;a&lt;span class="_ _7"&gt;&lt;/span&gt;xe&lt;span class="_ _7"&gt;&lt;/span&gt;s and i&lt;span class="_ _7"&gt;&lt;/span&gt;s re&lt;span class="_ _7"&gt;&lt;/span&gt;co&lt;span class="_ _7"&gt;&lt;/span&gt;gn&lt;span class="_ _7"&gt;&lt;/span&gt;is&lt;span class="_ _7"&gt;&lt;/span&gt;ed w&lt;span class="_ _7"&gt;&lt;/span&gt;he&lt;span class="_ _7"&gt;&lt;/span&gt;n co&lt;span class="_ _7"&gt;&lt;/span&gt;ntr&lt;span class="_ _7"&gt;&lt;/span&gt;ol o&lt;span class="_ _7"&gt;&lt;/span&gt;f the d&lt;span class="_ _7"&gt;&lt;/span&gt;el&lt;span class="_ _7"&gt;&lt;/span&gt;iv-&lt;/span&gt;&lt;span style="display:inherit;clear:left;"&gt;ere&lt;span class="_ _7"&gt;&lt;/span&gt;d go&lt;span class="_ _7"&gt;&lt;/span&gt;o&lt;span class="_ _7"&gt;&lt;/span&gt;d or s&lt;span class="_ _7"&gt;&lt;/span&gt;er&lt;span class="_ _7"&gt;&lt;/span&gt;v&lt;span class="_ _7"&gt;&lt;/span&gt;ic&lt;span class="_ _7"&gt;&lt;/span&gt;e is t&lt;span class="_ _7"&gt;&lt;/span&gt;ra&lt;span class="_ _7"&gt;&lt;/span&gt;ns&lt;span class="_ _7"&gt;&lt;/span&gt;fe&lt;span class="_ _7"&gt;&lt;/span&gt;rr&lt;span class="_ _7"&gt;&lt;/span&gt;ed to t&lt;span class="_ _7"&gt;&lt;/span&gt;he cu&lt;span class="_ _7"&gt;&lt;/span&gt;s&lt;span class="_ _7"&gt;&lt;/span&gt;tom&lt;span class="_ _7"&gt;&lt;/span&gt;er. Cont&lt;span class="_ _7"&gt;&lt;/span&gt;ro&lt;span class="_ _7"&gt;&lt;/span&gt;l pa&lt;span class="_ _7"&gt;&lt;/span&gt;s&lt;span class="_ _7"&gt;&lt;/span&gt;se&lt;span class="_ _7"&gt;&lt;/span&gt;s &lt;/span&gt;&lt;span style="display:inherit;clear:left;"&gt;to the c&lt;span class="_ _7"&gt;&lt;/span&gt;us&lt;span class="_ _7"&gt;&lt;/span&gt;to&lt;span class="_ _7"&gt;&lt;/span&gt;mer g&lt;span class="_ _7"&gt;&lt;/span&gt;en&lt;span class="_ _7"&gt;&lt;/span&gt;er&lt;span class="_ _7"&gt;&lt;/span&gt;al&lt;span class="_ _7"&gt;&lt;/span&gt;ly wh&lt;span class="_ _7"&gt;&lt;/span&gt;en th&lt;span class="_ _7"&gt;&lt;/span&gt;ey c&lt;span class="_ _7"&gt;&lt;/span&gt;an di&lt;span class="_ _7"&gt;&lt;/span&gt;re&lt;span class="_ _7"&gt;&lt;/span&gt;ct th&lt;span class="_ _7"&gt;&lt;/span&gt;e us&lt;span class="_ _7"&gt;&lt;/span&gt;e o&lt;span class="_ _7"&gt;&lt;/span&gt;f and &lt;/span&gt;&lt;span style="display:inherit;clear:left;"&gt;obt&lt;span class="_ _7"&gt;&lt;/span&gt;ai&lt;span class="_ _7"&gt;&lt;/span&gt;n the b&lt;span class="_ _7"&gt;&lt;/span&gt;en&lt;span class="_ _7"&gt;&lt;/span&gt;ef&lt;span class="_ _7"&gt;&lt;/span&gt;i&lt;span class="_ _7"&gt;&lt;/span&gt;ts f&lt;span class="_ _7"&gt;&lt;/span&gt;ro&lt;span class="_ _7"&gt;&lt;/span&gt;m the g&lt;span class="_ _7"&gt;&lt;/span&gt;oo&lt;span class="_ _7"&gt;&lt;/span&gt;d or s&lt;span class="_ _7"&gt;&lt;/span&gt;e&lt;span class="_ _7"&gt;&lt;/span&gt;r&lt;span class="_ _7"&gt;&lt;/span&gt;vi&lt;span class="_ _7"&gt;&lt;/span&gt;ce&lt;span class="_ _7"&gt;&lt;/span&gt;. Thi&lt;span class="_ _7"&gt;&lt;/span&gt;s p&lt;span class="_ _7"&gt;&lt;/span&gt;as&lt;span class="_ _7"&gt;&lt;/span&gt;si&lt;span class="_ _7"&gt;&lt;/span&gt;ng o&lt;span class="_ _7"&gt;&lt;/span&gt;f con&lt;span class="_ _7"&gt;&lt;/span&gt;tro&lt;span class="_ _7"&gt;&lt;/span&gt;l &lt;/span&gt;&lt;span style="display:inherit;clear:left;"&gt;ca&lt;span class="_ _7"&gt;&lt;/span&gt;n hap&lt;span class="_ _7"&gt;&lt;/span&gt;p&lt;span class="_ _7"&gt;&lt;/span&gt;en at a p&lt;span class="_ _7"&gt;&lt;/span&gt;oi&lt;span class="_ _7"&gt;&lt;/span&gt;nt in t&lt;span class="_ _7"&gt;&lt;/span&gt;ime o&lt;span class="_ _7"&gt;&lt;/span&gt;r ove&lt;span class="_ _7"&gt;&lt;/span&gt;r a pe&lt;span class="_ _7"&gt;&lt;/span&gt;ri&lt;span class="_ _7"&gt;&lt;/span&gt;od o&lt;span class="_ _7"&gt;&lt;/span&gt;f tim&lt;span class="_ _7"&gt;&lt;/span&gt;e an&lt;span class="_ _7"&gt;&lt;/span&gt;d reve&lt;span class="_ _7"&gt;&lt;/span&gt;nu&lt;span class="_ _7"&gt;&lt;/span&gt;e &lt;/span&gt;&lt;span style="display:inherit;clear:left;"&gt;recognition foll&lt;span class="_ _2"&gt;&lt;/span&gt;ows this.&lt;/span&gt;&lt;span style="display:inherit;clear:left;"&gt;For b&lt;span class="_ _7"&gt;&lt;/span&gt;un&lt;span class="_ _7"&gt;&lt;/span&gt;dle&lt;span class="_ _7"&gt;&lt;/span&gt;d s&lt;span class="_ _7"&gt;&lt;/span&gt;ale&lt;span class="_ _7"&gt;&lt;/span&gt;s co&lt;span class="_ _7"&gt;&lt;/span&gt;ntr&lt;span class="_ _7"&gt;&lt;/span&gt;ac&lt;span class="_ _7"&gt;&lt;/span&gt;t&lt;span class="_ _7"&gt;&lt;/span&gt;s whi&lt;span class="_ _7"&gt;&lt;/span&gt;ch in&lt;span class="_ _7"&gt;&lt;/span&gt;clu&lt;span class="_ _7"&gt;&lt;/span&gt;de b&lt;span class="_ _7"&gt;&lt;/span&gt;oth a c&lt;span class="_ _7"&gt;&lt;/span&gt;ar a&lt;span class="_ _7"&gt;&lt;/span&gt;nd s&lt;span class="_ _7"&gt;&lt;/span&gt;er&lt;span class="_ _9"&gt;&lt;/span&gt;vic&lt;span class="_ _7"&gt;&lt;/span&gt;e&lt;span class="_ _7"&gt;&lt;/span&gt;s &lt;/span&gt;&lt;span style="display:inherit;clear:left;"&gt;wh&lt;span class="_ _7"&gt;&lt;/span&gt;ere t&lt;span class="_ _7"&gt;&lt;/span&gt;he cu&lt;span class="_ _7"&gt;&lt;/span&gt;s&lt;span class="_ _7"&gt;&lt;/span&gt;tom&lt;span class="_ _7"&gt;&lt;/span&gt;er c&lt;span class="_ _7"&gt;&lt;/span&gt;an b&lt;span class="_ _7"&gt;&lt;/span&gt;en&lt;span class="_ _7"&gt;&lt;/span&gt;ef&lt;span class="_ _7"&gt;&lt;/span&gt;it f&lt;span class="_ _7"&gt;&lt;/span&gt;ro&lt;span class="_ _7"&gt;&lt;/span&gt;m the&lt;span class="_ _7"&gt;&lt;/span&gt;s&lt;span class="_ _7"&gt;&lt;/span&gt;e in&lt;span class="_ _7"&gt;&lt;/span&gt;de&lt;span class="_ _7"&gt;&lt;/span&gt;pe&lt;span class="_ _7"&gt;&lt;/span&gt;nd&lt;span class="_ _7"&gt;&lt;/span&gt;ent&lt;span class="_ _7"&gt;&lt;/span&gt;ly of e&lt;span class="_ _7"&gt;&lt;/span&gt;ach &lt;/span&gt;&lt;span style="display:inherit;clear:left;"&gt;oth&lt;span class="_ _7"&gt;&lt;/span&gt;er, the tr&lt;span class="_ _7"&gt;&lt;/span&gt;an&lt;span class="_ _7"&gt;&lt;/span&gt;sa&lt;span class="_ _7"&gt;&lt;/span&gt;ct&lt;span class="_ _7"&gt;&lt;/span&gt;ion p&lt;span class="_ _7"&gt;&lt;/span&gt;ri&lt;span class="_ _7"&gt;&lt;/span&gt;ce o&lt;span class="_ _7"&gt;&lt;/span&gt;f the c&lt;span class="_ _7"&gt;&lt;/span&gt;ar i&lt;span class="_ _7"&gt;&lt;/span&gt;s re&lt;span class="_ _7"&gt;&lt;/span&gt;du&lt;span class="_ _7"&gt;&lt;/span&gt;ce&lt;span class="_ _7"&gt;&lt;/span&gt;d by al&lt;span class="_ _7"&gt;&lt;/span&gt;loc&lt;span class="_ _7"&gt;&lt;/span&gt;at&lt;span class="_ _7"&gt;&lt;/span&gt;ing a &lt;/span&gt;&lt;span style="display:inherit;clear:left;"&gt;transaction price to&lt;span class="_ _2"&gt;&lt;/span&gt; the service&lt;span class="_ _7"&gt;&lt;/span&gt;s based on stand&lt;span class="_ _2"&gt;&lt;/span&gt;-alone sellin&lt;span class="_ _2"&gt;&lt;/span&gt;g &lt;/span&gt;&lt;span style="display:inherit;clear:left;"&gt;pr&lt;span class="_ _7"&gt;&lt;/span&gt;ice&lt;span class="_ _7"&gt;&lt;/span&gt;s&lt;span class="_ _7"&gt;&lt;/span&gt;, or a&lt;span class="_ _7"&gt;&lt;/span&gt;n es&lt;span class="_ _7"&gt;&lt;/span&gt;ti&lt;span class="_ _7"&gt;&lt;/span&gt;ma&lt;span class="_ _7"&gt;&lt;/span&gt;te the&lt;span class="_ _7"&gt;&lt;/span&gt;re&lt;span class="_ _7"&gt;&lt;/span&gt;of b&lt;span class="_ _7"&gt;&lt;/span&gt;as&lt;span class="_ _7"&gt;&lt;/span&gt;e&lt;span class="_ _7"&gt;&lt;/span&gt;d on th&lt;span class="_ _7"&gt;&lt;/span&gt;e exp&lt;span class="_ _7"&gt;&lt;/span&gt;e&lt;span class="_ _7"&gt;&lt;/span&gt;cte&lt;span class="_ _7"&gt;&lt;/span&gt;d co&lt;span class="_ _7"&gt;&lt;/span&gt;s&lt;span class="_ _7"&gt;&lt;/span&gt;t plu&lt;span class="_ _7"&gt;&lt;/span&gt;s a &lt;/span&gt;&lt;span style="display:inherit;clear:left;"&gt;margin approach&lt;span class="_ _7"&gt;&lt;/span&gt;.&lt;/span&gt;&lt;span style="display:inherit;clear:left;"&gt;Sales contracts may&lt;span class="_ _2"&gt;&lt;/span&gt; include variabl&lt;span class="_ _2"&gt;&lt;/span&gt;e revenue com&lt;span class="_ _2"&gt;&lt;/span&gt;ponent&lt;span class="_ _7"&gt;&lt;/span&gt;s, such &lt;/span&gt;&lt;span style="display:inherit;clear:left;"&gt;as vo&lt;span class="_ _7"&gt;&lt;/span&gt;lum&lt;span class="_ _7"&gt;&lt;/span&gt;e di&lt;span class="_ _7"&gt;&lt;/span&gt;sc&lt;span class="_ _7"&gt;&lt;/span&gt;ou&lt;span class="_ _7"&gt;&lt;/span&gt;nt&lt;span class="_ _7"&gt;&lt;/span&gt;s&lt;span class="_ _7"&gt;&lt;/span&gt;, inc&lt;span class="_ _7"&gt;&lt;/span&gt;en&lt;span class="_ _7"&gt;&lt;/span&gt;tiv&lt;span class="_ _7"&gt;&lt;/span&gt;e pro&lt;span class="_ _7"&gt;&lt;/span&gt;gr&lt;span class="_ _7"&gt;&lt;/span&gt;am&lt;span class="_ _7"&gt;&lt;/span&gt;me&lt;span class="_ _7"&gt;&lt;/span&gt;s&lt;span class="_ _7"&gt;&lt;/span&gt;, an&lt;span class="_ _7"&gt;&lt;/span&gt;d oth&lt;span class="_ _7"&gt;&lt;/span&gt;er di&lt;span class="_ _7"&gt;&lt;/span&gt;s&lt;span class="_ _7"&gt;&lt;/span&gt;co&lt;span class="_ _7"&gt;&lt;/span&gt;unt&lt;span class="_ _7"&gt;&lt;/span&gt;s &lt;/span&gt;&lt;span style="display:inherit;clear:left;"&gt;tha&lt;span class="_ _7"&gt;&lt;/span&gt;t are p&lt;span class="_ _7"&gt;&lt;/span&gt;ai&lt;span class="_ _7"&gt;&lt;/span&gt;d ou&lt;span class="_ _7"&gt;&lt;/span&gt;t at a l&lt;span class="_ _7"&gt;&lt;/span&gt;ate&lt;span class="_ _7"&gt;&lt;/span&gt;r date&lt;span class="_ _7"&gt;&lt;/span&gt;. Wh&lt;span class="_ _7"&gt;&lt;/span&gt;en r&lt;span class="_ _7"&gt;&lt;/span&gt;even&lt;span class="_ _7"&gt;&lt;/span&gt;ue i&lt;span class="_ _7"&gt;&lt;/span&gt;s re&lt;span class="_ _7"&gt;&lt;/span&gt;co&lt;span class="_ _7"&gt;&lt;/span&gt;gni&lt;span class="_ _7"&gt;&lt;/span&gt;s&lt;span class="_ _7"&gt;&lt;/span&gt;ed f&lt;span class="_ _7"&gt;&lt;/span&gt;ro&lt;span class="_ _7"&gt;&lt;/span&gt;m &lt;/span&gt;&lt;span style="display:inherit;clear:left;"&gt;the&lt;span class="_ _7"&gt;&lt;/span&gt;s&lt;span class="_ _7"&gt;&lt;/span&gt;e tr&lt;span class="_ _7"&gt;&lt;/span&gt;an&lt;span class="_ _7"&gt;&lt;/span&gt;sa&lt;span class="_ _7"&gt;&lt;/span&gt;ct&lt;span class="_ _7"&gt;&lt;/span&gt;ion&lt;span class="_ _7"&gt;&lt;/span&gt;s&lt;span class="_ _7"&gt;&lt;/span&gt;, it i&lt;span class="_ _7"&gt;&lt;/span&gt;s ad&lt;span class="_ _7"&gt;&lt;/span&gt;jus&lt;span class="_ _7"&gt;&lt;/span&gt;te&lt;span class="_ _7"&gt;&lt;/span&gt;d by th&lt;span class="_ _7"&gt;&lt;/span&gt;e es&lt;span class="_ _7"&gt;&lt;/span&gt;ti&lt;span class="_ _7"&gt;&lt;/span&gt;ma&lt;span class="_ _7"&gt;&lt;/span&gt;ted v&lt;span class="_ _7"&gt;&lt;/span&gt;alu&lt;span class="_ _7"&gt;&lt;/span&gt;e of th&lt;span class="_ _7"&gt;&lt;/span&gt;e va&lt;span class="_ _7"&gt;&lt;/span&gt;ri&lt;span class="_ _7"&gt;&lt;/span&gt;a-&lt;/span&gt;&lt;span style="display:inherit;clear:left;"&gt;ble components, which&lt;span class="_ _2"&gt;&lt;/span&gt; is recognised as a con&lt;span class="_ _2"&gt;&lt;/span&gt;tract liability.&lt;/span&gt;&lt;span style="display:inherit;clear:left;"&gt;For s&lt;span class="_ _7"&gt;&lt;/span&gt;al&lt;span class="_ _7"&gt;&lt;/span&gt;es c&lt;span class="_ _7"&gt;&lt;/span&gt;ont&lt;span class="_ _7"&gt;&lt;/span&gt;ra&lt;span class="_ _7"&gt;&lt;/span&gt;ct&lt;span class="_ _7"&gt;&lt;/span&gt;s wh&lt;span class="_ _7"&gt;&lt;/span&gt;er&lt;span class="_ _7"&gt;&lt;/span&gt;e Volvo Ca&lt;span class="_ _7"&gt;&lt;/span&gt;r Gro&lt;span class="_ _7"&gt;&lt;/span&gt;up h&lt;span class="_ _7"&gt;&lt;/span&gt;as a&lt;span class="_ _7"&gt;&lt;/span&gt;n ob&lt;span class="_ _7"&gt;&lt;/span&gt;lig&lt;span class="_ _7"&gt;&lt;/span&gt;ati&lt;span class="_ _7"&gt;&lt;/span&gt;on to &lt;/span&gt;&lt;span style="display:inherit;clear:left;"&gt;transfer goods or services to the&lt;span class="_ _2"&gt;&lt;/span&gt; customer and has r&lt;span class="_ _2"&gt;&lt;/span&gt;ecei&lt;span class="_ _7"&gt;&lt;/span&gt;ved consid&lt;span class="_ _2"&gt;&lt;/span&gt;&lt;span class="ls3 ws3"&gt;-&lt;/span&gt;&lt;/span&gt;&lt;span style="display:inherit;clear:left;"&gt;eration in&lt;span class="_ _2"&gt;&lt;/span&gt; advance, or an&lt;span class="_ _2"&gt;&lt;/span&gt; amount of consideration&lt;span class="_ _2"&gt;&lt;/span&gt; is due from the&lt;span class="_ _2"&gt;&lt;/span&gt; &lt;/span&gt;&lt;span style="display:inherit;clear:left;"&gt;cus&lt;span class="_ _7"&gt;&lt;/span&gt;to&lt;span class="_ _7"&gt;&lt;/span&gt;me&lt;span class="_ _7"&gt;&lt;/span&gt;r&lt;span class="_ _2"&gt;&lt;/span&gt;, a c&lt;span class="_ _7"&gt;&lt;/span&gt;ont&lt;span class="_ _7"&gt;&lt;/span&gt;ra&lt;span class="_ _7"&gt;&lt;/span&gt;ct li&lt;span class="_ _7"&gt;&lt;/span&gt;ab&lt;span class="_ _7"&gt;&lt;/span&gt;ili&lt;span class="_ _7"&gt;&lt;/span&gt;t&lt;span class="_ _7"&gt;&lt;/span&gt;y is r&lt;span class="_ _7"&gt;&lt;/span&gt;ec&lt;span class="_ _7"&gt;&lt;/span&gt;og&lt;span class="_ _7"&gt;&lt;/span&gt;nis&lt;span class="_ _7"&gt;&lt;/span&gt;e&lt;span class="_ _7"&gt;&lt;/span&gt;d. R&lt;span class="_ _7"&gt;&lt;/span&gt;even&lt;span class="_ _7"&gt;&lt;/span&gt;ue i&lt;span class="_ _7"&gt;&lt;/span&gt;s the&lt;span class="_ _7"&gt;&lt;/span&gt;n re&lt;span class="_ _7"&gt;&lt;/span&gt;co&lt;span class="_ _7"&gt;&lt;/span&gt;g-&lt;/span&gt;&lt;span style="display:inherit;clear:left;"&gt;nis&lt;span class="_ _7"&gt;&lt;/span&gt;e&lt;span class="_ _7"&gt;&lt;/span&gt;d, a&lt;span class="_ _7"&gt;&lt;/span&gt;nd th&lt;span class="_ _7"&gt;&lt;/span&gt;e co&lt;span class="_ _7"&gt;&lt;/span&gt;ntr&lt;span class="_ _7"&gt;&lt;/span&gt;ac&lt;span class="_ _7"&gt;&lt;/span&gt;t li&lt;span class="_ _7"&gt;&lt;/span&gt;abi&lt;span class="_ _7"&gt;&lt;/span&gt;li&lt;span class="_ _7"&gt;&lt;/span&gt;t&lt;span class="_ _7"&gt;&lt;/span&gt;y der&lt;span class="_ _7"&gt;&lt;/span&gt;ec&lt;span class="_ _7"&gt;&lt;/span&gt;og&lt;span class="_ _7"&gt;&lt;/span&gt;ni&lt;span class="_ _7"&gt;&lt;/span&gt;se&lt;span class="_ _7"&gt;&lt;/span&gt;d wh&lt;span class="_ _7"&gt;&lt;/span&gt;en t&lt;span class="_ _7"&gt;&lt;/span&gt;he go&lt;span class="_ _7"&gt;&lt;/span&gt;o&lt;span class="_ _7"&gt;&lt;/span&gt;d or  &lt;/span&gt;&lt;span style="display:inherit;clear:left;"&gt;se&lt;span class="_ _7"&gt;&lt;/span&gt;r&lt;span class="_ _7"&gt;&lt;/span&gt;vi&lt;span class="_ _7"&gt;&lt;/span&gt;ce i&lt;span class="_ _7"&gt;&lt;/span&gt;s tr&lt;span class="_ _7"&gt;&lt;/span&gt;an&lt;span class="_ _7"&gt;&lt;/span&gt;s&lt;span class="_ _7"&gt;&lt;/span&gt;fer&lt;span class="_ _7"&gt;&lt;/span&gt;re&lt;span class="_ _7"&gt;&lt;/span&gt;d to th&lt;span class="_ _7"&gt;&lt;/span&gt;e cu&lt;span class="_ _7"&gt;&lt;/span&gt;sto&lt;span class="_ _7"&gt;&lt;/span&gt;me&lt;span class="_ _7"&gt;&lt;/span&gt;r&lt;span class="_ _2"&gt;&lt;/span&gt;. T&lt;span class="_ _7"&gt;&lt;/span&gt;hi&lt;span class="_ _7"&gt;&lt;/span&gt;s app&lt;span class="_ _7"&gt;&lt;/span&gt;li&lt;span class="_ _7"&gt;&lt;/span&gt;es t&lt;span class="_ _7"&gt;&lt;/span&gt;o sa&lt;span class="_ _7"&gt;&lt;/span&gt;le&lt;span class="_ _7"&gt;&lt;/span&gt;s co&lt;span class="_ _7"&gt;&lt;/span&gt;n-&lt;/span&gt;&lt;span style="display:inherit;clear:left;"&gt;tr&lt;span class="_ _7"&gt;&lt;/span&gt;act&lt;span class="_ _7"&gt;&lt;/span&gt;s w&lt;span class="_ _7"&gt;&lt;/span&gt;ith r&lt;span class="_ _7"&gt;&lt;/span&gt;es&lt;span class="_ _7"&gt;&lt;/span&gt;id&lt;span class="_ _7"&gt;&lt;/span&gt;ual v&lt;span class="_ _7"&gt;&lt;/span&gt;alu&lt;span class="_ _7"&gt;&lt;/span&gt;e gu&lt;span class="_ _7"&gt;&lt;/span&gt;ar&lt;span class="_ _7"&gt;&lt;/span&gt;an&lt;span class="_ _7"&gt;&lt;/span&gt;tee&lt;span class="_ _7"&gt;&lt;/span&gt;s&lt;span class="_ _7"&gt;&lt;/span&gt;, s&lt;span class="_ _7"&gt;&lt;/span&gt;ale&lt;span class="_ _7"&gt;&lt;/span&gt;s re&lt;span class="_ _7"&gt;&lt;/span&gt;la&lt;span class="_ _7"&gt;&lt;/span&gt;ted t&lt;span class="_ _7"&gt;&lt;/span&gt;o ex&lt;span class="_ _7"&gt;&lt;/span&gt;ten&lt;span class="_ _7"&gt;&lt;/span&gt;de&lt;span class="_ _7"&gt;&lt;/span&gt;d  &lt;/span&gt;&lt;span style="display:inherit;clear:left;"&gt;ser&lt;span class="_ _7"&gt;&lt;/span&gt;vice business&lt;span class="_ _7"&gt;&lt;/span&gt;, sales with&lt;span class="_ _2"&gt;&lt;/span&gt; repurchase commitment, and&lt;span class="_ _2"&gt;&lt;/span&gt; advance &lt;/span&gt;&lt;span style="display:inherit;clear:left;"&gt;payments from customers. The&lt;span class="_ _2"&gt;&lt;/span&gt; contract liability is derecognised &lt;/span&gt;&lt;span style="display:inherit;clear:left;"&gt;aga&lt;span class="_ _7"&gt;&lt;/span&gt;in&lt;span class="_ _7"&gt;&lt;/span&gt;st c&lt;span class="_ _7"&gt;&lt;/span&gt;a&lt;span class="_ _7"&gt;&lt;/span&gt;sh an&lt;span class="_ _7"&gt;&lt;/span&gt;d c&lt;span class="_ _7"&gt;&lt;/span&gt;as&lt;span class="_ _7"&gt;&lt;/span&gt;h eq&lt;span class="_ _7"&gt;&lt;/span&gt;ui&lt;span class="_ _7"&gt;&lt;/span&gt;vale&lt;span class="_ _7"&gt;&lt;/span&gt;nt&lt;span class="_ _7"&gt;&lt;/span&gt;s wh&lt;span class="_ _7"&gt;&lt;/span&gt;en i&lt;span class="_ _7"&gt;&lt;/span&gt;t pay&lt;span class="_ _7"&gt;&lt;/span&gt;s ou&lt;span class="_ _7"&gt;&lt;/span&gt;t or s&lt;span class="_ _7"&gt;&lt;/span&gt;et&lt;span class="_ _7"&gt;&lt;/span&gt;tl&lt;span class="_ _7"&gt;&lt;/span&gt;es s&lt;span class="_ _7"&gt;&lt;/span&gt;a&lt;span class="_ _7"&gt;&lt;/span&gt;les &lt;/span&gt;&lt;span style="display:inherit;clear:left;"&gt;generated obli&lt;span class="_ _2"&gt;&lt;/span&gt;gations such as a&lt;span class="_ _2"&gt;&lt;/span&gt; discount.&lt;/span&gt;&lt;span style="display:inherit;clear:left;"&gt;Revenue f&lt;span class="_ _7"&gt;&lt;/span&gt;rom sa&lt;span class="_ _7"&gt;&lt;/span&gt;le of goo&lt;span class="_ _7"&gt;&lt;/span&gt;ds&lt;/span&gt;&lt;span style="display:inherit;clear:left;"&gt;Reve&lt;span class="_ _7"&gt;&lt;/span&gt;nue r&lt;span class="_ _7"&gt;&lt;/span&gt;ec&lt;span class="_ _7"&gt;&lt;/span&gt;og&lt;span class="_ _7"&gt;&lt;/span&gt;ni&lt;span class="_ _7"&gt;&lt;/span&gt;tio&lt;span class="_ _7"&gt;&lt;/span&gt;n for s&lt;span class="_ _7"&gt;&lt;/span&gt;a&lt;span class="_ _7"&gt;&lt;/span&gt;le of n&lt;span class="_ _7"&gt;&lt;/span&gt;ew an&lt;span class="_ _7"&gt;&lt;/span&gt;d u&lt;span class="_ _7"&gt;&lt;/span&gt;se&lt;span class="_ _7"&gt;&lt;/span&gt;d ca&lt;span class="_ _7"&gt;&lt;/span&gt;r&lt;span class="_ _7"&gt;&lt;/span&gt;s, p&lt;span class="_ _7"&gt;&lt;/span&gt;ar&lt;span class="_ _7"&gt;&lt;/span&gt;t&lt;span class="_ _7"&gt;&lt;/span&gt;s an&lt;span class="_ _7"&gt;&lt;/span&gt;d ac&lt;span class="_ _7"&gt;&lt;/span&gt;ce&lt;span class="_ _7"&gt;&lt;/span&gt;s-&lt;/span&gt;&lt;span style="display:inherit;clear:left;"&gt;so&lt;span class="_ _7"&gt;&lt;/span&gt;ri&lt;span class="_ _7"&gt;&lt;/span&gt;es a&lt;span class="_ _7"&gt;&lt;/span&gt;s we&lt;span class="_ _7"&gt;&lt;/span&gt;ll as s&lt;span class="_ _7"&gt;&lt;/span&gt;a&lt;span class="_ _7"&gt;&lt;/span&gt;le of g&lt;span class="_ _7"&gt;&lt;/span&gt;oo&lt;span class="_ _7"&gt;&lt;/span&gt;ds t&lt;span class="_ _7"&gt;&lt;/span&gt;hat a&lt;span class="_ _7"&gt;&lt;/span&gt;re p&lt;span class="_ _7"&gt;&lt;/span&gt;ar&lt;span class="_ _7"&gt;&lt;/span&gt;t o&lt;span class="_ _7"&gt;&lt;/span&gt;f co&lt;span class="_ _7"&gt;&lt;/span&gt;ntr&lt;span class="_ _7"&gt;&lt;/span&gt;ac&lt;span class="_ _7"&gt;&lt;/span&gt;t ma&lt;span class="_ _7"&gt;&lt;/span&gt;nu&lt;span class="_ _7"&gt;&lt;/span&gt;fa&lt;span class="_ _7"&gt;&lt;/span&gt;ctu&lt;span class="_ _7"&gt;&lt;/span&gt;r&lt;span class="_ _2"&gt;&lt;/span&gt;-&lt;/span&gt;&lt;span style="display:inherit;clear:left;"&gt;ing arrang&lt;span class="_ _2"&gt;&lt;/span&gt;ements&lt;span class="_ _7"&gt;&lt;/span&gt;, depends on specific con&lt;span class="_ _2"&gt;&lt;/span&gt;tract terms, but generally&lt;span class="_ _2"&gt;&lt;/span&gt; &lt;/span&gt;&lt;span style="display:inherit;clear:left;"&gt;is at a p&lt;span class="_ _7"&gt;&lt;/span&gt;oi&lt;span class="_ _7"&gt;&lt;/span&gt;nt in t&lt;span class="_ _7"&gt;&lt;/span&gt;im&lt;span class="_ _7"&gt;&lt;/span&gt;e aro&lt;span class="_ _7"&gt;&lt;/span&gt;un&lt;span class="_ _7"&gt;&lt;/span&gt;d wh&lt;span class="_ _7"&gt;&lt;/span&gt;en th&lt;span class="_ _7"&gt;&lt;/span&gt;e cu&lt;span class="_ _7"&gt;&lt;/span&gt;sto&lt;span class="_ _7"&gt;&lt;/span&gt;me&lt;span class="_ _7"&gt;&lt;/span&gt;r ta&lt;span class="_ _7"&gt;&lt;/span&gt;kes p&lt;span class="_ _7"&gt;&lt;/span&gt;hys&lt;span class="_ _7"&gt;&lt;/span&gt;ic&lt;span class="_ _7"&gt;&lt;/span&gt;al  &lt;/span&gt;&lt;span style="display:inherit;clear:left;"&gt;poss&lt;span class="_ _7"&gt;&lt;/span&gt;ess&lt;span class="_ _7"&gt;&lt;/span&gt;ion. &lt;/span&gt;&lt;span style="display:inherit;clear:left;"&gt;For th&lt;span class="_ _7"&gt;&lt;/span&gt;e s&lt;span class="_ _7"&gt;&lt;/span&gt;ale o&lt;span class="_ _7"&gt;&lt;/span&gt;f ca&lt;span class="_ _7"&gt;&lt;/span&gt;r&lt;span class="_ _7"&gt;&lt;/span&gt;s wh&lt;span class="_ _7"&gt;&lt;/span&gt;ere a r&lt;span class="_ _7"&gt;&lt;/span&gt;es&lt;span class="_ _7"&gt;&lt;/span&gt;id&lt;span class="_ _7"&gt;&lt;/span&gt;ua&lt;span class="_ _7"&gt;&lt;/span&gt;l val&lt;span class="_ _7"&gt;&lt;/span&gt;ue g&lt;span class="_ _7"&gt;&lt;/span&gt;uar&lt;span class="_ _7"&gt;&lt;/span&gt;an&lt;span class="_ _7"&gt;&lt;/span&gt;tee i&lt;span class="_ _7"&gt;&lt;/span&gt;s is&lt;span class="_ _7"&gt;&lt;/span&gt;s&lt;span class="_ _7"&gt;&lt;/span&gt;ue&lt;span class="_ _7"&gt;&lt;/span&gt;d to &lt;/span&gt;&lt;span style="display:inherit;clear:left;"&gt;an independent&lt;span class="_ _2"&gt;&lt;/span&gt; financing provider as&lt;span class="_ _2"&gt;&lt;/span&gt; par&lt;span class="_ _7"&gt;&lt;/span&gt;t of t&lt;span class="_ _2"&gt;&lt;/span&gt;he sales contract, &lt;/span&gt;&lt;span style="display:inherit;clear:left;"&gt; &lt;span class="_ _1"&gt;&lt;/span&gt;r&lt;span class="_ _7"&gt;&lt;/span&gt;even&lt;span class="_ _7"&gt;&lt;/span&gt;ue r&lt;span class="_ _7"&gt;&lt;/span&gt;ec&lt;span class="_ _7"&gt;&lt;/span&gt;og&lt;span class="_ _7"&gt;&lt;/span&gt;nis&lt;span class="_ _7"&gt;&lt;/span&gt;e&lt;span class="_ _7"&gt;&lt;/span&gt;d is r&lt;span class="_ _7"&gt;&lt;/span&gt;ed&lt;span class="_ _7"&gt;&lt;/span&gt;uce&lt;span class="_ _7"&gt;&lt;/span&gt;d by th&lt;span class="_ _7"&gt;&lt;/span&gt;e am&lt;span class="_ _7"&gt;&lt;/span&gt;ou&lt;span class="_ _7"&gt;&lt;/span&gt;nt co&lt;span class="_ _7"&gt;&lt;/span&gt;rr&lt;span class="_ _7"&gt;&lt;/span&gt;es&lt;span class="_ _7"&gt;&lt;/span&gt;po&lt;span class="_ _7"&gt;&lt;/span&gt;nd&lt;span class="_ _7"&gt;&lt;/span&gt;ing t&lt;span class="_ _7"&gt;&lt;/span&gt;o the &lt;/span&gt;&lt;span style="display:inherit;clear:left;"&gt;es&lt;span class="_ _7"&gt;&lt;/span&gt;ti&lt;span class="_ _7"&gt;&lt;/span&gt;mat&lt;span class="_ _7"&gt;&lt;/span&gt;ed r&lt;span class="_ _7"&gt;&lt;/span&gt;es&lt;span class="_ _7"&gt;&lt;/span&gt;id&lt;span class="_ _7"&gt;&lt;/span&gt;ual v&lt;span class="_ _7"&gt;&lt;/span&gt;alu&lt;span class="_ _7"&gt;&lt;/span&gt;e to be p&lt;span class="_ _7"&gt;&lt;/span&gt;ai&lt;span class="_ _7"&gt;&lt;/span&gt;d in th&lt;span class="_ _7"&gt;&lt;/span&gt;e f&lt;span class="_ _7"&gt;&lt;/span&gt;utu&lt;span class="_ _7"&gt;&lt;/span&gt;re. T&lt;span class="_ _7"&gt;&lt;/span&gt;hi&lt;span class="_ _7"&gt;&lt;/span&gt;s va&lt;span class="_ _7"&gt;&lt;/span&gt;lue i&lt;span class="_ _7"&gt;&lt;/span&gt;s re&lt;span class="_ _7"&gt;&lt;/span&gt;cog-&lt;/span&gt;&lt;span style="display:inherit;clear:left;"&gt;nis&lt;span class="_ _7"&gt;&lt;/span&gt;e&lt;span class="_ _7"&gt;&lt;/span&gt;d as a c&lt;span class="_ _7"&gt;&lt;/span&gt;ont&lt;span class="_ _7"&gt;&lt;/span&gt;ra&lt;span class="_ _7"&gt;&lt;/span&gt;ct li&lt;span class="_ _7"&gt;&lt;/span&gt;ab&lt;span class="_ _7"&gt;&lt;/span&gt;ili&lt;span class="_ _7"&gt;&lt;/span&gt;t&lt;span class="_ _7"&gt;&lt;/span&gt;y. &lt;/span&gt;&lt;span style="display:inherit;clear:left;"&gt;For th&lt;span class="_ _7"&gt;&lt;/span&gt;e s&lt;span class="_ _7"&gt;&lt;/span&gt;ale o&lt;span class="_ _7"&gt;&lt;/span&gt;f ca&lt;span class="_ _7"&gt;&lt;/span&gt;r&lt;span class="_ _7"&gt;&lt;/span&gt;s wh&lt;span class="_ _7"&gt;&lt;/span&gt;ere a r&lt;span class="_ _7"&gt;&lt;/span&gt;ep&lt;span class="_ _7"&gt;&lt;/span&gt;urc&lt;span class="_ _7"&gt;&lt;/span&gt;ha&lt;span class="_ _7"&gt;&lt;/span&gt;se c&lt;span class="_ _7"&gt;&lt;/span&gt;om&lt;span class="_ _7"&gt;&lt;/span&gt;mit&lt;span class="_ _7"&gt;&lt;/span&gt;me&lt;span class="_ _7"&gt;&lt;/span&gt;nt (rig&lt;span class="_ _7"&gt;&lt;/span&gt;ht o&lt;span class="_ _7"&gt;&lt;/span&gt;r &lt;/span&gt;&lt;span style="display:inherit;clear:left;"&gt;ob&lt;span class="_ _7"&gt;&lt;/span&gt;lig&lt;span class="_ _7"&gt;&lt;/span&gt;ati&lt;span class="_ _7"&gt;&lt;/span&gt;on to r&lt;span class="_ _7"&gt;&lt;/span&gt;ep&lt;span class="_ _7"&gt;&lt;/span&gt;urc&lt;span class="_ _7"&gt;&lt;/span&gt;ha&lt;span class="_ _7"&gt;&lt;/span&gt;se) is i&lt;span class="_ _7"&gt;&lt;/span&gt;s&lt;span class="_ _7"&gt;&lt;/span&gt;su&lt;span class="_ _7"&gt;&lt;/span&gt;ed t&lt;span class="_ _7"&gt;&lt;/span&gt;o the c&lt;span class="_ _7"&gt;&lt;/span&gt;us&lt;span class="_ _7"&gt;&lt;/span&gt;tom&lt;span class="_ _7"&gt;&lt;/span&gt;er a&lt;span class="_ _7"&gt;&lt;/span&gt;s pa&lt;span class="_ _7"&gt;&lt;/span&gt;r&lt;span class="_ _7"&gt;&lt;/span&gt;t of th&lt;span class="_ _7"&gt;&lt;/span&gt;e &lt;/span&gt;&lt;span style="display:inherit;clear:left;"&gt;sa&lt;span class="_ _7"&gt;&lt;/span&gt;le&lt;span class="_ _7"&gt;&lt;/span&gt;s co&lt;span class="_ _7"&gt;&lt;/span&gt;ntr&lt;span class="_ _7"&gt;&lt;/span&gt;ac&lt;span class="_ _7"&gt;&lt;/span&gt;t, r&lt;span class="_ _7"&gt;&lt;/span&gt;eve&lt;span class="_ _7"&gt;&lt;/span&gt;nue i&lt;span class="_ _7"&gt;&lt;/span&gt;s re&lt;span class="_ _7"&gt;&lt;/span&gt;co&lt;span class="_ _7"&gt;&lt;/span&gt;gn&lt;span class="_ _7"&gt;&lt;/span&gt;is&lt;span class="_ _7"&gt;&lt;/span&gt;ed o&lt;span class="_ _7"&gt;&lt;/span&gt;ver th&lt;span class="_ _7"&gt;&lt;/span&gt;e co&lt;span class="_ _7"&gt;&lt;/span&gt;ntr&lt;span class="_ _7"&gt;&lt;/span&gt;ac&lt;span class="_ _7"&gt;&lt;/span&gt;t p&lt;span class="_ _7"&gt;&lt;/span&gt;eri&lt;span class="_ _7"&gt;&lt;/span&gt;od a&lt;span class="_ _7"&gt;&lt;/span&gt;s i&lt;span class="_ _7"&gt;&lt;/span&gt;f it &lt;/span&gt;&lt;span style="display:inherit;clear:left;"&gt;wer&lt;span class="_ _7"&gt;&lt;/span&gt;e an op&lt;span class="_ _7"&gt;&lt;/span&gt;er&lt;span class="_ _7"&gt;&lt;/span&gt;at&lt;span class="_ _7"&gt;&lt;/span&gt;ing l&lt;span class="_ _7"&gt;&lt;/span&gt;ea&lt;span class="_ _7"&gt;&lt;/span&gt;se c&lt;span class="_ _7"&gt;&lt;/span&gt;ont&lt;span class="_ _7"&gt;&lt;/span&gt;ra&lt;span class="_ _7"&gt;&lt;/span&gt;ct d&lt;span class="_ _7"&gt;&lt;/span&gt;ue to th&lt;span class="_ _7"&gt;&lt;/span&gt;e cu&lt;span class="_ _7"&gt;&lt;/span&gt;st&lt;span class="_ _7"&gt;&lt;/span&gt;ome&lt;span class="_ _7"&gt;&lt;/span&gt;r no&lt;span class="_ _7"&gt;&lt;/span&gt;t obt&lt;span class="_ _7"&gt;&lt;/span&gt;ai&lt;span class="_ _7"&gt;&lt;/span&gt;nin&lt;span class="_ _7"&gt;&lt;/span&gt;g &lt;/span&gt;&lt;span style="display:inherit;clear:left;"&gt;con&lt;span class="_ _7"&gt;&lt;/span&gt;tr&lt;span class="_ _7"&gt;&lt;/span&gt;ol o&lt;span class="_ _7"&gt;&lt;/span&gt;f the c&lt;span class="_ _7"&gt;&lt;/span&gt;ar a&lt;span class="_ _7"&gt;&lt;/span&gt;t the p&lt;span class="_ _7"&gt;&lt;/span&gt;oi&lt;span class="_ _7"&gt;&lt;/span&gt;nt of s&lt;span class="_ _7"&gt;&lt;/span&gt;a&lt;span class="_ _7"&gt;&lt;/span&gt;le. T&lt;span class="_ _7"&gt;&lt;/span&gt;he d&lt;span class="_ _7"&gt;&lt;/span&gt;efe&lt;span class="_ _7"&gt;&lt;/span&gt;rr&lt;span class="_ _7"&gt;&lt;/span&gt;ed r&lt;span class="_ _7"&gt;&lt;/span&gt;eve&lt;span class="_ _7"&gt;&lt;/span&gt;nue&lt;span class="_ _7"&gt;&lt;/span&gt;, eq&lt;span class="_ _7"&gt;&lt;/span&gt;ua&lt;span class="_ _7"&gt;&lt;/span&gt;l to &lt;/span&gt;&lt;span style="display:inherit;clear:left;"&gt;the t&lt;span class="_ _7"&gt;&lt;/span&gt;ra&lt;span class="_ _7"&gt;&lt;/span&gt;ns&lt;span class="_ _7"&gt;&lt;/span&gt;ac&lt;span class="_ _7"&gt;&lt;/span&gt;ti&lt;span class="_ _7"&gt;&lt;/span&gt;on p&lt;span class="_ _7"&gt;&lt;/span&gt;ric&lt;span class="_ _7"&gt;&lt;/span&gt;e le&lt;span class="_ _7"&gt;&lt;/span&gt;s&lt;span class="_ _7"&gt;&lt;/span&gt;s s&lt;span class="_ _7"&gt;&lt;/span&gt;ale&lt;span class="_ _7"&gt;&lt;/span&gt;s t&lt;span class="_ _7"&gt;&lt;/span&gt;axe&lt;span class="_ _7"&gt;&lt;/span&gt;s le&lt;span class="_ _7"&gt;&lt;/span&gt;s&lt;span class="_ _7"&gt;&lt;/span&gt;s th&lt;span class="_ _7"&gt;&lt;/span&gt;e rep&lt;span class="_ _7"&gt;&lt;/span&gt;ur&lt;span class="_ _7"&gt;&lt;/span&gt;ch&lt;span class="_ _7"&gt;&lt;/span&gt;as&lt;span class="_ _7"&gt;&lt;/span&gt;e co&lt;span class="_ _7"&gt;&lt;/span&gt;mmi&lt;span class="_ _7"&gt;&lt;/span&gt;t&lt;span class="_ _2"&gt;&lt;/span&gt;-&lt;/span&gt;&lt;span style="display:inherit;clear:left;"&gt;me&lt;span class="_ _7"&gt;&lt;/span&gt;nt, i&lt;span class="_ _7"&gt;&lt;/span&gt;s re&lt;span class="_ _7"&gt;&lt;/span&gt;co&lt;span class="_ _7"&gt;&lt;/span&gt;gn&lt;span class="_ _7"&gt;&lt;/span&gt;is&lt;span class="_ _7"&gt;&lt;/span&gt;ed a&lt;span class="_ _7"&gt;&lt;/span&gt;s co&lt;span class="_ _7"&gt;&lt;/span&gt;ntr&lt;span class="_ _7"&gt;&lt;/span&gt;ac&lt;span class="_ _7"&gt;&lt;/span&gt;t li&lt;span class="_ _7"&gt;&lt;/span&gt;abi&lt;span class="_ _7"&gt;&lt;/span&gt;lit&lt;span class="_ _7"&gt;&lt;/span&gt;ie&lt;span class="_ _7"&gt;&lt;/span&gt;s an&lt;span class="_ _7"&gt;&lt;/span&gt;d the r&lt;span class="_ _7"&gt;&lt;/span&gt;ep&lt;span class="_ _7"&gt;&lt;/span&gt;ur&lt;span class="_ _7"&gt;&lt;/span&gt;cha&lt;span class="_ _7"&gt;&lt;/span&gt;s&lt;span class="_ _7"&gt;&lt;/span&gt;e com-&lt;/span&gt;&lt;span style="display:inherit;clear:left;"&gt;mit&lt;span class="_ _7"&gt;&lt;/span&gt;me&lt;span class="_ _7"&gt;&lt;/span&gt;nt, e&lt;span class="_ _7"&gt;&lt;/span&gt;qu&lt;span class="_ _7"&gt;&lt;/span&gt;al to t&lt;span class="_ _7"&gt;&lt;/span&gt;he r&lt;span class="_ _7"&gt;&lt;/span&gt;ep&lt;span class="_ _7"&gt;&lt;/span&gt;urc&lt;span class="_ _7"&gt;&lt;/span&gt;ha&lt;span class="_ _7"&gt;&lt;/span&gt;se p&lt;span class="_ _7"&gt;&lt;/span&gt;ri&lt;span class="_ _7"&gt;&lt;/span&gt;ce, a&lt;span class="_ _7"&gt;&lt;/span&gt;s ot&lt;span class="_ _7"&gt;&lt;/span&gt;her l&lt;span class="_ _7"&gt;&lt;/span&gt;ia&lt;span class="_ _7"&gt;&lt;/span&gt;bil&lt;span class="_ _7"&gt;&lt;/span&gt;iti&lt;span class="_ _7"&gt;&lt;/span&gt;es&lt;span class="_ _7"&gt;&lt;/span&gt;. T&lt;span class="_ _7"&gt;&lt;/span&gt;he c&lt;span class="_ _7"&gt;&lt;/span&gt;ar i&lt;span class="_ _7"&gt;&lt;/span&gt;s &lt;/span&gt;&lt;span style="display:inherit;clear:left;"&gt;re&lt;span class="_ _7"&gt;&lt;/span&gt;cog&lt;span class="_ _7"&gt;&lt;/span&gt;ni&lt;span class="_ _7"&gt;&lt;/span&gt;s&lt;span class="_ _7"&gt;&lt;/span&gt;ed o&lt;span class="_ _7"&gt;&lt;/span&gt;n the b&lt;span class="_ _7"&gt;&lt;/span&gt;al&lt;span class="_ _7"&gt;&lt;/span&gt;an&lt;span class="_ _7"&gt;&lt;/span&gt;ce s&lt;span class="_ _7"&gt;&lt;/span&gt;he&lt;span class="_ _7"&gt;&lt;/span&gt;et a&lt;span class="_ _7"&gt;&lt;/span&gt;s a tan&lt;span class="_ _7"&gt;&lt;/span&gt;gi&lt;span class="_ _7"&gt;&lt;/span&gt;ble a&lt;span class="_ _7"&gt;&lt;/span&gt;s&lt;span class="_ _7"&gt;&lt;/span&gt;s&lt;span class="_ _7"&gt;&lt;/span&gt;et un&lt;span class="_ _7"&gt;&lt;/span&gt;de&lt;span class="_ _7"&gt;&lt;/span&gt;r op&lt;span class="_ _7"&gt;&lt;/span&gt;er&lt;span class="_ _7"&gt;&lt;/span&gt;ati&lt;span class="_ _7"&gt;&lt;/span&gt;ng &lt;/span&gt;&lt;span style="display:inherit;clear:left;"&gt;lea&lt;span class="_ _7"&gt;&lt;/span&gt;s&lt;span class="_ _7"&gt;&lt;/span&gt;e over t&lt;span class="_ _7"&gt;&lt;/span&gt;he c&lt;span class="_ _7"&gt;&lt;/span&gt;ont&lt;span class="_ _7"&gt;&lt;/span&gt;ra&lt;span class="_ _7"&gt;&lt;/span&gt;ct p&lt;span class="_ _7"&gt;&lt;/span&gt;er&lt;span class="_ _7"&gt;&lt;/span&gt;io&lt;span class="_ _7"&gt;&lt;/span&gt;d and i&lt;span class="_ _7"&gt;&lt;/span&gt;s de&lt;span class="_ _7"&gt;&lt;/span&gt;pr&lt;span class="_ _7"&gt;&lt;/span&gt;ec&lt;span class="_ _7"&gt;&lt;/span&gt;iate&lt;span class="_ _7"&gt;&lt;/span&gt;d to th&lt;span class="_ _7"&gt;&lt;/span&gt;e e&lt;span class="_ _7"&gt;&lt;/span&gt;st&lt;span class="_ _7"&gt;&lt;/span&gt;ima&lt;span class="_ _7"&gt;&lt;/span&gt;ted &lt;/span&gt;&lt;span style="display:inherit;clear:left;"&gt;re&lt;span class="_ _7"&gt;&lt;/span&gt;si&lt;span class="_ _7"&gt;&lt;/span&gt;dua&lt;span class="_ _7"&gt;&lt;/span&gt;l va&lt;span class="_ _7"&gt;&lt;/span&gt;lue&lt;span class="_ _7"&gt;&lt;/span&gt;. The u&lt;span class="_ _7"&gt;&lt;/span&gt;s&lt;span class="_ _7"&gt;&lt;/span&gt;ef&lt;span class="_ _7"&gt;&lt;/span&gt;ul l&lt;span class="_ _7"&gt;&lt;/span&gt;ife a&lt;span class="_ _7"&gt;&lt;/span&gt;nd r&lt;span class="_ _7"&gt;&lt;/span&gt;es&lt;span class="_ _7"&gt;&lt;/span&gt;id&lt;span class="_ _7"&gt;&lt;/span&gt;ua&lt;span class="_ _7"&gt;&lt;/span&gt;l val&lt;span class="_ _7"&gt;&lt;/span&gt;ue of t&lt;span class="_ _7"&gt;&lt;/span&gt;he a&lt;span class="_ _7"&gt;&lt;/span&gt;s&lt;span class="_ _7"&gt;&lt;/span&gt;se&lt;span class="_ _7"&gt;&lt;/span&gt;ts a&lt;span class="_ _7"&gt;&lt;/span&gt;re &lt;/span&gt;&lt;span style="display:inherit;clear:left;"&gt;mo&lt;span class="_ _7"&gt;&lt;/span&gt;nito&lt;span class="_ _7"&gt;&lt;/span&gt;re&lt;span class="_ _7"&gt;&lt;/span&gt;d clo&lt;span class="_ _7"&gt;&lt;/span&gt;s&lt;span class="_ _7"&gt;&lt;/span&gt;ely a&lt;span class="_ _7"&gt;&lt;/span&gt;nd ch&lt;span class="_ _7"&gt;&lt;/span&gt;an&lt;span class="_ _7"&gt;&lt;/span&gt;ge&lt;span class="_ _7"&gt;&lt;/span&gt;d if n&lt;span class="_ _7"&gt;&lt;/span&gt;ec&lt;span class="_ _7"&gt;&lt;/span&gt;es&lt;span class="_ _7"&gt;&lt;/span&gt;s&lt;span class="_ _7"&gt;&lt;/span&gt;a&lt;span class="_ _7"&gt;&lt;/span&gt;r&lt;span class="_ _7"&gt;&lt;/span&gt;y. For fu&lt;span class="_ _7"&gt;&lt;/span&gt;r&lt;span class="_ _7"&gt;&lt;/span&gt;the&lt;span class="_ _7"&gt;&lt;/span&gt;r in&lt;span class="_ _7"&gt;&lt;/span&gt;for&lt;span class="_ _7"&gt;&lt;/span&gt;m&lt;span class="_ _7"&gt;&lt;/span&gt;ati&lt;span class="_ _7"&gt;&lt;/span&gt;on &lt;/span&gt;&lt;span style="display:inherit;clear:left;"&gt;reg&lt;span class="_ _7"&gt;&lt;/span&gt;ar&lt;span class="_ _7"&gt;&lt;/span&gt;di&lt;span class="_ _7"&gt;&lt;/span&gt;ng op&lt;span class="_ _7"&gt;&lt;/span&gt;er&lt;span class="_ _7"&gt;&lt;/span&gt;ati&lt;span class="_ _7"&gt;&lt;/span&gt;ng le&lt;span class="_ _7"&gt;&lt;/span&gt;as&lt;span class="_ _7"&gt;&lt;/span&gt;e&lt;span class="_ _7"&gt;&lt;/span&gt;s se&lt;span class="_ _7"&gt;&lt;/span&gt;e No&lt;span class="_ _7"&gt;&lt;/span&gt;te 7 – Le&lt;span class="_ _7"&gt;&lt;/span&gt;as&lt;span class="_ _7"&gt;&lt;/span&gt;es&lt;span class="_ _7"&gt;&lt;/span&gt;. &lt;/span&gt;&lt;span style="display:inherit;clear:left;"&gt;Revenue f&lt;span class="_ _7"&gt;&lt;/span&gt;rom sa&lt;span class="_ _7"&gt;&lt;/span&gt;le of se&lt;span class="_ _7"&gt;&lt;/span&gt;rv&lt;span class="_ _7"&gt;&lt;/span&gt;ic&lt;span class="_ _7"&gt;&lt;/span&gt;es&lt;/span&gt;&lt;span style="display:inherit;clear:left;"&gt;Volvo Ca&lt;span class="_ _7"&gt;&lt;/span&gt;r Gro&lt;span class="_ _7"&gt;&lt;/span&gt;up s&lt;span class="_ _7"&gt;&lt;/span&gt;el&lt;span class="_ _7"&gt;&lt;/span&gt;ls s&lt;span class="_ _7"&gt;&lt;/span&gt;e&lt;span class="_ _7"&gt;&lt;/span&gt;r&lt;span class="_ _7"&gt;&lt;/span&gt;vi&lt;span class="_ _7"&gt;&lt;/span&gt;ce&lt;span class="_ _7"&gt;&lt;/span&gt;s in t&lt;span class="_ _7"&gt;&lt;/span&gt;he fo&lt;span class="_ _7"&gt;&lt;/span&gt;rm o&lt;span class="_ _7"&gt;&lt;/span&gt;f ma&lt;span class="_ _7"&gt;&lt;/span&gt;int&lt;span class="_ _7"&gt;&lt;/span&gt;ena&lt;span class="_ _7"&gt;&lt;/span&gt;nc&lt;span class="_ _7"&gt;&lt;/span&gt;e co&lt;span class="_ _7"&gt;&lt;/span&gt;n-&lt;/span&gt;&lt;span style="display:inherit;clear:left;"&gt;tr&lt;span class="_ _7"&gt;&lt;/span&gt;act&lt;span class="_ _7"&gt;&lt;/span&gt;s&lt;span class="_ _7"&gt;&lt;/span&gt;, ex&lt;span class="_ _7"&gt;&lt;/span&gt;te&lt;span class="_ _7"&gt;&lt;/span&gt;nd&lt;span class="_ _7"&gt;&lt;/span&gt;ed wa&lt;span class="_ _7"&gt;&lt;/span&gt;rr&lt;span class="_ _7"&gt;&lt;/span&gt;an&lt;span class="_ _7"&gt;&lt;/span&gt;tie&lt;span class="_ _7"&gt;&lt;/span&gt;s&lt;span class="_ _7"&gt;&lt;/span&gt;, co&lt;span class="_ _7"&gt;&lt;/span&gt;nn&lt;span class="_ _7"&gt;&lt;/span&gt;ec&lt;span class="_ _7"&gt;&lt;/span&gt;tiv&lt;span class="_ _7"&gt;&lt;/span&gt;it&lt;span class="_ _7"&gt;&lt;/span&gt;y, an&lt;span class="_ _7"&gt;&lt;/span&gt;d in-c&lt;span class="_ _7"&gt;&lt;/span&gt;ar s&lt;span class="_ _7"&gt;&lt;/span&gt;of&lt;span class="_ _7"&gt;&lt;/span&gt;t&lt;span class="_ _7"&gt;&lt;/span&gt;w&lt;span class="_ _7"&gt;&lt;/span&gt;are to &lt;/span&gt;&lt;span style="display:inherit;clear:left;"&gt;customers. Revenue&lt;span class="_ _2"&gt;&lt;/span&gt; from these ser&lt;span class="_ _7"&gt;&lt;/span&gt;vices is generally&lt;span class="_ _2"&gt;&lt;/span&gt; recognised &lt;/span&gt;&lt;span style="display:inherit;clear:left;"&gt;over t&lt;span class="_ _7"&gt;&lt;/span&gt;he c&lt;span class="_ _7"&gt;&lt;/span&gt;ont&lt;span class="_ _7"&gt;&lt;/span&gt;ra&lt;span class="_ _7"&gt;&lt;/span&gt;ct p&lt;span class="_ _7"&gt;&lt;/span&gt;er&lt;span class="_ _7"&gt;&lt;/span&gt;io&lt;span class="_ _7"&gt;&lt;/span&gt;d on a s&lt;span class="_ _7"&gt;&lt;/span&gt;tr&lt;span class="_ _7"&gt;&lt;/span&gt;aig&lt;span class="_ _7"&gt;&lt;/span&gt;ht-&lt;span class="_ _2"&gt;&lt;/span&gt;l&lt;span class="_ _7"&gt;&lt;/span&gt;ine b&lt;span class="_ _7"&gt;&lt;/span&gt;as&lt;span class="_ _7"&gt;&lt;/span&gt;is&lt;span class="_ _7"&gt;&lt;/span&gt;. W&lt;span class="_ _7"&gt;&lt;/span&gt;he&lt;span class="_ _7"&gt;&lt;/span&gt;n an ex&lt;span class="_ _7"&gt;&lt;/span&gt;te&lt;span class="_ _7"&gt;&lt;/span&gt;nd&lt;span class="_ _7"&gt;&lt;/span&gt;ed &lt;/span&gt;&lt;span style="display:inherit;clear:left;"&gt;war&lt;span class="_ _7"&gt;&lt;/span&gt;ra&lt;span class="_ _7"&gt;&lt;/span&gt;nt&lt;span class="_ _7"&gt;&lt;/span&gt;y c&lt;span class="_ _7"&gt;&lt;/span&gt;ont&lt;span class="_ _7"&gt;&lt;/span&gt;ra&lt;span class="_ _7"&gt;&lt;/span&gt;ct i&lt;span class="_ _7"&gt;&lt;/span&gt;s bun&lt;span class="_ _7"&gt;&lt;/span&gt;dl&lt;span class="_ _7"&gt;&lt;/span&gt;ed w&lt;span class="_ _7"&gt;&lt;/span&gt;ith t&lt;span class="_ _7"&gt;&lt;/span&gt;he s&lt;span class="_ _7"&gt;&lt;/span&gt;al&lt;span class="_ _7"&gt;&lt;/span&gt;e of a c&lt;span class="_ _7"&gt;&lt;/span&gt;ar an&lt;span class="_ _7"&gt;&lt;/span&gt;d th&lt;span class="_ _7"&gt;&lt;/span&gt;e inc&lt;span class="_ _7"&gt;&lt;/span&gt;lus&lt;span class="_ _7"&gt;&lt;/span&gt;io&lt;span class="_ _7"&gt;&lt;/span&gt;n &lt;/span&gt;&lt;span style="display:inherit;clear:left;"&gt;in th&lt;span class="_ _7"&gt;&lt;/span&gt;e co&lt;span class="_ _7"&gt;&lt;/span&gt;ntr&lt;span class="_ _7"&gt;&lt;/span&gt;ac&lt;span class="_ _7"&gt;&lt;/span&gt;t is a&lt;span class="_ _7"&gt;&lt;/span&gt;s&lt;span class="_ _7"&gt;&lt;/span&gt;se&lt;span class="_ _7"&gt;&lt;/span&gt;s&lt;span class="_ _7"&gt;&lt;/span&gt;s&lt;span class="_ _7"&gt;&lt;/span&gt;ed to b&lt;span class="_ _7"&gt;&lt;/span&gt;e co&lt;span class="_ _7"&gt;&lt;/span&gt;mm&lt;span class="_ _7"&gt;&lt;/span&gt;on p&lt;span class="_ _7"&gt;&lt;/span&gt;ra&lt;span class="_ _7"&gt;&lt;/span&gt;cti&lt;span class="_ _7"&gt;&lt;/span&gt;ce i&lt;span class="_ _7"&gt;&lt;/span&gt;n the m&lt;span class="_ _7"&gt;&lt;/span&gt;ar&lt;span class="_ _7"&gt;&lt;/span&gt;ket&lt;span class="_ _7"&gt;&lt;/span&gt;, a &lt;/span&gt;&lt;span style="display:inherit;clear:left;"&gt;pro&lt;span class="_ _7"&gt;&lt;/span&gt;vi&lt;span class="_ _7"&gt;&lt;/span&gt;si&lt;span class="_ _7"&gt;&lt;/span&gt;on i&lt;span class="_ _7"&gt;&lt;/span&gt;s re&lt;span class="_ _7"&gt;&lt;/span&gt;cog&lt;span class="_ _7"&gt;&lt;/span&gt;ni&lt;span class="_ _7"&gt;&lt;/span&gt;s&lt;span class="_ _7"&gt;&lt;/span&gt;ed at t&lt;span class="_ _7"&gt;&lt;/span&gt;he p&lt;span class="_ _7"&gt;&lt;/span&gt;oi&lt;span class="_ _7"&gt;&lt;/span&gt;nt of s&lt;span class="_ _7"&gt;&lt;/span&gt;a&lt;span class="_ _7"&gt;&lt;/span&gt;le for t&lt;span class="_ _7"&gt;&lt;/span&gt;he c&lt;span class="_ _7"&gt;&lt;/span&gt;os&lt;span class="_ _7"&gt;&lt;/span&gt;t&lt;span class="_ _7"&gt;&lt;/span&gt;s. W&lt;span class="_ _7"&gt;&lt;/span&gt;he&lt;span class="_ _7"&gt;&lt;/span&gt;n th&lt;span class="_ _7"&gt;&lt;/span&gt;e &lt;/span&gt;&lt;span style="display:inherit;clear:left;"&gt;inc&lt;span class="_ _7"&gt;&lt;/span&gt;lus&lt;span class="_ _7"&gt;&lt;/span&gt;io&lt;span class="_ _7"&gt;&lt;/span&gt;n go&lt;span class="_ _7"&gt;&lt;/span&gt;es b&lt;span class="_ _7"&gt;&lt;/span&gt;eyo&lt;span class="_ _7"&gt;&lt;/span&gt;nd c&lt;span class="_ _7"&gt;&lt;/span&gt;om&lt;span class="_ _7"&gt;&lt;/span&gt;mo&lt;span class="_ _7"&gt;&lt;/span&gt;n pr&lt;span class="_ _7"&gt;&lt;/span&gt;ac&lt;span class="_ _7"&gt;&lt;/span&gt;tic&lt;span class="_ _7"&gt;&lt;/span&gt;e in th&lt;span class="_ _7"&gt;&lt;/span&gt;e ma&lt;span class="_ _7"&gt;&lt;/span&gt;rket&lt;span class="_ _7"&gt;&lt;/span&gt;, pa&lt;span class="_ _7"&gt;&lt;/span&gt;r&lt;span class="_ _7"&gt;&lt;/span&gt;t of t&lt;span class="_ _7"&gt;&lt;/span&gt;he &lt;/span&gt;&lt;span style="display:inherit;clear:left;"&gt;reve&lt;span class="_ _7"&gt;&lt;/span&gt;nu&lt;span class="_ _7"&gt;&lt;/span&gt;e is d&lt;span class="_ _7"&gt;&lt;/span&gt;efe&lt;span class="_ _7"&gt;&lt;/span&gt;rr&lt;span class="_ _7"&gt;&lt;/span&gt;ed a&lt;span class="_ _7"&gt;&lt;/span&gt;s a co&lt;span class="_ _7"&gt;&lt;/span&gt;ntr&lt;span class="_ _7"&gt;&lt;/span&gt;ac&lt;span class="_ _7"&gt;&lt;/span&gt;t li&lt;span class="_ _7"&gt;&lt;/span&gt;abi&lt;span class="_ _7"&gt;&lt;/span&gt;li&lt;span class="_ _7"&gt;&lt;/span&gt;t&lt;span class="_ _7"&gt;&lt;/span&gt;y and r&lt;span class="_ _7"&gt;&lt;/span&gt;ec&lt;span class="_ _7"&gt;&lt;/span&gt;og&lt;span class="_ _7"&gt;&lt;/span&gt;ni&lt;span class="_ _7"&gt;&lt;/span&gt;se&lt;span class="_ _7"&gt;&lt;/span&gt;d ove&lt;span class="_ _7"&gt;&lt;/span&gt;r the &lt;/span&gt;&lt;span style="display:inherit;clear:left;"&gt;con&lt;span class="_ _7"&gt;&lt;/span&gt;tr&lt;span class="_ _7"&gt;&lt;/span&gt;ac&lt;span class="_ _7"&gt;&lt;/span&gt;t pe&lt;span class="_ _7"&gt;&lt;/span&gt;ri&lt;span class="_ _7"&gt;&lt;/span&gt;od&lt;span class="_ _7"&gt;&lt;/span&gt;. Th&lt;span class="_ _7"&gt;&lt;/span&gt;e reve&lt;span class="_ _7"&gt;&lt;/span&gt;nu&lt;span class="_ _7"&gt;&lt;/span&gt;e de&lt;span class="_ _7"&gt;&lt;/span&gt;fer&lt;span class="_ _7"&gt;&lt;/span&gt;re&lt;span class="_ _7"&gt;&lt;/span&gt;d is b&lt;span class="_ _7"&gt;&lt;/span&gt;a&lt;span class="_ _7"&gt;&lt;/span&gt;se&lt;span class="_ _7"&gt;&lt;/span&gt;d on s&lt;span class="_ _7"&gt;&lt;/span&gt;t&lt;span class="_ _7"&gt;&lt;/span&gt;and-al&lt;span class="_ _7"&gt;&lt;/span&gt;one  &lt;/span&gt;&lt;span style="display:inherit;clear:left;"&gt;se&lt;span class="_ _7"&gt;&lt;/span&gt;lli&lt;span class="_ _7"&gt;&lt;/span&gt;ng pr&lt;span class="_ _7"&gt;&lt;/span&gt;ic&lt;span class="_ _7"&gt;&lt;/span&gt;e&lt;span class="_ _7"&gt;&lt;/span&gt;s, o&lt;span class="_ _7"&gt;&lt;/span&gt;r if n&lt;span class="_ _7"&gt;&lt;/span&gt;ot o&lt;span class="_ _7"&gt;&lt;/span&gt;bs&lt;span class="_ _7"&gt;&lt;/span&gt;er&lt;span class="_ _9"&gt;&lt;/span&gt;vab&lt;span class="_ _7"&gt;&lt;/span&gt;le, e&lt;span class="_ _7"&gt;&lt;/span&gt;s&lt;span class="_ _7"&gt;&lt;/span&gt;tim&lt;span class="_ _7"&gt;&lt;/span&gt;ate&lt;span class="_ _7"&gt;&lt;/span&gt;d ba&lt;span class="_ _7"&gt;&lt;/span&gt;s&lt;span class="_ _7"&gt;&lt;/span&gt;ed o&lt;span class="_ _7"&gt;&lt;/span&gt;n the ex&lt;span class="_ _7"&gt;&lt;/span&gt;pe&lt;span class="_ _7"&gt;&lt;/span&gt;ct&lt;span class="_ _7"&gt;&lt;/span&gt;ed &lt;/span&gt;&lt;span style="display:inherit;clear:</t>
  </si>
  <si>
    <t>f1__s8__6__37</t>
  </si>
  <si>
    <t>ifrs-full:DescriptionOfAccountingPolicyForDiscountsAndRebatesExplanatory</t>
  </si>
  <si>
    <t>f1__s8__6__38</t>
  </si>
  <si>
    <t>ifrs-full:DescriptionOfAccountingPolicyForEmissionRightsExplanatory</t>
  </si>
  <si>
    <t>f1__s8__6__39</t>
  </si>
  <si>
    <t>ifrs-full:DisclosureOfAccountingJudgementsAndEstimatesExplanatory</t>
  </si>
  <si>
    <t>&lt;span style="display:inherit;clear:left;"&gt;CRITICAL A&lt;span class="_ _2"&gt;&lt;/span&gt;CC&lt;span class="_ _7"&gt;&lt;/span&gt;OUNTING ESTIMA&lt;span class="_ _6"&gt;&lt;/span&gt;TES AND JUDGEMENTS&lt;/span&gt;&lt;span style="display:inherit;clear:left;"&gt;V&lt;span class="_ _2"&gt;&lt;/span&gt;ariable r&lt;span class="_ _2"&gt;&lt;/span&gt;evenue components&lt;span class="_ _2"&gt;&lt;/span&gt; &lt;/span&gt;&lt;span style="display:inherit;clear:left;"&gt;An in&lt;span class="_ _7"&gt;&lt;/span&gt;he&lt;span class="_ _7"&gt;&lt;/span&gt;re&lt;span class="_ _7"&gt;&lt;/span&gt;nt ri&lt;span class="_ _7"&gt;&lt;/span&gt;sk r&lt;span class="_ _7"&gt;&lt;/span&gt;eg&lt;span class="_ _7"&gt;&lt;/span&gt;ar&lt;span class="_ _7"&gt;&lt;/span&gt;din&lt;span class="_ _7"&gt;&lt;/span&gt;g di&lt;span class="_ _7"&gt;&lt;/span&gt;f&lt;span class="_ _7"&gt;&lt;/span&gt;fe&lt;span class="_ _7"&gt;&lt;/span&gt;ren&lt;span class="_ _7"&gt;&lt;/span&gt;t fo&lt;span class="_ _7"&gt;&lt;/span&gt;rm&lt;span class="_ _7"&gt;&lt;/span&gt;s of va&lt;span class="_ _7"&gt;&lt;/span&gt;ri&lt;span class="_ _7"&gt;&lt;/span&gt;ab&lt;span class="_ _7"&gt;&lt;/span&gt;le re&lt;span class="_ _7"&gt;&lt;/span&gt;ven&lt;span class="_ _7"&gt;&lt;/span&gt;ue  &lt;/span&gt;&lt;span style="display:inherit;clear:left;"&gt;com&lt;span class="_ _7"&gt;&lt;/span&gt;po&lt;span class="_ _7"&gt;&lt;/span&gt;ne&lt;span class="_ _7"&gt;&lt;/span&gt;nt&lt;span class="_ _7"&gt;&lt;/span&gt;s in a s&lt;span class="_ _7"&gt;&lt;/span&gt;al&lt;span class="_ _7"&gt;&lt;/span&gt;es c&lt;span class="_ _7"&gt;&lt;/span&gt;ont&lt;span class="_ _7"&gt;&lt;/span&gt;ra&lt;span class="_ _7"&gt;&lt;/span&gt;ct&lt;span class="_ _7"&gt;&lt;/span&gt;, is t&lt;span class="_ _7"&gt;&lt;/span&gt;he p&lt;span class="_ _7"&gt;&lt;/span&gt;rob&lt;span class="_ _7"&gt;&lt;/span&gt;ab&lt;span class="_ _7"&gt;&lt;/span&gt;ili&lt;span class="_ _7"&gt;&lt;/span&gt;t&lt;span class="_ _7"&gt;&lt;/span&gt;y of a r&lt;span class="_ _7"&gt;&lt;/span&gt;eve&lt;span class="_ _7"&gt;&lt;/span&gt;rs&lt;span class="_ _7"&gt;&lt;/span&gt;a&lt;span class="_ _7"&gt;&lt;/span&gt;l of &lt;/span&gt;&lt;span style="display:inherit;clear:left;"&gt;reve&lt;span class="_ _7"&gt;&lt;/span&gt;nu&lt;span class="_ _7"&gt;&lt;/span&gt;e in f&lt;span class="_ _7"&gt;&lt;/span&gt;utu&lt;span class="_ _7"&gt;&lt;/span&gt;re p&lt;span class="_ _7"&gt;&lt;/span&gt;er&lt;span class="_ _7"&gt;&lt;/span&gt;io&lt;span class="_ _7"&gt;&lt;/span&gt;ds&lt;span class="_ _7"&gt;&lt;/span&gt;. O&lt;span class="_ _7"&gt;&lt;/span&gt;n ini&lt;span class="_ _7"&gt;&lt;/span&gt;ti&lt;span class="_ _7"&gt;&lt;/span&gt;al re&lt;span class="_ _7"&gt;&lt;/span&gt;co&lt;span class="_ _7"&gt;&lt;/span&gt;gn&lt;span class="_ _7"&gt;&lt;/span&gt;iti&lt;span class="_ _7"&gt;&lt;/span&gt;on&lt;span class="_ _7"&gt;&lt;/span&gt;, var&lt;span class="_ _7"&gt;&lt;/span&gt;ia&lt;span class="_ _7"&gt;&lt;/span&gt;bl&lt;span class="_ _7"&gt;&lt;/span&gt;e reve&lt;span class="_ _7"&gt;&lt;/span&gt;nu&lt;span class="_ _7"&gt;&lt;/span&gt;e &lt;/span&gt;&lt;span style="display:inherit;clear:left;"&gt;com&lt;span class="_ _7"&gt;&lt;/span&gt;po&lt;span class="_ _7"&gt;&lt;/span&gt;ne&lt;span class="_ _7"&gt;&lt;/span&gt;nt&lt;span class="_ _7"&gt;&lt;/span&gt;s are e&lt;span class="_ _7"&gt;&lt;/span&gt;s&lt;span class="_ _7"&gt;&lt;/span&gt;ti&lt;span class="_ _7"&gt;&lt;/span&gt;mate&lt;span class="_ _7"&gt;&lt;/span&gt;d&lt;span class="_ _7"&gt;&lt;/span&gt;, and r&lt;span class="_ _7"&gt;&lt;/span&gt;eve&lt;span class="_ _7"&gt;&lt;/span&gt;nu&lt;span class="_ _7"&gt;&lt;/span&gt;e is re&lt;span class="_ _7"&gt;&lt;/span&gt;co&lt;span class="_ _7"&gt;&lt;/span&gt;gn&lt;span class="_ _7"&gt;&lt;/span&gt;is&lt;span class="_ _7"&gt;&lt;/span&gt;e&lt;span class="_ _7"&gt;&lt;/span&gt;d whe&lt;span class="_ _7"&gt;&lt;/span&gt;n it i&lt;span class="_ _7"&gt;&lt;/span&gt;s &lt;/span&gt;&lt;span style="display:inherit;clear:left;"&gt;hig&lt;span class="_ _7"&gt;&lt;/span&gt;hly p&lt;span class="_ _7"&gt;&lt;/span&gt;ro&lt;span class="_ _7"&gt;&lt;/span&gt;bab&lt;span class="_ _7"&gt;&lt;/span&gt;le th&lt;span class="_ _7"&gt;&lt;/span&gt;at a r&lt;span class="_ _7"&gt;&lt;/span&gt;eve&lt;span class="_ _7"&gt;&lt;/span&gt;nue r&lt;span class="_ _7"&gt;&lt;/span&gt;eve&lt;span class="_ _7"&gt;&lt;/span&gt;rs&lt;span class="_ _7"&gt;&lt;/span&gt;a&lt;span class="_ _7"&gt;&lt;/span&gt;l in f&lt;span class="_ _7"&gt;&lt;/span&gt;utu&lt;span class="_ _7"&gt;&lt;/span&gt;re p&lt;span class="_ _7"&gt;&lt;/span&gt;er&lt;span class="_ _7"&gt;&lt;/span&gt;io&lt;span class="_ _7"&gt;&lt;/span&gt;ds w&lt;span class="_ _7"&gt;&lt;/span&gt;ill n&lt;span class="_ _7"&gt;&lt;/span&gt;ot &lt;/span&gt;&lt;span style="display:inherit;clear:left;"&gt;oc&lt;span class="_ _7"&gt;&lt;/span&gt;cur. An exam&lt;span class="_ _7"&gt;&lt;/span&gt;pl&lt;span class="_ _7"&gt;&lt;/span&gt;e of th&lt;span class="_ _7"&gt;&lt;/span&gt;is i&lt;span class="_ _7"&gt;&lt;/span&gt;s wh&lt;span class="_ _7"&gt;&lt;/span&gt;en c&lt;span class="_ _7"&gt;&lt;/span&gt;ar&lt;span class="_ _7"&gt;&lt;/span&gt;s ar&lt;span class="_ _7"&gt;&lt;/span&gt;e so&lt;span class="_ _7"&gt;&lt;/span&gt;ld to a r&lt;span class="_ _7"&gt;&lt;/span&gt;et&lt;span class="_ _7"&gt;&lt;/span&gt;ail&lt;span class="_ _7"&gt;&lt;/span&gt;er wi&lt;span class="_ _7"&gt;&lt;/span&gt;th  &lt;/span&gt;&lt;span style="display:inherit;clear:left;"&gt;volu&lt;span class="_ _7"&gt;&lt;/span&gt;me d&lt;span class="_ _7"&gt;&lt;/span&gt;is&lt;span class="_ _7"&gt;&lt;/span&gt;co&lt;span class="_ _7"&gt;&lt;/span&gt;un&lt;span class="_ _7"&gt;&lt;/span&gt;ts b&lt;span class="_ _7"&gt;&lt;/span&gt;as&lt;span class="_ _7"&gt;&lt;/span&gt;e&lt;span class="_ _7"&gt;&lt;/span&gt;d on ag&lt;span class="_ _7"&gt;&lt;/span&gt;gr&lt;span class="_ _7"&gt;&lt;/span&gt;eg&lt;span class="_ _7"&gt;&lt;/span&gt;ate s&lt;span class="_ _7"&gt;&lt;/span&gt;al&lt;span class="_ _7"&gt;&lt;/span&gt;es o&lt;span class="_ _7"&gt;&lt;/span&gt;ver a 3&lt;span class="_ _7"&gt;&lt;/span&gt;–12 month&lt;span class="_ _7"&gt;&lt;/span&gt;s &lt;/span&gt;&lt;span style="display:inherit;clear:left;"&gt;pe&lt;span class="_ _7"&gt;&lt;/span&gt;ri&lt;span class="_ _7"&gt;&lt;/span&gt;od&lt;span class="_ _7"&gt;&lt;/span&gt;. Reve&lt;span class="_ _7"&gt;&lt;/span&gt;nu&lt;span class="_ _7"&gt;&lt;/span&gt;e fr&lt;span class="_ _7"&gt;&lt;/span&gt;om th&lt;span class="_ _7"&gt;&lt;/span&gt;es&lt;span class="_ _7"&gt;&lt;/span&gt;e s&lt;span class="_ _7"&gt;&lt;/span&gt;al&lt;span class="_ _7"&gt;&lt;/span&gt;es i&lt;span class="_ _7"&gt;&lt;/span&gt;s re&lt;span class="_ _7"&gt;&lt;/span&gt;co&lt;span class="_ _7"&gt;&lt;/span&gt;gn&lt;span class="_ _7"&gt;&lt;/span&gt;is&lt;span class="_ _7"&gt;&lt;/span&gt;ed b&lt;span class="_ _7"&gt;&lt;/span&gt;as&lt;span class="_ _7"&gt;&lt;/span&gt;e&lt;span class="_ _7"&gt;&lt;/span&gt;d on th&lt;span class="_ _7"&gt;&lt;/span&gt;e pr&lt;span class="_ _7"&gt;&lt;/span&gt;ic&lt;span class="_ _7"&gt;&lt;/span&gt;e &lt;/span&gt;&lt;span style="display:inherit;clear:left;"&gt;sp&lt;span class="_ _7"&gt;&lt;/span&gt;eci&lt;span class="_ _7"&gt;&lt;/span&gt;f&lt;span class="_ _7"&gt;&lt;/span&gt;ie&lt;span class="_ _7"&gt;&lt;/span&gt;d in th&lt;span class="_ _7"&gt;&lt;/span&gt;e s&lt;span class="_ _7"&gt;&lt;/span&gt;ale&lt;span class="_ _7"&gt;&lt;/span&gt;s co&lt;span class="_ _7"&gt;&lt;/span&gt;ntr&lt;span class="_ _7"&gt;&lt;/span&gt;a&lt;span class="_ _7"&gt;&lt;/span&gt;ct&lt;span class="_ _7"&gt;&lt;/span&gt;, adj&lt;span class="_ _7"&gt;&lt;/span&gt;us&lt;span class="_ _7"&gt;&lt;/span&gt;te&lt;span class="_ _7"&gt;&lt;/span&gt;d for v&lt;span class="_ _7"&gt;&lt;/span&gt;olu&lt;span class="_ _7"&gt;&lt;/span&gt;me d&lt;span class="_ _7"&gt;&lt;/span&gt;is&lt;span class="_ _7"&gt;&lt;/span&gt;co&lt;span class="_ _7"&gt;&lt;/span&gt;unt&lt;span class="_ _7"&gt;&lt;/span&gt;s fo&lt;span class="_ _7"&gt;&lt;/span&gt;r &lt;/span&gt;&lt;span style="display:inherit;clear:left;"&gt;the w&lt;span class="_ _7"&gt;&lt;/span&gt;ho&lt;span class="_ _7"&gt;&lt;/span&gt;le&lt;span class="_ _7"&gt;&lt;/span&gt;s&lt;span class="_ _7"&gt;&lt;/span&gt;ale p&lt;span class="_ _7"&gt;&lt;/span&gt;er&lt;span class="_ _7"&gt;&lt;/span&gt;io&lt;span class="_ _7"&gt;&lt;/span&gt;d. E&lt;span class="_ _7"&gt;&lt;/span&gt;s&lt;span class="_ _7"&gt;&lt;/span&gt;tim&lt;span class="_ _7"&gt;&lt;/span&gt;ate&lt;span class="_ _7"&gt;&lt;/span&gt;s an&lt;span class="_ _7"&gt;&lt;/span&gt;d ju&lt;span class="_ _7"&gt;&lt;/span&gt;dge&lt;span class="_ _7"&gt;&lt;/span&gt;me&lt;span class="_ _7"&gt;&lt;/span&gt;nts i&lt;span class="_ _7"&gt;&lt;/span&gt;ni&lt;span class="_ _7"&gt;&lt;/span&gt;tia&lt;span class="_ _7"&gt;&lt;/span&gt;lly m&lt;span class="_ _7"&gt;&lt;/span&gt;ad&lt;span class="_ _7"&gt;&lt;/span&gt;e are &lt;/span&gt;&lt;span style="display:inherit;clear:left;"&gt;up&lt;span class="_ _7"&gt;&lt;/span&gt;date&lt;span class="_ _7"&gt;&lt;/span&gt;d co&lt;span class="_ _7"&gt;&lt;/span&gt;nti&lt;span class="_ _7"&gt;&lt;/span&gt;nu&lt;span class="_ _7"&gt;&lt;/span&gt;ou&lt;span class="_ _7"&gt;&lt;/span&gt;sly a&lt;span class="_ _7"&gt;&lt;/span&gt;t eac&lt;span class="_ _7"&gt;&lt;/span&gt;h re&lt;span class="_ _7"&gt;&lt;/span&gt;po&lt;span class="_ _7"&gt;&lt;/span&gt;r&lt;span class="_ _7"&gt;&lt;/span&gt;tin&lt;span class="_ _7"&gt;&lt;/span&gt;g pe&lt;span class="_ _7"&gt;&lt;/span&gt;ri&lt;span class="_ _7"&gt;&lt;/span&gt;od&lt;span class="_ _7"&gt;&lt;/span&gt;. &lt;/span&gt;&lt;span style="display:inherit;clear:left;"&gt;Resi&lt;span class="_ _7"&gt;&lt;/span&gt;dua&lt;span class="_ _7"&gt;&lt;/span&gt;l value gu&lt;span class="_ _7"&gt;&lt;/span&gt;aran&lt;span class="_ _7"&gt;&lt;/span&gt;tees &lt;/span&gt;&lt;span style="display:inherit;clear:left;"&gt;Volvo Ca&lt;span class="_ _7"&gt;&lt;/span&gt;r Gro&lt;span class="_ _7"&gt;&lt;/span&gt;up i&lt;span class="_ _7"&gt;&lt;/span&gt;s exp&lt;span class="_ _7"&gt;&lt;/span&gt;o&lt;span class="_ _7"&gt;&lt;/span&gt;se&lt;span class="_ _7"&gt;&lt;/span&gt;d to re&lt;span class="_ _7"&gt;&lt;/span&gt;s&lt;span class="_ _7"&gt;&lt;/span&gt;idu&lt;span class="_ _7"&gt;&lt;/span&gt;al v&lt;span class="_ _7"&gt;&lt;/span&gt;alu&lt;span class="_ _7"&gt;&lt;/span&gt;e ri&lt;span class="_ _7"&gt;&lt;/span&gt;sk&lt;span class="_ _7"&gt;&lt;/span&gt;, me&lt;span class="_ _7"&gt;&lt;/span&gt;an&lt;span class="_ _7"&gt;&lt;/span&gt;ing th&lt;span class="_ _7"&gt;&lt;/span&gt;at &lt;/span&gt;&lt;span style="display:inherit;clear:left;"&gt;the&lt;span class="_ _7"&gt;&lt;/span&gt;re i&lt;span class="_ _7"&gt;&lt;/span&gt;s a po&lt;span class="_ _7"&gt;&lt;/span&gt;tent&lt;span class="_ _7"&gt;&lt;/span&gt;ia&lt;span class="_ _7"&gt;&lt;/span&gt;l los&lt;span class="_ _7"&gt;&lt;/span&gt;s f&lt;span class="_ _7"&gt;&lt;/span&gt;or Volvo C&lt;span class="_ _7"&gt;&lt;/span&gt;ar G&lt;span class="_ _7"&gt;&lt;/span&gt;rou&lt;span class="_ _7"&gt;&lt;/span&gt;p if t&lt;span class="_ _7"&gt;&lt;/span&gt;he f&lt;span class="_ _7"&gt;&lt;/span&gt;utu&lt;span class="_ _7"&gt;&lt;/span&gt;re m&lt;span class="_ _7"&gt;&lt;/span&gt;ar&lt;span class="_ _7"&gt;&lt;/span&gt;ket &lt;/span&gt;&lt;span style="display:inherit;clear:left;"&gt;val&lt;span class="_ _7"&gt;&lt;/span&gt;ue of a u&lt;span class="_ _7"&gt;&lt;/span&gt;s&lt;span class="_ _7"&gt;&lt;/span&gt;ed c&lt;span class="_ _7"&gt;&lt;/span&gt;ar i&lt;span class="_ _7"&gt;&lt;/span&gt;s lowe&lt;span class="_ _7"&gt;&lt;/span&gt;r th&lt;span class="_ _7"&gt;&lt;/span&gt;an th&lt;span class="_ _7"&gt;&lt;/span&gt;e gu&lt;span class="_ _7"&gt;&lt;/span&gt;ar&lt;span class="_ _7"&gt;&lt;/span&gt;ant&lt;span class="_ _7"&gt;&lt;/span&gt;ee&lt;span class="_ _7"&gt;&lt;/span&gt;d val&lt;span class="_ _7"&gt;&lt;/span&gt;ue o&lt;span class="_ _7"&gt;&lt;/span&gt;f the c&lt;span class="_ _7"&gt;&lt;/span&gt;ar &lt;/span&gt;&lt;span style="display:inherit;clear:left;"&gt;acc&lt;span class="_ _7"&gt;&lt;/span&gt;or&lt;span class="_ _7"&gt;&lt;/span&gt;di&lt;span class="_ _7"&gt;&lt;/span&gt;ng to th&lt;span class="_ _7"&gt;&lt;/span&gt;e s&lt;span class="_ _7"&gt;&lt;/span&gt;ale&lt;span class="_ _7"&gt;&lt;/span&gt;s co&lt;span class="_ _7"&gt;&lt;/span&gt;ntr&lt;span class="_ _7"&gt;&lt;/span&gt;ac&lt;span class="_ _7"&gt;&lt;/span&gt;t. T&lt;span class="_ _7"&gt;&lt;/span&gt;hi&lt;span class="_ _7"&gt;&lt;/span&gt;s po&lt;span class="_ _7"&gt;&lt;/span&gt;tent&lt;span class="_ _7"&gt;&lt;/span&gt;ia&lt;span class="_ _7"&gt;&lt;/span&gt;l neg&lt;span class="_ _7"&gt;&lt;/span&gt;at&lt;span class="_ _7"&gt;&lt;/span&gt;ive e&lt;span class="_ _7"&gt;&lt;/span&gt;f&lt;span class="_ _7"&gt;&lt;/span&gt;f&lt;span class="_ _7"&gt;&lt;/span&gt;ec&lt;span class="_ _7"&gt;&lt;/span&gt;t is &lt;/span&gt;&lt;span style="display:inherit;clear:left;"&gt;re&lt;span class="_ _7"&gt;&lt;/span&gt;cog&lt;span class="_ _7"&gt;&lt;/span&gt;ni&lt;span class="_ _7"&gt;&lt;/span&gt;s&lt;span class="_ _7"&gt;&lt;/span&gt;ed a&lt;span class="_ _7"&gt;&lt;/span&gt;s a con&lt;span class="_ _7"&gt;&lt;/span&gt;tr&lt;span class="_ _7"&gt;&lt;/span&gt;ac&lt;span class="_ _7"&gt;&lt;/span&gt;t lia&lt;span class="_ _7"&gt;&lt;/span&gt;bil&lt;span class="_ _7"&gt;&lt;/span&gt;it&lt;span class="_ _7"&gt;&lt;/span&gt;y, and t&lt;span class="_ _7"&gt;&lt;/span&gt;he f&lt;span class="_ _7"&gt;&lt;/span&gt;ut&lt;span class="_ _7"&gt;&lt;/span&gt;ure m&lt;span class="_ _7"&gt;&lt;/span&gt;ar&lt;span class="_ _7"&gt;&lt;/span&gt;ket va&lt;span class="_ _7"&gt;&lt;/span&gt;lue o&lt;span class="_ _7"&gt;&lt;/span&gt;f ca&lt;span class="_ _7"&gt;&lt;/span&gt;rs &lt;/span&gt;&lt;span style="display:inherit;clear:left;"&gt;is m&lt;span class="_ _7"&gt;&lt;/span&gt;oni&lt;span class="_ _7"&gt;&lt;/span&gt;tor&lt;span class="_ _7"&gt;&lt;/span&gt;ed i&lt;span class="_ _7"&gt;&lt;/span&gt;nd&lt;span class="_ _7"&gt;&lt;/span&gt;iv&lt;span class="_ _7"&gt;&lt;/span&gt;id&lt;span class="_ _7"&gt;&lt;/span&gt;ual&lt;span class="_ _7"&gt;&lt;/span&gt;ly on a c&lt;span class="_ _7"&gt;&lt;/span&gt;ont&lt;span class="_ _7"&gt;&lt;/span&gt;in&lt;span class="_ _7"&gt;&lt;/span&gt;uin&lt;span class="_ _7"&gt;&lt;/span&gt;g ba&lt;span class="_ _7"&gt;&lt;/span&gt;si&lt;span class="_ _7"&gt;&lt;/span&gt;s. A&lt;span class="_ _7"&gt;&lt;/span&gt;n e&lt;span class="_ _7"&gt;&lt;/span&gt;sti&lt;span class="_ _7"&gt;&lt;/span&gt;ma&lt;span class="_ _7"&gt;&lt;/span&gt;te is m&lt;span class="_ _7"&gt;&lt;/span&gt;ad&lt;span class="_ _7"&gt;&lt;/span&gt;e &lt;/span&gt;&lt;span style="display:inherit;clear:left;"&gt;ba&lt;span class="_ _7"&gt;&lt;/span&gt;se&lt;span class="_ _7"&gt;&lt;/span&gt;d on e&lt;span class="_ _7"&gt;&lt;/span&gt;val&lt;span class="_ _7"&gt;&lt;/span&gt;uat&lt;span class="_ _7"&gt;&lt;/span&gt;ing&lt;span class="_ _7"&gt;&lt;/span&gt;, amo&lt;span class="_ _7"&gt;&lt;/span&gt;ng ot&lt;span class="_ _7"&gt;&lt;/span&gt;he&lt;span class="_ _7"&gt;&lt;/span&gt;r thi&lt;span class="_ _7"&gt;&lt;/span&gt;ng&lt;span class="_ _7"&gt;&lt;/span&gt;s, r&lt;span class="_ _7"&gt;&lt;/span&gt;ec&lt;span class="_ _7"&gt;&lt;/span&gt;en&lt;span class="_ _7"&gt;&lt;/span&gt;t ca&lt;span class="_ _7"&gt;&lt;/span&gt;r auc&lt;span class="_ _7"&gt;&lt;/span&gt;ti&lt;span class="_ _7"&gt;&lt;/span&gt;on va&lt;span class="_ _7"&gt;&lt;/span&gt;lue&lt;span class="_ _7"&gt;&lt;/span&gt;s&lt;span class="_ _7"&gt;&lt;/span&gt;, &lt;/span&gt;&lt;span style="display:inherit;clear:left;"&gt;future price&lt;span class="_ _2"&gt;&lt;/span&gt; deterioration due t&lt;span class="_ _2"&gt;&lt;/span&gt;o expected chan&lt;span class="_ _2"&gt;&lt;/span&gt;ge of market&lt;span class="_ _2"&gt;&lt;/span&gt; condi&lt;span class="ls3 ws3"&gt;-&lt;/span&gt;&lt;/span&gt;&lt;span style="display:inherit;clear:left;"&gt;tio&lt;span class="_ _7"&gt;&lt;/span&gt;ns a&lt;span class="_ _7"&gt;&lt;/span&gt;nd p&lt;span class="_ _7"&gt;&lt;/span&gt;ro&lt;span class="_ _7"&gt;&lt;/span&gt;duc&lt;span class="_ _7"&gt;&lt;/span&gt;ti&lt;span class="_ _7"&gt;&lt;/span&gt;on p&lt;span class="_ _7"&gt;&lt;/span&gt;la&lt;span class="_ _7"&gt;&lt;/span&gt;nni&lt;span class="_ _7"&gt;&lt;/span&gt;ng, v&lt;span class="_ _7"&gt;&lt;/span&gt;ehi&lt;span class="_ _7"&gt;&lt;/span&gt;cle q&lt;span class="_ _7"&gt;&lt;/span&gt;ua&lt;span class="_ _7"&gt;&lt;/span&gt;lit&lt;span class="_ _7"&gt;&lt;/span&gt;y d&lt;span class="_ _7"&gt;&lt;/span&gt;at&lt;span class="_ _7"&gt;&lt;/span&gt;a, r&lt;span class="_ _7"&gt;&lt;/span&gt;ep&lt;span class="_ _7"&gt;&lt;/span&gt;air a&lt;span class="_ _7"&gt;&lt;/span&gt;nd &lt;/span&gt;&lt;span style="display:inherit;clear:left;"&gt;reconditioning&lt;span class="_ _2"&gt;&lt;/span&gt; co&lt;span class="_ _7"&gt;&lt;/span&gt;sts and with&lt;span class="_ _2"&gt;&lt;/span&gt; consideration given to&lt;span class="_ _2"&gt;&lt;/span&gt; the specific &lt;/span&gt;&lt;span style="display:inherit;clear:left;"&gt;markets dema&lt;span class="_ _2"&gt;&lt;/span&gt;nd for internal&lt;span class="_ _2"&gt;&lt;/span&gt; combustion engines and electric&lt;span class="_ _2"&gt;&lt;/span&gt; vehi&lt;span class="ls3 ws3"&gt;-&lt;/span&gt;&lt;/span&gt;&lt;span style="display:inherit;clear:left;"&gt;cle&lt;span class="_ _7"&gt;&lt;/span&gt;s as c&lt;span class="_ _7"&gt;&lt;/span&gt;us&lt;span class="_ _7"&gt;&lt;/span&gt;tom&lt;span class="_ _7"&gt;&lt;/span&gt;er p&lt;span class="_ _7"&gt;&lt;/span&gt;ur&lt;span class="_ _7"&gt;&lt;/span&gt;cha&lt;span class="_ _7"&gt;&lt;/span&gt;si&lt;span class="_ _7"&gt;&lt;/span&gt;ng de&lt;span class="_ _7"&gt;&lt;/span&gt;ci&lt;span class="_ _7"&gt;&lt;/span&gt;si&lt;span class="_ _7"&gt;&lt;/span&gt;on&lt;span class="_ _7"&gt;&lt;/span&gt;s are i&lt;span class="_ _7"&gt;&lt;/span&gt;nf&lt;span class="_ _7"&gt;&lt;/span&gt;lue&lt;span class="_ _7"&gt;&lt;/span&gt;nc&lt;span class="_ _7"&gt;&lt;/span&gt;ed b&lt;span class="_ _7"&gt;&lt;/span&gt;y cli&lt;span class="_ _7"&gt;&lt;/span&gt;mat&lt;span class="_ _7"&gt;&lt;/span&gt;e &lt;/span&gt;&lt;span style="display:inherit;clear:left;"&gt;cha&lt;span class="_ _7"&gt;&lt;/span&gt;nge f&lt;span class="_ _7"&gt;&lt;/span&gt;ac&lt;span class="_ _7"&gt;&lt;/span&gt;tor&lt;span class="_ _7"&gt;&lt;/span&gt;s&lt;span class="_ _7"&gt;&lt;/span&gt;.&lt;/span&gt;&lt;span style="display:inherit;clear:left;"&gt;Repurchase commitments &lt;/span&gt;&lt;span style="display:inherit;clear:left;"&gt;Volvo Ca&lt;span class="_ _7"&gt;&lt;/span&gt;r Gro&lt;span class="_ _7"&gt;&lt;/span&gt;up i&lt;span class="_ _7"&gt;&lt;/span&gt;s exp&lt;span class="_ _7"&gt;&lt;/span&gt;o&lt;span class="_ _7"&gt;&lt;/span&gt;se&lt;span class="_ _7"&gt;&lt;/span&gt;d to a p&lt;span class="_ _7"&gt;&lt;/span&gt;oten&lt;span class="_ _7"&gt;&lt;/span&gt;tia&lt;span class="_ _7"&gt;&lt;/span&gt;l lo&lt;span class="_ _7"&gt;&lt;/span&gt;s&lt;span class="_ _7"&gt;&lt;/span&gt;s on s&lt;span class="_ _7"&gt;&lt;/span&gt;al&lt;span class="_ _7"&gt;&lt;/span&gt;es w&lt;span class="_ _7"&gt;&lt;/span&gt;ith r&lt;span class="_ _7"&gt;&lt;/span&gt;ep&lt;span class="_ _7"&gt;&lt;/span&gt;ur-&lt;/span&gt;&lt;span style="display:inherit;clear:left;"&gt;cha&lt;span class="_ _7"&gt;&lt;/span&gt;s&lt;span class="_ _7"&gt;&lt;/span&gt;e com&lt;span class="_ _7"&gt;&lt;/span&gt;mi&lt;span class="_ _7"&gt;&lt;/span&gt;tme&lt;span class="_ _7"&gt;&lt;/span&gt;nt&lt;span class="_ _7"&gt;&lt;/span&gt;s if t&lt;span class="_ _7"&gt;&lt;/span&gt;he e&lt;span class="_ _7"&gt;&lt;/span&gt;s&lt;span class="_ _7"&gt;&lt;/span&gt;tim&lt;span class="_ _7"&gt;&lt;/span&gt;ate&lt;span class="_ _7"&gt;&lt;/span&gt;d val&lt;span class="_ _7"&gt;&lt;/span&gt;ue o&lt;span class="_ _7"&gt;&lt;/span&gt;f the c&lt;span class="_ _7"&gt;&lt;/span&gt;ar g&lt;span class="_ _7"&gt;&lt;/span&gt;ua&lt;span class="_ _7"&gt;&lt;/span&gt;ra&lt;span class="_ _7"&gt;&lt;/span&gt;nte&lt;span class="_ _7"&gt;&lt;/span&gt;ed i&lt;span class="_ _7"&gt;&lt;/span&gt;n &lt;/span&gt;&lt;span style="display:inherit;clear:left;"&gt;the c&lt;span class="_ _7"&gt;&lt;/span&gt;on&lt;span class="_ _7"&gt;&lt;/span&gt;tra&lt;span class="_ _7"&gt;&lt;/span&gt;ct i&lt;span class="_ _7"&gt;&lt;/span&gt;s gr&lt;span class="_ _7"&gt;&lt;/span&gt;ea&lt;span class="_ _7"&gt;&lt;/span&gt;ter t&lt;span class="_ _7"&gt;&lt;/span&gt;han t&lt;span class="_ _7"&gt;&lt;/span&gt;he m&lt;span class="_ _7"&gt;&lt;/span&gt;arke&lt;span class="_ _7"&gt;&lt;/span&gt;t val&lt;span class="_ _7"&gt;&lt;/span&gt;ue at t&lt;span class="_ _7"&gt;&lt;/span&gt;he ti&lt;span class="_ _7"&gt;&lt;/span&gt;me o&lt;span class="_ _7"&gt;&lt;/span&gt;f re&lt;span class="_ _7"&gt;&lt;/span&gt;pur-&lt;/span&gt;&lt;span style="display:inherit;clear:left;"&gt;cha&lt;span class="_ _7"&gt;&lt;/span&gt;s&lt;span class="_ _7"&gt;&lt;/span&gt;e. Th&lt;span class="_ _7"&gt;&lt;/span&gt;e po&lt;span class="_ _7"&gt;&lt;/span&gt;ten&lt;span class="_ _7"&gt;&lt;/span&gt;tia&lt;span class="_ _7"&gt;&lt;/span&gt;l ne&lt;span class="_ _7"&gt;&lt;/span&gt;gat&lt;span class="_ _7"&gt;&lt;/span&gt;ive e&lt;span class="_ _7"&gt;&lt;/span&gt;f&lt;span class="_ _7"&gt;&lt;/span&gt;f&lt;span class="_ _7"&gt;&lt;/span&gt;ec&lt;span class="_ _7"&gt;&lt;/span&gt;t is r&lt;span class="_ _7"&gt;&lt;/span&gt;ec&lt;span class="_ _7"&gt;&lt;/span&gt;og&lt;span class="_ _7"&gt;&lt;/span&gt;ni&lt;span class="_ _7"&gt;&lt;/span&gt;se&lt;span class="_ _7"&gt;&lt;/span&gt;d as a&lt;span class="_ _7"&gt;&lt;/span&gt;n inc&lt;span class="_ _7"&gt;&lt;/span&gt;re&lt;span class="_ _7"&gt;&lt;/span&gt;as&lt;span class="_ _7"&gt;&lt;/span&gt;ed &lt;/span&gt;&lt;span style="display:inherit;clear:left;"&gt;dep&lt;span class="_ _7"&gt;&lt;/span&gt;re&lt;span class="_ _7"&gt;&lt;/span&gt;ci&lt;span class="_ _7"&gt;&lt;/span&gt;ati&lt;span class="_ _7"&gt;&lt;/span&gt;on or a&lt;span class="_ _7"&gt;&lt;/span&gt;n im&lt;span class="_ _7"&gt;&lt;/span&gt;pa&lt;span class="_ _7"&gt;&lt;/span&gt;irm&lt;span class="_ _7"&gt;&lt;/span&gt;en&lt;span class="_ _7"&gt;&lt;/span&gt;t of th&lt;span class="_ _7"&gt;&lt;/span&gt;e c&lt;span class="_ _7"&gt;&lt;/span&gt;ar. Esti&lt;span class="_ _7"&gt;&lt;/span&gt;mat&lt;span class="_ _7"&gt;&lt;/span&gt;es o&lt;span class="_ _7"&gt;&lt;/span&gt;f th&lt;span class="_ _7"&gt;&lt;/span&gt;e ca&lt;span class="_ _7"&gt;&lt;/span&gt;r val&lt;span class="_ _7"&gt;&lt;/span&gt;ue &lt;/span&gt;&lt;span style="display:inherit;clear:left;"&gt;are m&lt;span class="_ _7"&gt;&lt;/span&gt;ad&lt;span class="_ _7"&gt;&lt;/span&gt;e on a c&lt;span class="_ _7"&gt;&lt;/span&gt;ont&lt;span class="_ _7"&gt;&lt;/span&gt;inu&lt;span class="_ _7"&gt;&lt;/span&gt;ou&lt;span class="_ _7"&gt;&lt;/span&gt;s ba&lt;span class="_ _7"&gt;&lt;/span&gt;si&lt;span class="_ _7"&gt;&lt;/span&gt;s&lt;span class="_ _7"&gt;&lt;/span&gt;, ba&lt;span class="_ _7"&gt;&lt;/span&gt;se&lt;span class="_ _7"&gt;&lt;/span&gt;d on e&lt;span class="_ _7"&gt;&lt;/span&gt;val&lt;span class="_ _7"&gt;&lt;/span&gt;uat&lt;span class="_ _7"&gt;&lt;/span&gt;ing&lt;span class="_ _7"&gt;&lt;/span&gt;, am&lt;span class="_ _7"&gt;&lt;/span&gt;ong o&lt;span class="_ _7"&gt;&lt;/span&gt;the&lt;span class="_ _7"&gt;&lt;/span&gt;r &lt;/span&gt;&lt;span style="display:inherit;clear:left;"&gt;things, recent car&lt;span class="_ _2"&gt;&lt;/span&gt; auction values, future&lt;span class="_ _2"&gt;&lt;/span&gt; price deterioration d&lt;span class="_ _2"&gt;&lt;/span&gt;ue to &lt;/span&gt;&lt;span style="display:inherit;clear:left;"&gt;expected chan&lt;span class="_ _2"&gt;&lt;/span&gt;ge of marke&lt;span class="_ _2"&gt;&lt;/span&gt;t conditions and production&lt;span class="_ _2"&gt;&lt;/span&gt; planning, &lt;/span&gt;&lt;span style="display:inherit;clear:left;"&gt;veh&lt;span class="_ _7"&gt;&lt;/span&gt;icl&lt;span class="_ _7"&gt;&lt;/span&gt;e qua&lt;span class="_ _7"&gt;&lt;/span&gt;li&lt;span class="_ _7"&gt;&lt;/span&gt;t&lt;span class="_ _7"&gt;&lt;/span&gt;y dat&lt;span class="_ _7"&gt;&lt;/span&gt;a&lt;span class="_ _7"&gt;&lt;/span&gt;, rep&lt;span class="_ _7"&gt;&lt;/span&gt;ai&lt;span class="_ _7"&gt;&lt;/span&gt;r an&lt;span class="_ _7"&gt;&lt;/span&gt;d re&lt;span class="_ _7"&gt;&lt;/span&gt;con&lt;span class="_ _7"&gt;&lt;/span&gt;di&lt;span class="_ _7"&gt;&lt;/span&gt;tio&lt;span class="_ _7"&gt;&lt;/span&gt;ni&lt;span class="_ _7"&gt;&lt;/span&gt;ng co&lt;span class="_ _7"&gt;&lt;/span&gt;s&lt;span class="_ _7"&gt;&lt;/span&gt;ts a&lt;span class="_ _7"&gt;&lt;/span&gt;nd w&lt;span class="_ _7"&gt;&lt;/span&gt;ith  &lt;/span&gt;&lt;span style="display:inherit;clear:left;"&gt;consideration given&lt;span class="_ _2"&gt;&lt;/span&gt; to the specific mark&lt;span class="_ _2"&gt;&lt;/span&gt;ets demand for i&lt;span class="_ _2"&gt;&lt;/span&gt;nternal &lt;/span&gt;&lt;span style="display:inherit;clear:left;"&gt;combustion engines and&lt;span class="_ _2"&gt;&lt;/span&gt; electric vehicles&lt;span class="_ _2"&gt;&lt;/span&gt; as customer purchasing&lt;span class="_ _2"&gt;&lt;/span&gt; &lt;/span&gt;&lt;span style="display:inherit;clear:left;"&gt;de&lt;span class="_ _7"&gt;&lt;/span&gt;cis&lt;span class="_ _7"&gt;&lt;/span&gt;io&lt;span class="_ _7"&gt;&lt;/span&gt;ns a&lt;span class="_ _7"&gt;&lt;/span&gt;re in&lt;span class="_ _7"&gt;&lt;/span&gt;f&lt;span class="_ _7"&gt;&lt;/span&gt;lue&lt;span class="_ _7"&gt;&lt;/span&gt;nce&lt;span class="_ _7"&gt;&lt;/span&gt;d by c&lt;span class="_ _7"&gt;&lt;/span&gt;lim&lt;span class="_ _7"&gt;&lt;/span&gt;ate ch&lt;span class="_ _7"&gt;&lt;/span&gt;an&lt;span class="_ _7"&gt;&lt;/span&gt;ge f&lt;span class="_ _7"&gt;&lt;/span&gt;act&lt;span class="_ _7"&gt;&lt;/span&gt;or&lt;span class="_ _7"&gt;&lt;/span&gt;s&lt;span class="_ _7"&gt;&lt;/span&gt;. The v&lt;span class="_ _7"&gt;&lt;/span&gt;alu&lt;span class="_ _7"&gt;&lt;/span&gt;e of &lt;/span&gt;&lt;span style="display:inherit;clear:left;"&gt;the c&lt;span class="_ _7"&gt;&lt;/span&gt;ar o&lt;span class="_ _7"&gt;&lt;/span&gt;n th&lt;span class="_ _7"&gt;&lt;/span&gt;e bal&lt;span class="_ _7"&gt;&lt;/span&gt;a&lt;span class="_ _7"&gt;&lt;/span&gt;nce s&lt;span class="_ _7"&gt;&lt;/span&gt;he&lt;span class="_ _7"&gt;&lt;/span&gt;et i&lt;span class="_ _7"&gt;&lt;/span&gt;s ad&lt;span class="_ _7"&gt;&lt;/span&gt;ju&lt;span class="_ _7"&gt;&lt;/span&gt;ste&lt;span class="_ _7"&gt;&lt;/span&gt;d i&lt;span class="_ _7"&gt;&lt;/span&gt;f ne&lt;span class="_ _7"&gt;&lt;/span&gt;ce&lt;span class="_ _7"&gt;&lt;/span&gt;s&lt;span class="_ _7"&gt;&lt;/span&gt;s&lt;span class="_ _7"&gt;&lt;/span&gt;ar&lt;span class="_ _7"&gt;&lt;/span&gt;y&lt;/span&gt;&lt;span style="display:inherit;clear:left;"&gt;CRITICAL A&lt;span class="_ _2"&gt;&lt;/span&gt;CC&lt;span class="_ _7"&gt;&lt;/span&gt;OUNTING ESTIMA&lt;span class="_ _6"&gt;&lt;/span&gt;TES AND JUDGEMENTS&lt;/span&gt;&lt;span style="display:inherit;clear:left;"&gt;At leas&lt;span class="_ _7"&gt;&lt;/span&gt;e c&lt;span class="_ _7"&gt;&lt;/span&gt;ont&lt;span class="_ _7"&gt;&lt;/span&gt;ra&lt;span class="_ _7"&gt;&lt;/span&gt;ct c&lt;span class="_ _7"&gt;&lt;/span&gt;omm&lt;span class="_ _7"&gt;&lt;/span&gt;en&lt;span class="_ _7"&gt;&lt;/span&gt;ce&lt;span class="_ _7"&gt;&lt;/span&gt;me&lt;span class="_ _7"&gt;&lt;/span&gt;nt da&lt;span class="_ _7"&gt;&lt;/span&gt;te, Volvo C&lt;span class="_ _7"&gt;&lt;/span&gt;ar G&lt;span class="_ _7"&gt;&lt;/span&gt;rou&lt;span class="_ _7"&gt;&lt;/span&gt;p is r&lt;span class="_ _7"&gt;&lt;/span&gt;eq&lt;span class="_ _7"&gt;&lt;/span&gt;uir&lt;span class="_ _7"&gt;&lt;/span&gt;ed &lt;/span&gt;&lt;span style="display:inherit;clear:left;"&gt;to ma&lt;span class="_ _7"&gt;&lt;/span&gt;ke jud&lt;span class="_ _7"&gt;&lt;/span&gt;gem&lt;span class="_ _7"&gt;&lt;/span&gt;en&lt;span class="_ _7"&gt;&lt;/span&gt;ts a&lt;span class="_ _7"&gt;&lt;/span&gt;s a le&lt;span class="_ _7"&gt;&lt;/span&gt;s&lt;span class="_ _7"&gt;&lt;/span&gt;se&lt;span class="_ _7"&gt;&lt;/span&gt;e wh&lt;span class="_ _7"&gt;&lt;/span&gt;ich a&lt;span class="_ _7"&gt;&lt;/span&gt;f&lt;span class="_ _7"&gt;&lt;/span&gt;f&lt;span class="_ _7"&gt;&lt;/span&gt;ec&lt;span class="_ _7"&gt;&lt;/span&gt;t the m&lt;span class="_ _7"&gt;&lt;/span&gt;ea&lt;span class="_ _7"&gt;&lt;/span&gt;su&lt;span class="_ _7"&gt;&lt;/span&gt;re&lt;span class="_ _7"&gt;&lt;/span&gt;men&lt;span class="_ _7"&gt;&lt;/span&gt;t of i&lt;span class="_ _7"&gt;&lt;/span&gt;ts &lt;/span&gt;&lt;span style="display:inherit;clear:left;"&gt;RoU a&lt;span class="_ _7"&gt;&lt;/span&gt;s&lt;span class="_ _7"&gt;&lt;/span&gt;se&lt;span class="_ _7"&gt;&lt;/span&gt;t an&lt;span class="_ _7"&gt;&lt;/span&gt;d lea&lt;span class="_ _7"&gt;&lt;/span&gt;s&lt;span class="_ _7"&gt;&lt;/span&gt;e lia&lt;span class="_ _7"&gt;&lt;/span&gt;bil&lt;span class="_ _7"&gt;&lt;/span&gt;it&lt;span class="_ _7"&gt;&lt;/span&gt;y.&lt;/span&gt;&lt;span style="display:inherit;clear:left;"&gt;Whe&lt;span class="_ _7"&gt;&lt;/span&gt;n de&lt;span class="_ _7"&gt;&lt;/span&gt;ter&lt;span class="_ _7"&gt;&lt;/span&gt;mi&lt;span class="_ _7"&gt;&lt;/span&gt;nin&lt;span class="_ _7"&gt;&lt;/span&gt;g the l&lt;span class="_ _7"&gt;&lt;/span&gt;ea&lt;span class="_ _7"&gt;&lt;/span&gt;se te&lt;span class="_ _7"&gt;&lt;/span&gt;rm&lt;span class="_ _7"&gt;&lt;/span&gt;, Volvo C&lt;span class="_ _7"&gt;&lt;/span&gt;ar Gr&lt;span class="_ _7"&gt;&lt;/span&gt;ou&lt;span class="_ _7"&gt;&lt;/span&gt;p con&lt;span class="_ _7"&gt;&lt;/span&gt;s&lt;span class="_ _7"&gt;&lt;/span&gt;ide&lt;span class="_ _7"&gt;&lt;/span&gt;r&lt;span class="_ _7"&gt;&lt;/span&gt;s all &lt;/span&gt;&lt;span style="display:inherit;clear:left;"&gt;fa&lt;span class="_ _7"&gt;&lt;/span&gt;ct&lt;span class="_ _7"&gt;&lt;/span&gt;s an&lt;span class="_ _7"&gt;&lt;/span&gt;d cir&lt;span class="_ _7"&gt;&lt;/span&gt;cum&lt;span class="_ _7"&gt;&lt;/span&gt;s&lt;span class="_ _7"&gt;&lt;/span&gt;tan&lt;span class="_ _7"&gt;&lt;/span&gt;ce&lt;span class="_ _7"&gt;&lt;/span&gt;s th&lt;span class="_ _7"&gt;&lt;/span&gt;at cr&lt;span class="_ _7"&gt;&lt;/span&gt;ea&lt;span class="_ _7"&gt;&lt;/span&gt;te an e&lt;span class="_ _7"&gt;&lt;/span&gt;co&lt;span class="_ _7"&gt;&lt;/span&gt;no&lt;span class="_ _7"&gt;&lt;/span&gt;mic i&lt;span class="_ _7"&gt;&lt;/span&gt;nc&lt;span class="_ _7"&gt;&lt;/span&gt;ent&lt;span class="_ _7"&gt;&lt;/span&gt;ive t&lt;span class="_ _7"&gt;&lt;/span&gt;o exer-&lt;/span&gt;&lt;span style="display:inherit;clear:left;"&gt;cise an e&lt;span class="_ _2"&gt;&lt;/span&gt;x&lt;span class="_ _7"&gt;&lt;/span&gt;tension opt&lt;span class="_ _2"&gt;&lt;/span&gt;ion, or not to&lt;span class="_ _2"&gt;&lt;/span&gt; exercise&lt;span class="_ _2"&gt;&lt;/span&gt; a termination opt&lt;span class="_ _2"&gt;&lt;/span&gt;ion in &lt;/span&gt;&lt;span style="display:inherit;clear:left;"&gt;addition t&lt;span class="_ _2"&gt;&lt;/span&gt;o the non&lt;span class="_ _2"&gt;&lt;/span&gt;-cancellable lease term. These opt&lt;span class="_ _2"&gt;&lt;/span&gt;ions are added &lt;/span&gt;&lt;span style="display:inherit;clear:left;"&gt;to the l&lt;span class="_ _7"&gt;&lt;/span&gt;ea&lt;span class="_ _7"&gt;&lt;/span&gt;se t&lt;span class="_ _7"&gt;&lt;/span&gt;er&lt;span class="_ _7"&gt;&lt;/span&gt;m if th&lt;span class="_ _7"&gt;&lt;/span&gt;ey ar&lt;span class="_ _7"&gt;&lt;/span&gt;e re&lt;span class="_ _7"&gt;&lt;/span&gt;as&lt;span class="_ _7"&gt;&lt;/span&gt;on&lt;span class="_ _7"&gt;&lt;/span&gt;ab&lt;span class="_ _7"&gt;&lt;/span&gt;ly ce&lt;span class="_ _7"&gt;&lt;/span&gt;r&lt;span class="_ _7"&gt;&lt;/span&gt;ta&lt;span class="_ _7"&gt;&lt;/span&gt;in&lt;span class="_ _7"&gt;&lt;/span&gt;. For ex&lt;span class="_ _7"&gt;&lt;/span&gt;am&lt;span class="_ _7"&gt;&lt;/span&gt;ple&lt;span class="_ _7"&gt;&lt;/span&gt;, Volvo &lt;/span&gt;&lt;span style="display:inherit;clear:left;"&gt;Ca&lt;span class="_ _7"&gt;&lt;/span&gt;r Gro&lt;span class="_ _7"&gt;&lt;/span&gt;up wo&lt;span class="_ _7"&gt;&lt;/span&gt;ul&lt;span class="_ _7"&gt;&lt;/span&gt;d con&lt;span class="_ _7"&gt;&lt;/span&gt;s&lt;span class="_ _7"&gt;&lt;/span&gt;ide&lt;span class="_ _7"&gt;&lt;/span&gt;r it r&lt;span class="_ _7"&gt;&lt;/span&gt;ea&lt;span class="_ _7"&gt;&lt;/span&gt;so&lt;span class="_ _7"&gt;&lt;/span&gt;na&lt;span class="_ _7"&gt;&lt;/span&gt;bly c&lt;span class="_ _7"&gt;&lt;/span&gt;er&lt;span class="_ _7"&gt;&lt;/span&gt;t&lt;span class="_ _7"&gt;&lt;/span&gt;ai&lt;span class="_ _7"&gt;&lt;/span&gt;n to exer&lt;span class="_ _7"&gt;&lt;/span&gt;cis&lt;span class="_ _7"&gt;&lt;/span&gt;e an &lt;/span&gt;&lt;span style="display:inherit;clear:left;"&gt;extension option&lt;span class="_ _2"&gt;&lt;/span&gt; if investments hav&lt;span class="_ _2"&gt;&lt;/span&gt;e been made to&lt;span class="_ _2"&gt;&lt;/span&gt; improve the&lt;span class="_ _2"&gt;&lt;/span&gt; &lt;/span&gt;&lt;span style="display:inherit;clear:left;"&gt;und&lt;span class="_ _7"&gt;&lt;/span&gt;er&lt;span class="_ _7"&gt;&lt;/span&gt;ly&lt;span class="_ _7"&gt;&lt;/span&gt;ing a&lt;span class="_ _7"&gt;&lt;/span&gt;s&lt;span class="_ _7"&gt;&lt;/span&gt;se&lt;span class="_ _7"&gt;&lt;/span&gt;t or t&lt;span class="_ _7"&gt;&lt;/span&gt;ail&lt;span class="_ _7"&gt;&lt;/span&gt;or i&lt;span class="_ _7"&gt;&lt;/span&gt;t for o&lt;span class="_ _7"&gt;&lt;/span&gt;ur s&lt;span class="_ _7"&gt;&lt;/span&gt;pe&lt;span class="_ _7"&gt;&lt;/span&gt;ci&lt;span class="_ _7"&gt;&lt;/span&gt;al ne&lt;span class="_ _7"&gt;&lt;/span&gt;e&lt;span class="_ _7"&gt;&lt;/span&gt;ds&lt;span class="_ _7"&gt;&lt;/span&gt;, an&lt;span class="_ _7"&gt;&lt;/span&gt;d/or i&lt;span class="_ _7"&gt;&lt;/span&gt;f the &lt;/span&gt;&lt;span style="display:inherit;clear:left;"&gt;und&lt;span class="_ _7"&gt;&lt;/span&gt;er&lt;span class="_ _7"&gt;&lt;/span&gt;ly&lt;span class="_ _7"&gt;&lt;/span&gt;ing a&lt;span class="_ _7"&gt;&lt;/span&gt;s&lt;span class="_ _7"&gt;&lt;/span&gt;se&lt;span class="_ _7"&gt;&lt;/span&gt;t is o&lt;span class="_ _7"&gt;&lt;/span&gt;f imp&lt;span class="_ _7"&gt;&lt;/span&gt;or&lt;span class="_ _9"&gt;&lt;/span&gt;tan&lt;span class="_ _7"&gt;&lt;/span&gt;ce to Volvo C&lt;span class="_ _7"&gt;&lt;/span&gt;ar G&lt;span class="_ _7"&gt;&lt;/span&gt;ro&lt;span class="_ _7"&gt;&lt;/span&gt;up’s ope&lt;span class="_ _7"&gt;&lt;/span&gt;r&lt;span class="_ _7"&gt;&lt;/span&gt;ati&lt;span class="_ _7"&gt;&lt;/span&gt;on&lt;span class="_ _7"&gt;&lt;/span&gt;s. &lt;/span&gt;&lt;span style="display:inherit;clear:left;"&gt;Th&lt;span class="_ _7"&gt;&lt;/span&gt;e as&lt;span class="_ _7"&gt;&lt;/span&gt;s&lt;span class="_ _7"&gt;&lt;/span&gt;es&lt;span class="_ _7"&gt;&lt;/span&gt;s&lt;span class="_ _7"&gt;&lt;/span&gt;me&lt;span class="_ _7"&gt;&lt;/span&gt;nt i&lt;span class="_ _7"&gt;&lt;/span&gt;s rev&lt;span class="_ _7"&gt;&lt;/span&gt;iew&lt;span class="_ _7"&gt;&lt;/span&gt;ed i&lt;span class="_ _7"&gt;&lt;/span&gt;f a si&lt;span class="_ _7"&gt;&lt;/span&gt;gn&lt;span class="_ _7"&gt;&lt;/span&gt;if&lt;span class="_ _7"&gt;&lt;/span&gt;ic&lt;span class="_ _7"&gt;&lt;/span&gt;an&lt;span class="_ _7"&gt;&lt;/span&gt;t even&lt;span class="_ _7"&gt;&lt;/span&gt;t or ch&lt;span class="_ _7"&gt;&lt;/span&gt;an&lt;span class="_ _7"&gt;&lt;/span&gt;ge in  &lt;/span&gt;&lt;span style="display:inherit;clear:left;"&gt;cir&lt;span class="_ _7"&gt;&lt;/span&gt;cum&lt;span class="_ _7"&gt;&lt;/span&gt;s&lt;span class="_ _7"&gt;&lt;/span&gt;tan&lt;span class="_ _7"&gt;&lt;/span&gt;ce&lt;span class="_ _7"&gt;&lt;/span&gt;s o&lt;span class="_ _7"&gt;&lt;/span&gt;ccu&lt;span class="_ _7"&gt;&lt;/span&gt;r&lt;span class="_ _7"&gt;&lt;/span&gt;s tha&lt;span class="_ _7"&gt;&lt;/span&gt;t may a&lt;span class="_ _7"&gt;&lt;/span&gt;f&lt;span class="_ _7"&gt;&lt;/span&gt;fe&lt;span class="_ _7"&gt;&lt;/span&gt;ct t&lt;span class="_ _7"&gt;&lt;/span&gt;he i&lt;span class="_ _7"&gt;&lt;/span&gt;nit&lt;span class="_ _7"&gt;&lt;/span&gt;ial a&lt;span class="_ _7"&gt;&lt;/span&gt;s&lt;span class="_ _7"&gt;&lt;/span&gt;s&lt;span class="_ _7"&gt;&lt;/span&gt;es&lt;span class="_ _7"&gt;&lt;/span&gt;s&lt;span class="_ _7"&gt;&lt;/span&gt;me&lt;span class="_ _7"&gt;&lt;/span&gt;nt&lt;span class="_ _7"&gt;&lt;/span&gt;. &lt;/span&gt;&lt;span style="display:inherit;clear:left;"&gt;Volvo Ca&lt;span class="_ _7"&gt;&lt;/span&gt;r Gro&lt;span class="_ _7"&gt;&lt;/span&gt;up i&lt;span class="_ _7"&gt;&lt;/span&gt;ncr&lt;span class="_ _7"&gt;&lt;/span&gt;em&lt;span class="_ _7"&gt;&lt;/span&gt;ent&lt;span class="_ _7"&gt;&lt;/span&gt;al b&lt;span class="_ _7"&gt;&lt;/span&gt;or&lt;span class="_ _7"&gt;&lt;/span&gt;ro&lt;span class="_ _7"&gt;&lt;/span&gt;win&lt;span class="_ _7"&gt;&lt;/span&gt;g ra&lt;span class="_ _7"&gt;&lt;/span&gt;te is th&lt;span class="_ _7"&gt;&lt;/span&gt;e we&lt;span class="_ _7"&gt;&lt;/span&gt;igh&lt;span class="_ _7"&gt;&lt;/span&gt;ted  &lt;/span&gt;&lt;span style="display:inherit;clear:left;"&gt;aver&lt;span class="_ _7"&gt;&lt;/span&gt;ag&lt;span class="_ _7"&gt;&lt;/span&gt;e ef&lt;span class="_ _7"&gt;&lt;/span&gt;f&lt;span class="_ _7"&gt;&lt;/span&gt;ec&lt;span class="_ _7"&gt;&lt;/span&gt;ti&lt;span class="_ _7"&gt;&lt;/span&gt;ve int&lt;span class="_ _7"&gt;&lt;/span&gt;ere&lt;span class="_ _7"&gt;&lt;/span&gt;s&lt;span class="_ _7"&gt;&lt;/span&gt;t r&lt;span class="_ _7"&gt;&lt;/span&gt;ate of a&lt;span class="_ _7"&gt;&lt;/span&gt;ll b&lt;span class="_ _7"&gt;&lt;/span&gt;or&lt;span class="_ _7"&gt;&lt;/span&gt;row&lt;span class="_ _7"&gt;&lt;/span&gt;ing&lt;span class="_ _7"&gt;&lt;/span&gt;s&lt;span class="_ _7"&gt;&lt;/span&gt;, an&lt;span class="_ _7"&gt;&lt;/span&gt;d t&lt;span class="_ _7"&gt;&lt;/span&gt;akes i&lt;span class="_ _7"&gt;&lt;/span&gt;nto  &lt;/span&gt;&lt;span style="display:inherit;clear:left;"&gt;consideration for&lt;span class="_ _2"&gt;&lt;/span&gt; example credit&lt;span class="_ _2"&gt;&lt;/span&gt; risk&lt;span class="_ _7"&gt;&lt;/span&gt;, currency&lt;span class="_ _2"&gt;&lt;/span&gt; risk&lt;span class="_ _7"&gt;&lt;/span&gt;, country risk &lt;/span&gt;&lt;span style="display:inherit;clear:left;"&gt;and l&lt;span class="_ _2"&gt;&lt;/span&gt;ease term.&lt;/span&gt;&lt;span style="display:inherit;clear:left;"&gt;For s&lt;span class="_ _7"&gt;&lt;/span&gt;al&lt;span class="_ _7"&gt;&lt;/span&gt;e and l&lt;span class="_ _7"&gt;&lt;/span&gt;ea&lt;span class="_ _7"&gt;&lt;/span&gt;se&lt;span class="_ _7"&gt;&lt;/span&gt;ba&lt;span class="_ _7"&gt;&lt;/span&gt;ck tr&lt;span class="_ _7"&gt;&lt;/span&gt;an&lt;span class="_ _7"&gt;&lt;/span&gt;s&lt;span class="_ _7"&gt;&lt;/span&gt;ac&lt;span class="_ _7"&gt;&lt;/span&gt;tio&lt;span class="_ _7"&gt;&lt;/span&gt;ns&lt;span class="_ _7"&gt;&lt;/span&gt;, Volvo C&lt;span class="_ _7"&gt;&lt;/span&gt;ar G&lt;span class="_ _7"&gt;&lt;/span&gt;rou&lt;span class="_ _7"&gt;&lt;/span&gt;p is r&lt;span class="_ _7"&gt;&lt;/span&gt;eq&lt;span class="_ _7"&gt;&lt;/span&gt;uir&lt;span class="_ _7"&gt;&lt;/span&gt;ed t&lt;span class="_ _7"&gt;&lt;/span&gt;o &lt;/span&gt;&lt;span style="display:inherit;clear:left;"&gt;make j&lt;span class="_ _7"&gt;&lt;/span&gt;udg&lt;span class="_ _7"&gt;&lt;/span&gt;em&lt;span class="_ _7"&gt;&lt;/span&gt;ent&lt;span class="_ _7"&gt;&lt;/span&gt;s ab&lt;span class="_ _7"&gt;&lt;/span&gt;o&lt;span class="_ _7"&gt;&lt;/span&gt;ut wh&lt;span class="_ _7"&gt;&lt;/span&gt;eth&lt;span class="_ _7"&gt;&lt;/span&gt;er t&lt;span class="_ _7"&gt;&lt;/span&gt;he tr&lt;span class="_ _7"&gt;&lt;/span&gt;an&lt;span class="_ _7"&gt;&lt;/span&gt;s&lt;span class="_ _7"&gt;&lt;/span&gt;fe&lt;span class="_ _7"&gt;&lt;/span&gt;r of an a&lt;span class="_ _7"&gt;&lt;/span&gt;s&lt;span class="_ _7"&gt;&lt;/span&gt;s&lt;span class="_ _7"&gt;&lt;/span&gt;et to th&lt;span class="_ _7"&gt;&lt;/span&gt;e &lt;/span&gt;&lt;span style="display:inherit;clear:left;"&gt;bu&lt;span class="_ _7"&gt;&lt;/span&gt;yer q&lt;span class="_ _7"&gt;&lt;/span&gt;ua&lt;span class="_ _7"&gt;&lt;/span&gt;lif&lt;span class="_ _7"&gt;&lt;/span&gt;ie&lt;span class="_ _7"&gt;&lt;/span&gt;s a&lt;span class="_ _7"&gt;&lt;/span&gt;s a sa&lt;span class="_ _7"&gt;&lt;/span&gt;le un&lt;span class="_ _7"&gt;&lt;/span&gt;de&lt;span class="_ _7"&gt;&lt;/span&gt;r IFRS 15 wh&lt;span class="_ _7"&gt;&lt;/span&gt;ic&lt;span class="_ _7"&gt;&lt;/span&gt;h the&lt;span class="_ _7"&gt;&lt;/span&gt;n de&lt;span class="_ _7"&gt;&lt;/span&gt;ter&lt;span class="_ _7"&gt;&lt;/span&gt;min&lt;span class="_ _7"&gt;&lt;/span&gt;e&lt;span class="_ _7"&gt;&lt;/span&gt;s the &lt;/span&gt;&lt;span style="display:inherit;clear:left;"&gt;acc&lt;span class="_ _7"&gt;&lt;/span&gt;ou&lt;span class="_ _7"&gt;&lt;/span&gt;nti&lt;span class="_ _7"&gt;&lt;/span&gt;ng tr&lt;span class="_ _7"&gt;&lt;/span&gt;eat&lt;span class="_ _7"&gt;&lt;/span&gt;me&lt;span class="_ _7"&gt;&lt;/span&gt;nt fo&lt;span class="_ _7"&gt;&lt;/span&gt;r the t&lt;span class="_ _7"&gt;&lt;/span&gt;ra&lt;span class="_ _7"&gt;&lt;/span&gt;ns&lt;span class="_ _7"&gt;&lt;/span&gt;a&lt;span class="_ _7"&gt;&lt;/span&gt;cti&lt;span class="_ _7"&gt;&lt;/span&gt;on&lt;span class="_ _7"&gt;&lt;/span&gt;. Volvo Ca&lt;span class="_ _7"&gt;&lt;/span&gt;r Gr&lt;span class="_ _7"&gt;&lt;/span&gt;oup d&lt;span class="_ _7"&gt;&lt;/span&gt;ete&lt;span class="_ _7"&gt;&lt;/span&gt;r&lt;span class="_ _2"&gt;&lt;/span&gt;-&lt;/span&gt;&lt;span style="display:inherit;clear:left;"&gt;min&lt;span class="_ _7"&gt;&lt;/span&gt;e&lt;span class="_ _7"&gt;&lt;/span&gt;s whe&lt;span class="_ _7"&gt;&lt;/span&gt;the&lt;span class="_ _7"&gt;&lt;/span&gt;r a s&lt;span class="_ _7"&gt;&lt;/span&gt;ale ex&lt;span class="_ _7"&gt;&lt;/span&gt;i&lt;span class="_ _7"&gt;&lt;/span&gt;st&lt;span class="_ _7"&gt;&lt;/span&gt;s by m&lt;span class="_ _7"&gt;&lt;/span&gt;ak&lt;span class="_ _7"&gt;&lt;/span&gt;ing j&lt;span class="_ _7"&gt;&lt;/span&gt;udg&lt;span class="_ _7"&gt;&lt;/span&gt;eme&lt;span class="_ _7"&gt;&lt;/span&gt;nt&lt;span class="_ _7"&gt;&lt;/span&gt;s of w&lt;span class="_ _7"&gt;&lt;/span&gt;he&lt;span class="_ _7"&gt;&lt;/span&gt;the&lt;span class="_ _7"&gt;&lt;/span&gt;r co&lt;span class="_ _7"&gt;&lt;/span&gt;n-&lt;/span&gt;&lt;span style="display:inherit;clear:left;"&gt;tro&lt;span class="_ _7"&gt;&lt;/span&gt;l of t&lt;span class="_ _7"&gt;&lt;/span&gt;he a&lt;span class="_ _7"&gt;&lt;/span&gt;s&lt;span class="_ _7"&gt;&lt;/span&gt;se&lt;span class="_ _7"&gt;&lt;/span&gt;t pa&lt;span class="_ _7"&gt;&lt;/span&gt;s&lt;span class="_ _7"&gt;&lt;/span&gt;se&lt;span class="_ _7"&gt;&lt;/span&gt;s to th&lt;span class="_ _7"&gt;&lt;/span&gt;e bu&lt;span class="_ _7"&gt;&lt;/span&gt;ye&lt;span class="_ _7"&gt;&lt;/span&gt;r and a&lt;span class="_ _7"&gt;&lt;/span&gt;pp&lt;span class="_ _7"&gt;&lt;/span&gt;lie&lt;span class="_ _7"&gt;&lt;/span&gt;s th&lt;span class="_ _7"&gt;&lt;/span&gt;e s&lt;span class="_ _7"&gt;&lt;/span&gt;am&lt;span class="_ _7"&gt;&lt;/span&gt;e acc&lt;span class="_ _7"&gt;&lt;/span&gt;ou&lt;span class="_ _7"&gt;&lt;/span&gt;nt&lt;span class="_ _2"&gt;&lt;/span&gt;-&lt;/span&gt;&lt;span style="display:inherit;clear:left;"&gt;ing p&lt;span class="_ _7"&gt;&lt;/span&gt;ri&lt;span class="_ _7"&gt;&lt;/span&gt;nci&lt;span class="_ _7"&gt;&lt;/span&gt;ple&lt;span class="_ _7"&gt;&lt;/span&gt;s to th&lt;span class="_ _7"&gt;&lt;/span&gt;is j&lt;span class="_ _7"&gt;&lt;/span&gt;udg&lt;span class="_ _7"&gt;&lt;/span&gt;em&lt;span class="_ _7"&gt;&lt;/span&gt;ent a&lt;span class="_ _7"&gt;&lt;/span&gt;s di&lt;span class="_ _7"&gt;&lt;/span&gt;s&lt;span class="_ _7"&gt;&lt;/span&gt;cus&lt;span class="_ _7"&gt;&lt;/span&gt;s&lt;span class="_ _7"&gt;&lt;/span&gt;e&lt;span class="_ _7"&gt;&lt;/span&gt;d in No&lt;span class="_ _7"&gt;&lt;/span&gt;te 2 – Reve&lt;span class="_ _7"&gt;&lt;/span&gt;nu&lt;span class="_ _7"&gt;&lt;/span&gt;e. &lt;/span&gt;&lt;span style="display:inherit;clear:left;"&gt;If th&lt;span class="_ _7"&gt;&lt;/span&gt;e tr&lt;span class="_ _7"&gt;&lt;/span&gt;an&lt;span class="_ _7"&gt;&lt;/span&gt;s&lt;span class="_ _7"&gt;&lt;/span&gt;fer d&lt;span class="_ _7"&gt;&lt;/span&gt;oe&lt;span class="_ _7"&gt;&lt;/span&gt;s no&lt;span class="_ _7"&gt;&lt;/span&gt;t qu&lt;span class="_ _7"&gt;&lt;/span&gt;ali&lt;span class="_ _7"&gt;&lt;/span&gt;f&lt;span class="_ _7"&gt;&lt;/span&gt;y a&lt;span class="_ _7"&gt;&lt;/span&gt;s a sa&lt;span class="_ _7"&gt;&lt;/span&gt;le an&lt;span class="_ _7"&gt;&lt;/span&gt;d th&lt;span class="_ _7"&gt;&lt;/span&gt;e as&lt;span class="_ _7"&gt;&lt;/span&gt;s&lt;span class="_ _7"&gt;&lt;/span&gt;et&lt;span class="_ _7"&gt;&lt;/span&gt;s in th&lt;span class="_ _7"&gt;&lt;/span&gt;e tr&lt;span class="_ _7"&gt;&lt;/span&gt;an&lt;span class="_ _7"&gt;&lt;/span&gt;s-&lt;/span&gt;&lt;span style="display:inherit;clear:left;"&gt;act&lt;span class="_ _7"&gt;&lt;/span&gt;io&lt;span class="_ _7"&gt;&lt;/span&gt;n invo&lt;span class="_ _7"&gt;&lt;/span&gt;lve ow&lt;span class="_ _7"&gt;&lt;/span&gt;ne&lt;span class="_ _7"&gt;&lt;/span&gt;d c&lt;span class="_ _7"&gt;&lt;/span&gt;ar&lt;span class="_ _7"&gt;&lt;/span&gt;s, t&lt;span class="_ _7"&gt;&lt;/span&gt;he t&lt;span class="_ _7"&gt;&lt;/span&gt;ra&lt;span class="_ _7"&gt;&lt;/span&gt;ns&lt;span class="_ _7"&gt;&lt;/span&gt;fe&lt;span class="_ _7"&gt;&lt;/span&gt;r pr&lt;span class="_ _7"&gt;&lt;/span&gt;oc&lt;span class="_ _7"&gt;&lt;/span&gt;ee&lt;span class="_ _7"&gt;&lt;/span&gt;ds</t>
  </si>
  <si>
    <t>f1__s8__6__40</t>
  </si>
  <si>
    <t>ifrs-full:DescriptionOfAccountingPolicyForRepurchaseAndReverseRepurchaseAgreementsExplanatory</t>
  </si>
  <si>
    <t>&lt;span style="display:inherit;clear:left;"&gt;CRITICAL A&lt;span class="_ _2"&gt;&lt;/span&gt;CC&lt;span class="_ _7"&gt;&lt;/span&gt;OUNTING ESTIMA&lt;span class="_ _6"&gt;&lt;/span&gt;TES AND JUDGEMENTS&lt;/span&gt;&lt;span style="display:inherit;clear:left;"&gt;V&lt;span class="_ _2"&gt;&lt;/span&gt;ariable r&lt;span class="_ _2"&gt;&lt;/span&gt;evenue components&lt;span class="_ _2"&gt;&lt;/span&gt; &lt;/span&gt;&lt;span style="display:inherit;clear:left;"&gt;An in&lt;span class="_ _7"&gt;&lt;/span&gt;he&lt;span class="_ _7"&gt;&lt;/span&gt;re&lt;span class="_ _7"&gt;&lt;/span&gt;nt ri&lt;span class="_ _7"&gt;&lt;/span&gt;sk r&lt;span class="_ _7"&gt;&lt;/span&gt;eg&lt;span class="_ _7"&gt;&lt;/span&gt;ar&lt;span class="_ _7"&gt;&lt;/span&gt;din&lt;span class="_ _7"&gt;&lt;/span&gt;g di&lt;span class="_ _7"&gt;&lt;/span&gt;f&lt;span class="_ _7"&gt;&lt;/span&gt;fe&lt;span class="_ _7"&gt;&lt;/span&gt;ren&lt;span class="_ _7"&gt;&lt;/span&gt;t fo&lt;span class="_ _7"&gt;&lt;/span&gt;rm&lt;span class="_ _7"&gt;&lt;/span&gt;s of va&lt;span class="_ _7"&gt;&lt;/span&gt;ri&lt;span class="_ _7"&gt;&lt;/span&gt;ab&lt;span class="_ _7"&gt;&lt;/span&gt;le re&lt;span class="_ _7"&gt;&lt;/span&gt;ven&lt;span class="_ _7"&gt;&lt;/span&gt;ue  &lt;/span&gt;&lt;span style="display:inherit;clear:left;"&gt;com&lt;span class="_ _7"&gt;&lt;/span&gt;po&lt;span class="_ _7"&gt;&lt;/span&gt;ne&lt;span class="_ _7"&gt;&lt;/span&gt;nt&lt;span class="_ _7"&gt;&lt;/span&gt;s in a s&lt;span class="_ _7"&gt;&lt;/span&gt;al&lt;span class="_ _7"&gt;&lt;/span&gt;es c&lt;span class="_ _7"&gt;&lt;/span&gt;ont&lt;span class="_ _7"&gt;&lt;/span&gt;ra&lt;span class="_ _7"&gt;&lt;/span&gt;ct&lt;span class="_ _7"&gt;&lt;/span&gt;, is t&lt;span class="_ _7"&gt;&lt;/span&gt;he p&lt;span class="_ _7"&gt;&lt;/span&gt;rob&lt;span class="_ _7"&gt;&lt;/span&gt;ab&lt;span class="_ _7"&gt;&lt;/span&gt;ili&lt;span class="_ _7"&gt;&lt;/span&gt;t&lt;span class="_ _7"&gt;&lt;/span&gt;y of a r&lt;span class="_ _7"&gt;&lt;/span&gt;eve&lt;span class="_ _7"&gt;&lt;/span&gt;rs&lt;span class="_ _7"&gt;&lt;/span&gt;a&lt;span class="_ _7"&gt;&lt;/span&gt;l of &lt;/span&gt;&lt;span style="display:inherit;clear:left;"&gt;reve&lt;span class="_ _7"&gt;&lt;/span&gt;nu&lt;span class="_ _7"&gt;&lt;/span&gt;e in f&lt;span class="_ _7"&gt;&lt;/span&gt;utu&lt;span class="_ _7"&gt;&lt;/span&gt;re p&lt;span class="_ _7"&gt;&lt;/span&gt;er&lt;span class="_ _7"&gt;&lt;/span&gt;io&lt;span class="_ _7"&gt;&lt;/span&gt;ds&lt;span class="_ _7"&gt;&lt;/span&gt;. O&lt;span class="_ _7"&gt;&lt;/span&gt;n ini&lt;span class="_ _7"&gt;&lt;/span&gt;ti&lt;span class="_ _7"&gt;&lt;/span&gt;al re&lt;span class="_ _7"&gt;&lt;/span&gt;co&lt;span class="_ _7"&gt;&lt;/span&gt;gn&lt;span class="_ _7"&gt;&lt;/span&gt;iti&lt;span class="_ _7"&gt;&lt;/span&gt;on&lt;span class="_ _7"&gt;&lt;/span&gt;, var&lt;span class="_ _7"&gt;&lt;/span&gt;ia&lt;span class="_ _7"&gt;&lt;/span&gt;bl&lt;span class="_ _7"&gt;&lt;/span&gt;e reve&lt;span class="_ _7"&gt;&lt;/span&gt;nu&lt;span class="_ _7"&gt;&lt;/span&gt;e &lt;/span&gt;&lt;span style="display:inherit;clear:left;"&gt;com&lt;span class="_ _7"&gt;&lt;/span&gt;po&lt;span class="_ _7"&gt;&lt;/span&gt;ne&lt;span class="_ _7"&gt;&lt;/span&gt;nt&lt;span class="_ _7"&gt;&lt;/span&gt;s are e&lt;span class="_ _7"&gt;&lt;/span&gt;s&lt;span class="_ _7"&gt;&lt;/span&gt;ti&lt;span class="_ _7"&gt;&lt;/span&gt;mate&lt;span class="_ _7"&gt;&lt;/span&gt;d&lt;span class="_ _7"&gt;&lt;/span&gt;, and r&lt;span class="_ _7"&gt;&lt;/span&gt;eve&lt;span class="_ _7"&gt;&lt;/span&gt;nu&lt;span class="_ _7"&gt;&lt;/span&gt;e is re&lt;span class="_ _7"&gt;&lt;/span&gt;co&lt;span class="_ _7"&gt;&lt;/span&gt;gn&lt;span class="_ _7"&gt;&lt;/span&gt;is&lt;span class="_ _7"&gt;&lt;/span&gt;e&lt;span class="_ _7"&gt;&lt;/span&gt;d whe&lt;span class="_ _7"&gt;&lt;/span&gt;n it i&lt;span class="_ _7"&gt;&lt;/span&gt;s &lt;/span&gt;&lt;span style="display:inherit;clear:left;"&gt;hig&lt;span class="_ _7"&gt;&lt;/span&gt;hly p&lt;span class="_ _7"&gt;&lt;/span&gt;ro&lt;span class="_ _7"&gt;&lt;/span&gt;bab&lt;span class="_ _7"&gt;&lt;/span&gt;le th&lt;span class="_ _7"&gt;&lt;/span&gt;at a r&lt;span class="_ _7"&gt;&lt;/span&gt;eve&lt;span class="_ _7"&gt;&lt;/span&gt;nue r&lt;span class="_ _7"&gt;&lt;/span&gt;eve&lt;span class="_ _7"&gt;&lt;/span&gt;rs&lt;span class="_ _7"&gt;&lt;/span&gt;a&lt;span class="_ _7"&gt;&lt;/span&gt;l in f&lt;span class="_ _7"&gt;&lt;/span&gt;utu&lt;span class="_ _7"&gt;&lt;/span&gt;re p&lt;span class="_ _7"&gt;&lt;/span&gt;er&lt;span class="_ _7"&gt;&lt;/span&gt;io&lt;span class="_ _7"&gt;&lt;/span&gt;ds w&lt;span class="_ _7"&gt;&lt;/span&gt;ill n&lt;span class="_ _7"&gt;&lt;/span&gt;ot &lt;/span&gt;&lt;span style="display:inherit;clear:left;"&gt;oc&lt;span class="_ _7"&gt;&lt;/span&gt;cur. An exam&lt;span class="_ _7"&gt;&lt;/span&gt;pl&lt;span class="_ _7"&gt;&lt;/span&gt;e of th&lt;span class="_ _7"&gt;&lt;/span&gt;is i&lt;span class="_ _7"&gt;&lt;/span&gt;s wh&lt;span class="_ _7"&gt;&lt;/span&gt;en c&lt;span class="_ _7"&gt;&lt;/span&gt;ar&lt;span class="_ _7"&gt;&lt;/span&gt;s ar&lt;span class="_ _7"&gt;&lt;/span&gt;e so&lt;span class="_ _7"&gt;&lt;/span&gt;ld to a r&lt;span class="_ _7"&gt;&lt;/span&gt;et&lt;span class="_ _7"&gt;&lt;/span&gt;ail&lt;span class="_ _7"&gt;&lt;/span&gt;er wi&lt;span class="_ _7"&gt;&lt;/span&gt;th  &lt;/span&gt;&lt;span style="display:inherit;clear:left;"&gt;volu&lt;span class="_ _7"&gt;&lt;/span&gt;me d&lt;span class="_ _7"&gt;&lt;/span&gt;is&lt;span class="_ _7"&gt;&lt;/span&gt;co&lt;span class="_ _7"&gt;&lt;/span&gt;un&lt;span class="_ _7"&gt;&lt;/span&gt;ts b&lt;span class="_ _7"&gt;&lt;/span&gt;as&lt;span class="_ _7"&gt;&lt;/span&gt;e&lt;span class="_ _7"&gt;&lt;/span&gt;d on ag&lt;span class="_ _7"&gt;&lt;/span&gt;gr&lt;span class="_ _7"&gt;&lt;/span&gt;eg&lt;span class="_ _7"&gt;&lt;/span&gt;ate s&lt;span class="_ _7"&gt;&lt;/span&gt;al&lt;span class="_ _7"&gt;&lt;/span&gt;es o&lt;span class="_ _7"&gt;&lt;/span&gt;ver a 3&lt;span class="_ _7"&gt;&lt;/span&gt;–12 month&lt;span class="_ _7"&gt;&lt;/span&gt;s &lt;/span&gt;&lt;span style="display:inherit;clear:left;"&gt;pe&lt;span class="_ _7"&gt;&lt;/span&gt;ri&lt;span class="_ _7"&gt;&lt;/span&gt;od&lt;span class="_ _7"&gt;&lt;/span&gt;. Reve&lt;span class="_ _7"&gt;&lt;/span&gt;nu&lt;span class="_ _7"&gt;&lt;/span&gt;e fr&lt;span class="_ _7"&gt;&lt;/span&gt;om th&lt;span class="_ _7"&gt;&lt;/span&gt;es&lt;span class="_ _7"&gt;&lt;/span&gt;e s&lt;span class="_ _7"&gt;&lt;/span&gt;al&lt;span class="_ _7"&gt;&lt;/span&gt;es i&lt;span class="_ _7"&gt;&lt;/span&gt;s re&lt;span class="_ _7"&gt;&lt;/span&gt;co&lt;span class="_ _7"&gt;&lt;/span&gt;gn&lt;span class="_ _7"&gt;&lt;/span&gt;is&lt;span class="_ _7"&gt;&lt;/span&gt;ed b&lt;span class="_ _7"&gt;&lt;/span&gt;as&lt;span class="_ _7"&gt;&lt;/span&gt;e&lt;span class="_ _7"&gt;&lt;/span&gt;d on th&lt;span class="_ _7"&gt;&lt;/span&gt;e pr&lt;span class="_ _7"&gt;&lt;/span&gt;ic&lt;span class="_ _7"&gt;&lt;/span&gt;e &lt;/span&gt;&lt;span style="display:inherit;clear:left;"&gt;sp&lt;span class="_ _7"&gt;&lt;/span&gt;eci&lt;span class="_ _7"&gt;&lt;/span&gt;f&lt;span class="_ _7"&gt;&lt;/span&gt;ie&lt;span class="_ _7"&gt;&lt;/span&gt;d in th&lt;span class="_ _7"&gt;&lt;/span&gt;e s&lt;span class="_ _7"&gt;&lt;/span&gt;ale&lt;span class="_ _7"&gt;&lt;/span&gt;s co&lt;span class="_ _7"&gt;&lt;/span&gt;ntr&lt;span class="_ _7"&gt;&lt;/span&gt;a&lt;span class="_ _7"&gt;&lt;/span&gt;ct&lt;span class="_ _7"&gt;&lt;/span&gt;, adj&lt;span class="_ _7"&gt;&lt;/span&gt;us&lt;span class="_ _7"&gt;&lt;/span&gt;te&lt;span class="_ _7"&gt;&lt;/span&gt;d for v&lt;span class="_ _7"&gt;&lt;/span&gt;olu&lt;span class="_ _7"&gt;&lt;/span&gt;me d&lt;span class="_ _7"&gt;&lt;/span&gt;is&lt;span class="_ _7"&gt;&lt;/span&gt;co&lt;span class="_ _7"&gt;&lt;/span&gt;unt&lt;span class="_ _7"&gt;&lt;/span&gt;s fo&lt;span class="_ _7"&gt;&lt;/span&gt;r &lt;/span&gt;&lt;span style="display:inherit;clear:left;"&gt;the w&lt;span class="_ _7"&gt;&lt;/span&gt;ho&lt;span class="_ _7"&gt;&lt;/span&gt;le&lt;span class="_ _7"&gt;&lt;/span&gt;s&lt;span class="_ _7"&gt;&lt;/span&gt;ale p&lt;span class="_ _7"&gt;&lt;/span&gt;er&lt;span class="_ _7"&gt;&lt;/span&gt;io&lt;span class="_ _7"&gt;&lt;/span&gt;d. E&lt;span class="_ _7"&gt;&lt;/span&gt;s&lt;span class="_ _7"&gt;&lt;/span&gt;tim&lt;span class="_ _7"&gt;&lt;/span&gt;ate&lt;span class="_ _7"&gt;&lt;/span&gt;s an&lt;span class="_ _7"&gt;&lt;/span&gt;d ju&lt;span class="_ _7"&gt;&lt;/span&gt;dge&lt;span class="_ _7"&gt;&lt;/span&gt;me&lt;span class="_ _7"&gt;&lt;/span&gt;nts i&lt;span class="_ _7"&gt;&lt;/span&gt;ni&lt;span class="_ _7"&gt;&lt;/span&gt;tia&lt;span class="_ _7"&gt;&lt;/span&gt;lly m&lt;span class="_ _7"&gt;&lt;/span&gt;ad&lt;span class="_ _7"&gt;&lt;/span&gt;e are &lt;/span&gt;&lt;span style="display:inherit;clear:left;"&gt;up&lt;span class="_ _7"&gt;&lt;/span&gt;date&lt;span class="_ _7"&gt;&lt;/span&gt;d co&lt;span class="_ _7"&gt;&lt;/span&gt;nti&lt;span class="_ _7"&gt;&lt;/span&gt;nu&lt;span class="_ _7"&gt;&lt;/span&gt;ou&lt;span class="_ _7"&gt;&lt;/span&gt;sly a&lt;span class="_ _7"&gt;&lt;/span&gt;t eac&lt;span class="_ _7"&gt;&lt;/span&gt;h re&lt;span class="_ _7"&gt;&lt;/span&gt;po&lt;span class="_ _7"&gt;&lt;/span&gt;r&lt;span class="_ _7"&gt;&lt;/span&gt;tin&lt;span class="_ _7"&gt;&lt;/span&gt;g pe&lt;span class="_ _7"&gt;&lt;/span&gt;ri&lt;span class="_ _7"&gt;&lt;/span&gt;od&lt;span class="_ _7"&gt;&lt;/span&gt;. &lt;/span&gt;&lt;span style="display:inherit;clear:left;"&gt;Resi&lt;span class="_ _7"&gt;&lt;/span&gt;dua&lt;span class="_ _7"&gt;&lt;/span&gt;l value gu&lt;span class="_ _7"&gt;&lt;/span&gt;aran&lt;span class="_ _7"&gt;&lt;/span&gt;tees &lt;/span&gt;&lt;span style="display:inherit;clear:left;"&gt;Volvo Ca&lt;span class="_ _7"&gt;&lt;/span&gt;r Gro&lt;span class="_ _7"&gt;&lt;/span&gt;up i&lt;span class="_ _7"&gt;&lt;/span&gt;s exp&lt;span class="_ _7"&gt;&lt;/span&gt;o&lt;span class="_ _7"&gt;&lt;/span&gt;se&lt;span class="_ _7"&gt;&lt;/span&gt;d to re&lt;span class="_ _7"&gt;&lt;/span&gt;s&lt;span class="_ _7"&gt;&lt;/span&gt;idu&lt;span class="_ _7"&gt;&lt;/span&gt;al v&lt;span class="_ _7"&gt;&lt;/span&gt;alu&lt;span class="_ _7"&gt;&lt;/span&gt;e ri&lt;span class="_ _7"&gt;&lt;/span&gt;sk&lt;span class="_ _7"&gt;&lt;/span&gt;, me&lt;span class="_ _7"&gt;&lt;/span&gt;an&lt;span class="_ _7"&gt;&lt;/span&gt;ing th&lt;span class="_ _7"&gt;&lt;/span&gt;at &lt;/span&gt;&lt;span style="display:inherit;clear:left;"&gt;the&lt;span class="_ _7"&gt;&lt;/span&gt;re i&lt;span class="_ _7"&gt;&lt;/span&gt;s a po&lt;span class="_ _7"&gt;&lt;/span&gt;tent&lt;span class="_ _7"&gt;&lt;/span&gt;ia&lt;span class="_ _7"&gt;&lt;/span&gt;l los&lt;span class="_ _7"&gt;&lt;/span&gt;s f&lt;span class="_ _7"&gt;&lt;/span&gt;or Volvo C&lt;span class="_ _7"&gt;&lt;/span&gt;ar G&lt;span class="_ _7"&gt;&lt;/span&gt;rou&lt;span class="_ _7"&gt;&lt;/span&gt;p if t&lt;span class="_ _7"&gt;&lt;/span&gt;he f&lt;span class="_ _7"&gt;&lt;/span&gt;utu&lt;span class="_ _7"&gt;&lt;/span&gt;re m&lt;span class="_ _7"&gt;&lt;/span&gt;ar&lt;span class="_ _7"&gt;&lt;/span&gt;ket &lt;/span&gt;&lt;span style="display:inherit;clear:left;"&gt;val&lt;span class="_ _7"&gt;&lt;/span&gt;ue of a u&lt;span class="_ _7"&gt;&lt;/span&gt;s&lt;span class="_ _7"&gt;&lt;/span&gt;ed c&lt;span class="_ _7"&gt;&lt;/span&gt;ar i&lt;span class="_ _7"&gt;&lt;/span&gt;s lowe&lt;span class="_ _7"&gt;&lt;/span&gt;r th&lt;span class="_ _7"&gt;&lt;/span&gt;an th&lt;span class="_ _7"&gt;&lt;/span&gt;e gu&lt;span class="_ _7"&gt;&lt;/span&gt;ar&lt;span class="_ _7"&gt;&lt;/span&gt;ant&lt;span class="_ _7"&gt;&lt;/span&gt;ee&lt;span class="_ _7"&gt;&lt;/span&gt;d val&lt;span class="_ _7"&gt;&lt;/span&gt;ue o&lt;span class="_ _7"&gt;&lt;/span&gt;f the c&lt;span class="_ _7"&gt;&lt;/span&gt;ar &lt;/span&gt;&lt;span style="display:inherit;clear:left;"&gt;acc&lt;span class="_ _7"&gt;&lt;/span&gt;or&lt;span class="_ _7"&gt;&lt;/span&gt;di&lt;span class="_ _7"&gt;&lt;/span&gt;ng to th&lt;span class="_ _7"&gt;&lt;/span&gt;e s&lt;span class="_ _7"&gt;&lt;/span&gt;ale&lt;span class="_ _7"&gt;&lt;/span&gt;s co&lt;span class="_ _7"&gt;&lt;/span&gt;ntr&lt;span class="_ _7"&gt;&lt;/span&gt;ac&lt;span class="_ _7"&gt;&lt;/span&gt;t. T&lt;span class="_ _7"&gt;&lt;/span&gt;hi&lt;span class="_ _7"&gt;&lt;/span&gt;s po&lt;span class="_ _7"&gt;&lt;/span&gt;tent&lt;span class="_ _7"&gt;&lt;/span&gt;ia&lt;span class="_ _7"&gt;&lt;/span&gt;l neg&lt;span class="_ _7"&gt;&lt;/span&gt;at&lt;span class="_ _7"&gt;&lt;/span&gt;ive e&lt;span class="_ _7"&gt;&lt;/span&gt;f&lt;span class="_ _7"&gt;&lt;/span&gt;f&lt;span class="_ _7"&gt;&lt;/span&gt;ec&lt;span class="_ _7"&gt;&lt;/span&gt;t is &lt;/span&gt;&lt;span style="display:inherit;clear:left;"&gt;re&lt;span class="_ _7"&gt;&lt;/span&gt;cog&lt;span class="_ _7"&gt;&lt;/span&gt;ni&lt;span class="_ _7"&gt;&lt;/span&gt;s&lt;span class="_ _7"&gt;&lt;/span&gt;ed a&lt;span class="_ _7"&gt;&lt;/span&gt;s a con&lt;span class="_ _7"&gt;&lt;/span&gt;tr&lt;span class="_ _7"&gt;&lt;/span&gt;ac&lt;span class="_ _7"&gt;&lt;/span&gt;t lia&lt;span class="_ _7"&gt;&lt;/span&gt;bil&lt;span class="_ _7"&gt;&lt;/span&gt;it&lt;span class="_ _7"&gt;&lt;/span&gt;y, and t&lt;span class="_ _7"&gt;&lt;/span&gt;he f&lt;span class="_ _7"&gt;&lt;/span&gt;ut&lt;span class="_ _7"&gt;&lt;/span&gt;ure m&lt;span class="_ _7"&gt;&lt;/span&gt;ar&lt;span class="_ _7"&gt;&lt;/span&gt;ket va&lt;span class="_ _7"&gt;&lt;/span&gt;lue o&lt;span class="_ _7"&gt;&lt;/span&gt;f ca&lt;span class="_ _7"&gt;&lt;/span&gt;rs &lt;/span&gt;&lt;span style="display:inherit;clear:left;"&gt;is m&lt;span class="_ _7"&gt;&lt;/span&gt;oni&lt;span class="_ _7"&gt;&lt;/span&gt;tor&lt;span class="_ _7"&gt;&lt;/span&gt;ed i&lt;span class="_ _7"&gt;&lt;/span&gt;nd&lt;span class="_ _7"&gt;&lt;/span&gt;iv&lt;span class="_ _7"&gt;&lt;/span&gt;id&lt;span class="_ _7"&gt;&lt;/span&gt;ual&lt;span class="_ _7"&gt;&lt;/span&gt;ly on a c&lt;span class="_ _7"&gt;&lt;/span&gt;ont&lt;span class="_ _7"&gt;&lt;/span&gt;in&lt;span class="_ _7"&gt;&lt;/span&gt;uin&lt;span class="_ _7"&gt;&lt;/span&gt;g ba&lt;span class="_ _7"&gt;&lt;/span&gt;si&lt;span class="_ _7"&gt;&lt;/span&gt;s. A&lt;span class="_ _7"&gt;&lt;/span&gt;n e&lt;span class="_ _7"&gt;&lt;/span&gt;sti&lt;span class="_ _7"&gt;&lt;/span&gt;ma&lt;span class="_ _7"&gt;&lt;/span&gt;te is m&lt;span class="_ _7"&gt;&lt;/span&gt;ad&lt;span class="_ _7"&gt;&lt;/span&gt;e &lt;/span&gt;&lt;span style="display:inherit;clear:left;"&gt;ba&lt;span class="_ _7"&gt;&lt;/span&gt;se&lt;span class="_ _7"&gt;&lt;/span&gt;d on e&lt;span class="_ _7"&gt;&lt;/span&gt;val&lt;span class="_ _7"&gt;&lt;/span&gt;uat&lt;span class="_ _7"&gt;&lt;/span&gt;ing&lt;span class="_ _7"&gt;&lt;/span&gt;, amo&lt;span class="_ _7"&gt;&lt;/span&gt;ng ot&lt;span class="_ _7"&gt;&lt;/span&gt;he&lt;span class="_ _7"&gt;&lt;/span&gt;r thi&lt;span class="_ _7"&gt;&lt;/span&gt;ng&lt;span class="_ _7"&gt;&lt;/span&gt;s, r&lt;span class="_ _7"&gt;&lt;/span&gt;ec&lt;span class="_ _7"&gt;&lt;/span&gt;en&lt;span class="_ _7"&gt;&lt;/span&gt;t ca&lt;span class="_ _7"&gt;&lt;/span&gt;r auc&lt;span class="_ _7"&gt;&lt;/span&gt;ti&lt;span class="_ _7"&gt;&lt;/span&gt;on va&lt;span class="_ _7"&gt;&lt;/span&gt;lue&lt;span class="_ _7"&gt;&lt;/span&gt;s&lt;span class="_ _7"&gt;&lt;/span&gt;, &lt;/span&gt;&lt;span style="display:inherit;clear:left;"&gt;future price&lt;span class="_ _2"&gt;&lt;/span&gt; deterioration due t&lt;span class="_ _2"&gt;&lt;/span&gt;o expected chan&lt;span class="_ _2"&gt;&lt;/span&gt;ge of market&lt;span class="_ _2"&gt;&lt;/span&gt; condi&lt;span class="ls3 ws3"&gt;-&lt;/span&gt;&lt;/span&gt;&lt;span style="display:inherit;clear:left;"&gt;tio&lt;span class="_ _7"&gt;&lt;/span&gt;ns a&lt;span class="_ _7"&gt;&lt;/span&gt;nd p&lt;span class="_ _7"&gt;&lt;/span&gt;ro&lt;span class="_ _7"&gt;&lt;/span&gt;duc&lt;span class="_ _7"&gt;&lt;/span&gt;ti&lt;span class="_ _7"&gt;&lt;/span&gt;on p&lt;span class="_ _7"&gt;&lt;/span&gt;la&lt;span class="_ _7"&gt;&lt;/span&gt;nni&lt;span class="_ _7"&gt;&lt;/span&gt;ng, v&lt;span class="_ _7"&gt;&lt;/span&gt;ehi&lt;span class="_ _7"&gt;&lt;/span&gt;cle q&lt;span class="_ _7"&gt;&lt;/span&gt;ua&lt;span class="_ _7"&gt;&lt;/span&gt;lit&lt;span class="_ _7"&gt;&lt;/span&gt;y d&lt;span class="_ _7"&gt;&lt;/span&gt;at&lt;span class="_ _7"&gt;&lt;/span&gt;a, r&lt;span class="_ _7"&gt;&lt;/span&gt;ep&lt;span class="_ _7"&gt;&lt;/span&gt;air a&lt;span class="_ _7"&gt;&lt;/span&gt;nd &lt;/span&gt;&lt;span style="display:inherit;clear:left;"&gt;reconditioning&lt;span class="_ _2"&gt;&lt;/span&gt; co&lt;span class="_ _7"&gt;&lt;/span&gt;sts and with&lt;span class="_ _2"&gt;&lt;/span&gt; consideration given to&lt;span class="_ _2"&gt;&lt;/span&gt; the specific &lt;/span&gt;&lt;span style="display:inherit;clear:left;"&gt;markets dema&lt;span class="_ _2"&gt;&lt;/span&gt;nd for internal&lt;span class="_ _2"&gt;&lt;/span&gt; combustion engines and electric&lt;span class="_ _2"&gt;&lt;/span&gt; vehi&lt;span class="ls3 ws3"&gt;-&lt;/span&gt;&lt;/span&gt;&lt;span style="display:inherit;clear:left;"&gt;cle&lt;span class="_ _7"&gt;&lt;/span&gt;s as c&lt;span class="_ _7"&gt;&lt;/span&gt;us&lt;span class="_ _7"&gt;&lt;/span&gt;tom&lt;span class="_ _7"&gt;&lt;/span&gt;er p&lt;span class="_ _7"&gt;&lt;/span&gt;ur&lt;span class="_ _7"&gt;&lt;/span&gt;cha&lt;span class="_ _7"&gt;&lt;/span&gt;si&lt;span class="_ _7"&gt;&lt;/span&gt;ng de&lt;span class="_ _7"&gt;&lt;/span&gt;ci&lt;span class="_ _7"&gt;&lt;/span&gt;si&lt;span class="_ _7"&gt;&lt;/span&gt;on&lt;span class="_ _7"&gt;&lt;/span&gt;s are i&lt;span class="_ _7"&gt;&lt;/span&gt;nf&lt;span class="_ _7"&gt;&lt;/span&gt;lue&lt;span class="_ _7"&gt;&lt;/span&gt;nc&lt;span class="_ _7"&gt;&lt;/span&gt;ed b&lt;span class="_ _7"&gt;&lt;/span&gt;y cli&lt;span class="_ _7"&gt;&lt;/span&gt;mat&lt;span class="_ _7"&gt;&lt;/span&gt;e &lt;/span&gt;&lt;span style="display:inherit;clear:left;"&gt;cha&lt;span class="_ _7"&gt;&lt;/span&gt;nge f&lt;span class="_ _7"&gt;&lt;/span&gt;ac&lt;span class="_ _7"&gt;&lt;/span&gt;tor&lt;span class="_ _7"&gt;&lt;/span&gt;s&lt;span class="_ _7"&gt;&lt;/span&gt;.&lt;/span&gt;&lt;span style="display:inherit;clear:left;"&gt;Repurchase commitments &lt;/span&gt;&lt;span style="display:inherit;clear:left;"&gt;Volvo Ca&lt;span class="_ _7"&gt;&lt;/span&gt;r Gro&lt;span class="_ _7"&gt;&lt;/span&gt;up i&lt;span class="_ _7"&gt;&lt;/span&gt;s exp&lt;span class="_ _7"&gt;&lt;/span&gt;o&lt;span class="_ _7"&gt;&lt;/span&gt;se&lt;span class="_ _7"&gt;&lt;/span&gt;d to a p&lt;span class="_ _7"&gt;&lt;/span&gt;oten&lt;span class="_ _7"&gt;&lt;/span&gt;tia&lt;span class="_ _7"&gt;&lt;/span&gt;l lo&lt;span class="_ _7"&gt;&lt;/span&gt;s&lt;span class="_ _7"&gt;&lt;/span&gt;s on s&lt;span class="_ _7"&gt;&lt;/span&gt;al&lt;span class="_ _7"&gt;&lt;/span&gt;es w&lt;span class="_ _7"&gt;&lt;/span&gt;ith r&lt;span class="_ _7"&gt;&lt;/span&gt;ep&lt;span class="_ _7"&gt;&lt;/span&gt;ur-&lt;/span&gt;&lt;span style="display:inherit;clear:left;"&gt;cha&lt;span class="_ _7"&gt;&lt;/span&gt;s&lt;span class="_ _7"&gt;&lt;/span&gt;e com&lt;span class="_ _7"&gt;&lt;/span&gt;mi&lt;span class="_ _7"&gt;&lt;/span&gt;tme&lt;span class="_ _7"&gt;&lt;/span&gt;nt&lt;span class="_ _7"&gt;&lt;/span&gt;s if t&lt;span class="_ _7"&gt;&lt;/span&gt;he e&lt;span class="_ _7"&gt;&lt;/span&gt;s&lt;span class="_ _7"&gt;&lt;/span&gt;tim&lt;span class="_ _7"&gt;&lt;/span&gt;ate&lt;span class="_ _7"&gt;&lt;/span&gt;d val&lt;span class="_ _7"&gt;&lt;/span&gt;ue o&lt;span class="_ _7"&gt;&lt;/span&gt;f the c&lt;span class="_ _7"&gt;&lt;/span&gt;ar g&lt;span class="_ _7"&gt;&lt;/span&gt;ua&lt;span class="_ _7"&gt;&lt;/span&gt;ra&lt;span class="_ _7"&gt;&lt;/span&gt;nte&lt;span class="_ _7"&gt;&lt;/span&gt;ed i&lt;span class="_ _7"&gt;&lt;/span&gt;n &lt;/span&gt;&lt;span style="display:inherit;clear:left;"&gt;the c&lt;span class="_ _7"&gt;&lt;/span&gt;on&lt;span class="_ _7"&gt;&lt;/span&gt;tra&lt;span class="_ _7"&gt;&lt;/span&gt;ct i&lt;span class="_ _7"&gt;&lt;/span&gt;s gr&lt;span class="_ _7"&gt;&lt;/span&gt;ea&lt;span class="_ _7"&gt;&lt;/span&gt;ter t&lt;span class="_ _7"&gt;&lt;/span&gt;han t&lt;span class="_ _7"&gt;&lt;/span&gt;he m&lt;span class="_ _7"&gt;&lt;/span&gt;arke&lt;span class="_ _7"&gt;&lt;/span&gt;t val&lt;span class="_ _7"&gt;&lt;/span&gt;ue at t&lt;span class="_ _7"&gt;&lt;/span&gt;he ti&lt;span class="_ _7"&gt;&lt;/span&gt;me o&lt;span class="_ _7"&gt;&lt;/span&gt;f re&lt;span class="_ _7"&gt;&lt;/span&gt;pur-&lt;/span&gt;&lt;span style="display:inherit;clear:left;"&gt;cha&lt;span class="_ _7"&gt;&lt;/span&gt;s&lt;span class="_ _7"&gt;&lt;/span&gt;e. Th&lt;span class="_ _7"&gt;&lt;/span&gt;e po&lt;span class="_ _7"&gt;&lt;/span&gt;ten&lt;span class="_ _7"&gt;&lt;/span&gt;tia&lt;span class="_ _7"&gt;&lt;/span&gt;l ne&lt;span class="_ _7"&gt;&lt;/span&gt;gat&lt;span class="_ _7"&gt;&lt;/span&gt;ive e&lt;span class="_ _7"&gt;&lt;/span&gt;f&lt;span class="_ _7"&gt;&lt;/span&gt;f&lt;span class="_ _7"&gt;&lt;/span&gt;ec&lt;span class="_ _7"&gt;&lt;/span&gt;t is r&lt;span class="_ _7"&gt;&lt;/span&gt;ec&lt;span class="_ _7"&gt;&lt;/span&gt;og&lt;span class="_ _7"&gt;&lt;/span&gt;ni&lt;span class="_ _7"&gt;&lt;/span&gt;se&lt;span class="_ _7"&gt;&lt;/span&gt;d as a&lt;span class="_ _7"&gt;&lt;/span&gt;n inc&lt;span class="_ _7"&gt;&lt;/span&gt;re&lt;span class="_ _7"&gt;&lt;/span&gt;as&lt;span class="_ _7"&gt;&lt;/span&gt;ed &lt;/span&gt;&lt;span style="display:inherit;clear:left;"&gt;dep&lt;span class="_ _7"&gt;&lt;/span&gt;re&lt;span class="_ _7"&gt;&lt;/span&gt;ci&lt;span class="_ _7"&gt;&lt;/span&gt;ati&lt;span class="_ _7"&gt;&lt;/span&gt;on or a&lt;span class="_ _7"&gt;&lt;/span&gt;n im&lt;span class="_ _7"&gt;&lt;/span&gt;pa&lt;span class="_ _7"&gt;&lt;/span&gt;irm&lt;span class="_ _7"&gt;&lt;/span&gt;en&lt;span class="_ _7"&gt;&lt;/span&gt;t of th&lt;span class="_ _7"&gt;&lt;/span&gt;e c&lt;span class="_ _7"&gt;&lt;/span&gt;ar. Esti&lt;span class="_ _7"&gt;&lt;/span&gt;mat&lt;span class="_ _7"&gt;&lt;/span&gt;es o&lt;span class="_ _7"&gt;&lt;/span&gt;f th&lt;span class="_ _7"&gt;&lt;/span&gt;e ca&lt;span class="_ _7"&gt;&lt;/span&gt;r val&lt;span class="_ _7"&gt;&lt;/span&gt;ue &lt;/span&gt;&lt;span style="display:inherit;clear:left;"&gt;are m&lt;span class="_ _7"&gt;&lt;/span&gt;ad&lt;span class="_ _7"&gt;&lt;/span&gt;e on a c&lt;span class="_ _7"&gt;&lt;/span&gt;ont&lt;span class="_ _7"&gt;&lt;/span&gt;inu&lt;span class="_ _7"&gt;&lt;/span&gt;ou&lt;span class="_ _7"&gt;&lt;/span&gt;s ba&lt;span class="_ _7"&gt;&lt;/span&gt;si&lt;span class="_ _7"&gt;&lt;/span&gt;s&lt;span class="_ _7"&gt;&lt;/span&gt;, ba&lt;span class="_ _7"&gt;&lt;/span&gt;se&lt;span class="_ _7"&gt;&lt;/span&gt;d on e&lt;span class="_ _7"&gt;&lt;/span&gt;val&lt;span class="_ _7"&gt;&lt;/span&gt;uat&lt;span class="_ _7"&gt;&lt;/span&gt;ing&lt;span class="_ _7"&gt;&lt;/span&gt;, am&lt;span class="_ _7"&gt;&lt;/span&gt;ong o&lt;span class="_ _7"&gt;&lt;/span&gt;the&lt;span class="_ _7"&gt;&lt;/span&gt;r &lt;/span&gt;&lt;span style="display:inherit;clear:left;"&gt;things, recent car&lt;span class="_ _2"&gt;&lt;/span&gt; auction values, future&lt;span class="_ _2"&gt;&lt;/span&gt; price deterioration d&lt;span class="_ _2"&gt;&lt;/span&gt;ue to &lt;/span&gt;&lt;span style="display:inherit;clear:left;"&gt;expected chan&lt;span class="_ _2"&gt;&lt;/span&gt;ge of marke&lt;span class="_ _2"&gt;&lt;/span&gt;t conditions and production&lt;span class="_ _2"&gt;&lt;/span&gt; planning, &lt;/span&gt;&lt;span style="display:inherit;clear:left;"&gt;veh&lt;span class="_ _7"&gt;&lt;/span&gt;icl&lt;span class="_ _7"&gt;&lt;/span&gt;e qua&lt;span class="_ _7"&gt;&lt;/span&gt;li&lt;span class="_ _7"&gt;&lt;/span&gt;t&lt;span class="_ _7"&gt;&lt;/span&gt;y dat&lt;span class="_ _7"&gt;&lt;/span&gt;a&lt;span class="_ _7"&gt;&lt;/span&gt;, rep&lt;span class="_ _7"&gt;&lt;/span&gt;ai&lt;span class="_ _7"&gt;&lt;/span&gt;r an&lt;span class="_ _7"&gt;&lt;/span&gt;d re&lt;span class="_ _7"&gt;&lt;/span&gt;con&lt;span class="_ _7"&gt;&lt;/span&gt;di&lt;span class="_ _7"&gt;&lt;/span&gt;tio&lt;span class="_ _7"&gt;&lt;/span&gt;ni&lt;span class="_ _7"&gt;&lt;/span&gt;ng co&lt;span class="_ _7"&gt;&lt;/span&gt;s&lt;span class="_ _7"&gt;&lt;/span&gt;ts a&lt;span class="_ _7"&gt;&lt;/span&gt;nd w&lt;span class="_ _7"&gt;&lt;/span&gt;ith  &lt;/span&gt;&lt;span style="display:inherit;clear:left;"&gt;consideration given&lt;span class="_ _2"&gt;&lt;/span&gt; to the specific mark&lt;span class="_ _2"&gt;&lt;/span&gt;ets demand for i&lt;span class="_ _2"&gt;&lt;/span&gt;nternal &lt;/span&gt;&lt;span style="display:inherit;clear:left;"&gt;combustion engines and&lt;span class="_ _2"&gt;&lt;/span&gt; electric vehicles&lt;span class="_ _2"&gt;&lt;/span&gt; as customer purchasing&lt;span class="_ _2"&gt;&lt;/span&gt; &lt;/span&gt;&lt;span style="display:inherit;clear:left;"&gt;de&lt;span class="_ _7"&gt;&lt;/span&gt;cis&lt;span class="_ _7"&gt;&lt;/span&gt;io&lt;span class="_ _7"&gt;&lt;/span&gt;ns a&lt;span class="_ _7"&gt;&lt;/span&gt;re in&lt;span class="_ _7"&gt;&lt;/span&gt;f&lt;span class="_ _7"&gt;&lt;/span&gt;lue&lt;span class="_ _7"&gt;&lt;/span&gt;nce&lt;span class="_ _7"&gt;&lt;/span&gt;d by c&lt;span class="_ _7"&gt;&lt;/span&gt;lim&lt;span class="_ _7"&gt;&lt;/span&gt;ate ch&lt;span class="_ _7"&gt;&lt;/span&gt;an&lt;span class="_ _7"&gt;&lt;/span&gt;ge f&lt;span class="_ _7"&gt;&lt;/span&gt;act&lt;span class="_ _7"&gt;&lt;/span&gt;or&lt;span class="_ _7"&gt;&lt;/span&gt;s&lt;span class="_ _7"&gt;&lt;/span&gt;. The v&lt;span class="_ _7"&gt;&lt;/span&gt;alu&lt;span class="_ _7"&gt;&lt;/span&gt;e of &lt;/span&gt;&lt;span style="display:inherit;clear:left;"&gt;the c&lt;span class="_ _7"&gt;&lt;/span&gt;ar o&lt;span class="_ _7"&gt;&lt;/span&gt;n th&lt;span class="_ _7"&gt;&lt;/span&gt;e bal&lt;span class="_ _7"&gt;&lt;/span&gt;a&lt;span class="_ _7"&gt;&lt;/span&gt;nce s&lt;span class="_ _7"&gt;&lt;/span&gt;he&lt;span class="_ _7"&gt;&lt;/span&gt;et i&lt;span class="_ _7"&gt;&lt;/span&gt;s ad&lt;span class="_ _7"&gt;&lt;/span&gt;ju&lt;span class="_ _7"&gt;&lt;/span&gt;ste&lt;span class="_ _7"&gt;&lt;/span&gt;d i&lt;span class="_ _7"&gt;&lt;/span&gt;f ne&lt;span class="_ _7"&gt;&lt;/span&gt;ce&lt;span class="_ _7"&gt;&lt;/span&gt;s&lt;span class="_ _7"&gt;&lt;/span&gt;s&lt;span class="_ _7"&gt;&lt;/span&gt;ar&lt;span class="_ _7"&gt;&lt;/span&gt;y&lt;/span&gt;</t>
  </si>
  <si>
    <t>f1__s8__6__41-1</t>
  </si>
  <si>
    <t>ifrs-full:DisclosureOfRepurchaseAndReverseRepurchaseAgreementsExplanatory</t>
  </si>
  <si>
    <t xml:space="preserve">&lt;span style="display:inherit;clear:left;"&gt;CRITICAL A&lt;span class="_ _2"&gt;&lt;/span&gt;CC&lt;span class="_ _7"&gt;&lt;/span&gt;OUNTING ESTIMA&lt;span class="_ _6"&gt;&lt;/span&gt;TES AND JUDGEMENTS&lt;/span&gt;&lt;span style="display:inherit;clear:left;"&gt;V&lt;span class="_ _2"&gt;&lt;/span&gt;ariable r&lt;span class="_ _2"&gt;&lt;/span&gt;evenue components&lt;span class="_ _2"&gt;&lt;/span&gt; &lt;/span&gt;&lt;span style="display:inherit;clear:left;"&gt;An in&lt;span class="_ _7"&gt;&lt;/span&gt;he&lt;span class="_ _7"&gt;&lt;/span&gt;re&lt;span class="_ _7"&gt;&lt;/span&gt;nt ri&lt;span class="_ _7"&gt;&lt;/span&gt;sk r&lt;span class="_ _7"&gt;&lt;/span&gt;eg&lt;span class="_ _7"&gt;&lt;/span&gt;ar&lt;span class="_ _7"&gt;&lt;/span&gt;din&lt;span class="_ _7"&gt;&lt;/span&gt;g di&lt;span class="_ _7"&gt;&lt;/span&gt;f&lt;span class="_ _7"&gt;&lt;/span&gt;fe&lt;span class="_ _7"&gt;&lt;/span&gt;ren&lt;span class="_ _7"&gt;&lt;/span&gt;t fo&lt;span class="_ _7"&gt;&lt;/span&gt;rm&lt;span class="_ _7"&gt;&lt;/span&gt;s of va&lt;span class="_ _7"&gt;&lt;/span&gt;ri&lt;span class="_ _7"&gt;&lt;/span&gt;ab&lt;span class="_ _7"&gt;&lt;/span&gt;le re&lt;span class="_ _7"&gt;&lt;/span&gt;ven&lt;span class="_ _7"&gt;&lt;/span&gt;ue  &lt;/span&gt;&lt;span style="display:inherit;clear:left;"&gt;com&lt;span class="_ _7"&gt;&lt;/span&gt;po&lt;span class="_ _7"&gt;&lt;/span&gt;ne&lt;span class="_ _7"&gt;&lt;/span&gt;nt&lt;span class="_ _7"&gt;&lt;/span&gt;s in a s&lt;span class="_ _7"&gt;&lt;/span&gt;al&lt;span class="_ _7"&gt;&lt;/span&gt;es c&lt;span class="_ _7"&gt;&lt;/span&gt;ont&lt;span class="_ _7"&gt;&lt;/span&gt;ra&lt;span class="_ _7"&gt;&lt;/span&gt;ct&lt;span class="_ _7"&gt;&lt;/span&gt;, is t&lt;span class="_ _7"&gt;&lt;/span&gt;he p&lt;span class="_ _7"&gt;&lt;/span&gt;rob&lt;span class="_ _7"&gt;&lt;/span&gt;ab&lt;span class="_ _7"&gt;&lt;/span&gt;ili&lt;span class="_ _7"&gt;&lt;/span&gt;t&lt;span class="_ _7"&gt;&lt;/span&gt;y of a r&lt;span class="_ _7"&gt;&lt;/span&gt;eve&lt;span class="_ _7"&gt;&lt;/span&gt;rs&lt;span class="_ _7"&gt;&lt;/span&gt;a&lt;span class="_ _7"&gt;&lt;/span&gt;l of &lt;/span&gt;&lt;span style="display:inherit;clear:left;"&gt;reve&lt;span class="_ _7"&gt;&lt;/span&gt;nu&lt;span class="_ _7"&gt;&lt;/span&gt;e in f&lt;span class="_ _7"&gt;&lt;/span&gt;utu&lt;span class="_ _7"&gt;&lt;/span&gt;re p&lt;span class="_ _7"&gt;&lt;/span&gt;er&lt;span class="_ _7"&gt;&lt;/span&gt;io&lt;span class="_ _7"&gt;&lt;/span&gt;ds&lt;span class="_ _7"&gt;&lt;/span&gt;. O&lt;span class="_ _7"&gt;&lt;/span&gt;n ini&lt;span class="_ _7"&gt;&lt;/span&gt;ti&lt;span class="_ _7"&gt;&lt;/span&gt;al re&lt;span class="_ _7"&gt;&lt;/span&gt;co&lt;span class="_ _7"&gt;&lt;/span&gt;gn&lt;span class="_ _7"&gt;&lt;/span&gt;iti&lt;span class="_ _7"&gt;&lt;/span&gt;on&lt;span class="_ _7"&gt;&lt;/span&gt;, var&lt;span class="_ _7"&gt;&lt;/span&gt;ia&lt;span class="_ _7"&gt;&lt;/span&gt;bl&lt;span class="_ _7"&gt;&lt;/span&gt;e reve&lt;span class="_ _7"&gt;&lt;/span&gt;nu&lt;span class="_ _7"&gt;&lt;/span&gt;e &lt;/span&gt;&lt;span style="display:inherit;clear:left;"&gt;com&lt;span class="_ _7"&gt;&lt;/span&gt;po&lt;span class="_ _7"&gt;&lt;/span&gt;ne&lt;span class="_ _7"&gt;&lt;/span&gt;nt&lt;span class="_ _7"&gt;&lt;/span&gt;s are e&lt;span class="_ _7"&gt;&lt;/span&gt;s&lt;span class="_ _7"&gt;&lt;/span&gt;ti&lt;span class="_ _7"&gt;&lt;/span&gt;mate&lt;span class="_ _7"&gt;&lt;/span&gt;d&lt;span class="_ _7"&gt;&lt;/span&gt;, and r&lt;span class="_ _7"&gt;&lt;/span&gt;eve&lt;span class="_ _7"&gt;&lt;/span&gt;nu&lt;span class="_ _7"&gt;&lt;/span&gt;e is re&lt;span class="_ _7"&gt;&lt;/span&gt;co&lt;span class="_ _7"&gt;&lt;/span&gt;gn&lt;span class="_ _7"&gt;&lt;/span&gt;is&lt;span class="_ _7"&gt;&lt;/span&gt;e&lt;span class="_ _7"&gt;&lt;/span&gt;d whe&lt;span class="_ _7"&gt;&lt;/span&gt;n it i&lt;span class="_ _7"&gt;&lt;/span&gt;s &lt;/span&gt;&lt;span style="display:inherit;clear:left;"&gt;hig&lt;span class="_ _7"&gt;&lt;/span&gt;hly p&lt;span class="_ _7"&gt;&lt;/span&gt;ro&lt;span class="_ _7"&gt;&lt;/span&gt;bab&lt;span class="_ _7"&gt;&lt;/span&gt;le th&lt;span class="_ _7"&gt;&lt;/span&gt;at a r&lt;span class="_ _7"&gt;&lt;/span&gt;eve&lt;span class="_ _7"&gt;&lt;/span&gt;nue r&lt;span class="_ _7"&gt;&lt;/span&gt;eve&lt;span class="_ _7"&gt;&lt;/span&gt;rs&lt;span class="_ _7"&gt;&lt;/span&gt;a&lt;span class="_ _7"&gt;&lt;/span&gt;l in f&lt;span class="_ _7"&gt;&lt;/span&gt;utu&lt;span class="_ _7"&gt;&lt;/span&gt;re p&lt;span class="_ _7"&gt;&lt;/span&gt;er&lt;span class="_ _7"&gt;&lt;/span&gt;io&lt;span class="_ _7"&gt;&lt;/span&gt;ds w&lt;span class="_ _7"&gt;&lt;/span&gt;ill n&lt;span class="_ _7"&gt;&lt;/span&gt;ot &lt;/span&gt;&lt;span style="display:inherit;clear:left;"&gt;oc&lt;span class="_ _7"&gt;&lt;/span&gt;cur. An exam&lt;span class="_ _7"&gt;&lt;/span&gt;pl&lt;span class="_ _7"&gt;&lt;/span&gt;e of th&lt;span class="_ _7"&gt;&lt;/span&gt;is i&lt;span class="_ _7"&gt;&lt;/span&gt;s wh&lt;span class="_ _7"&gt;&lt;/span&gt;en c&lt;span class="_ _7"&gt;&lt;/span&gt;ar&lt;span class="_ _7"&gt;&lt;/span&gt;s ar&lt;span class="_ _7"&gt;&lt;/span&gt;e so&lt;span class="_ _7"&gt;&lt;/span&gt;ld to a r&lt;span class="_ _7"&gt;&lt;/span&gt;et&lt;span class="_ _7"&gt;&lt;/span&gt;ail&lt;span class="_ _7"&gt;&lt;/span&gt;er wi&lt;span class="_ _7"&gt;&lt;/span&gt;th  &lt;/span&gt;&lt;span style="display:inherit;clear:left;"&gt;volu&lt;span class="_ _7"&gt;&lt;/span&gt;me d&lt;span class="_ _7"&gt;&lt;/span&gt;is&lt;span class="_ _7"&gt;&lt;/span&gt;co&lt;span class="_ _7"&gt;&lt;/span&gt;un&lt;span class="_ _7"&gt;&lt;/span&gt;ts b&lt;span class="_ _7"&gt;&lt;/span&gt;as&lt;span class="_ _7"&gt;&lt;/span&gt;e&lt;span class="_ _7"&gt;&lt;/span&gt;d on ag&lt;span class="_ _7"&gt;&lt;/span&gt;gr&lt;span class="_ _7"&gt;&lt;/span&gt;eg&lt;span class="_ _7"&gt;&lt;/span&gt;ate s&lt;span class="_ _7"&gt;&lt;/span&gt;al&lt;span class="_ _7"&gt;&lt;/span&gt;es o&lt;span class="_ _7"&gt;&lt;/span&gt;ver a 3&lt;span class="_ _7"&gt;&lt;/span&gt;–12 month&lt;span class="_ _7"&gt;&lt;/span&gt;s &lt;/span&gt;&lt;span style="display:inherit;clear:left;"&gt;pe&lt;span class="_ _7"&gt;&lt;/span&gt;ri&lt;span class="_ _7"&gt;&lt;/span&gt;od&lt;span class="_ _7"&gt;&lt;/span&gt;. Reve&lt;span class="_ _7"&gt;&lt;/span&gt;nu&lt;span class="_ _7"&gt;&lt;/span&gt;e fr&lt;span class="_ _7"&gt;&lt;/span&gt;om th&lt;span class="_ _7"&gt;&lt;/span&gt;es&lt;span class="_ _7"&gt;&lt;/span&gt;e s&lt;span class="_ _7"&gt;&lt;/span&gt;al&lt;span class="_ _7"&gt;&lt;/span&gt;es i&lt;span class="_ _7"&gt;&lt;/span&gt;s re&lt;span class="_ _7"&gt;&lt;/span&gt;co&lt;span class="_ _7"&gt;&lt;/span&gt;gn&lt;span class="_ _7"&gt;&lt;/span&gt;is&lt;span class="_ _7"&gt;&lt;/span&gt;ed b&lt;span class="_ _7"&gt;&lt;/span&gt;as&lt;span class="_ _7"&gt;&lt;/span&gt;e&lt;span class="_ _7"&gt;&lt;/span&gt;d on th&lt;span class="_ _7"&gt;&lt;/span&gt;e pr&lt;span class="_ _7"&gt;&lt;/span&gt;ic&lt;span class="_ _7"&gt;&lt;/span&gt;e &lt;/span&gt;&lt;span style="display:inherit;clear:left;"&gt;sp&lt;span class="_ _7"&gt;&lt;/span&gt;eci&lt;span class="_ _7"&gt;&lt;/span&gt;f&lt;span class="_ _7"&gt;&lt;/span&gt;ie&lt;span class="_ _7"&gt;&lt;/span&gt;d in th&lt;span class="_ _7"&gt;&lt;/span&gt;e s&lt;span class="_ _7"&gt;&lt;/span&gt;ale&lt;span class="_ _7"&gt;&lt;/span&gt;s co&lt;span class="_ _7"&gt;&lt;/span&gt;ntr&lt;span class="_ _7"&gt;&lt;/span&gt;a&lt;span class="_ _7"&gt;&lt;/span&gt;ct&lt;span class="_ _7"&gt;&lt;/span&gt;, adj&lt;span class="_ _7"&gt;&lt;/span&gt;us&lt;span class="_ _7"&gt;&lt;/span&gt;te&lt;span class="_ _7"&gt;&lt;/span&gt;d for v&lt;span class="_ _7"&gt;&lt;/span&gt;olu&lt;span class="_ _7"&gt;&lt;/span&gt;me d&lt;span class="_ _7"&gt;&lt;/span&gt;is&lt;span class="_ _7"&gt;&lt;/span&gt;co&lt;span class="_ _7"&gt;&lt;/span&gt;unt&lt;span class="_ _7"&gt;&lt;/span&gt;s fo&lt;span class="_ _7"&gt;&lt;/span&gt;r &lt;/span&gt;&lt;span style="display:inherit;clear:left;"&gt;the w&lt;span class="_ _7"&gt;&lt;/span&gt;ho&lt;span class="_ _7"&gt;&lt;/span&gt;le&lt;span class="_ _7"&gt;&lt;/span&gt;s&lt;span class="_ _7"&gt;&lt;/span&gt;ale p&lt;span class="_ _7"&gt;&lt;/span&gt;er&lt;span class="_ _7"&gt;&lt;/span&gt;io&lt;span class="_ _7"&gt;&lt;/span&gt;d. E&lt;span class="_ _7"&gt;&lt;/span&gt;s&lt;span class="_ _7"&gt;&lt;/span&gt;tim&lt;span class="_ _7"&gt;&lt;/span&gt;ate&lt;span class="_ _7"&gt;&lt;/span&gt;s an&lt;span class="_ _7"&gt;&lt;/span&gt;d ju&lt;span class="_ _7"&gt;&lt;/span&gt;dge&lt;span class="_ _7"&gt;&lt;/span&gt;me&lt;span class="_ _7"&gt;&lt;/span&gt;nts i&lt;span class="_ _7"&gt;&lt;/span&gt;ni&lt;span class="_ _7"&gt;&lt;/span&gt;tia&lt;span class="_ _7"&gt;&lt;/span&gt;lly m&lt;span class="_ _7"&gt;&lt;/span&gt;ad&lt;span class="_ _7"&gt;&lt;/span&gt;e are &lt;/span&gt;&lt;span style="display:inherit;clear:left;"&gt;up&lt;span class="_ _7"&gt;&lt;/span&gt;date&lt;span class="_ _7"&gt;&lt;/span&gt;d co&lt;span class="_ _7"&gt;&lt;/span&gt;nti&lt;span class="_ _7"&gt;&lt;/span&gt;nu&lt;span class="_ _7"&gt;&lt;/span&gt;ou&lt;span class="_ _7"&gt;&lt;/span&gt;sly a&lt;span class="_ _7"&gt;&lt;/span&gt;t eac&lt;span class="_ _7"&gt;&lt;/span&gt;h re&lt;span class="_ _7"&gt;&lt;/span&gt;po&lt;span class="_ _7"&gt;&lt;/span&gt;r&lt;span class="_ _7"&gt;&lt;/span&gt;tin&lt;span class="_ _7"&gt;&lt;/span&gt;g pe&lt;span class="_ _7"&gt;&lt;/span&gt;ri&lt;span class="_ _7"&gt;&lt;/span&gt;od&lt;span class="_ _7"&gt;&lt;/span&gt;. &lt;/span&gt;&lt;span style="display:inherit;clear:left;"&gt;Resi&lt;span class="_ _7"&gt;&lt;/span&gt;dua&lt;span class="_ _7"&gt;&lt;/span&gt;l value gu&lt;span class="_ _7"&gt;&lt;/span&gt;aran&lt;span class="_ _7"&gt;&lt;/span&gt;tees &lt;/span&gt;&lt;span style="display:inherit;clear:left;"&gt;Volvo Ca&lt;span class="_ _7"&gt;&lt;/span&gt;r Gro&lt;span class="_ _7"&gt;&lt;/span&gt;up i&lt;span class="_ _7"&gt;&lt;/span&gt;s exp&lt;span class="_ _7"&gt;&lt;/span&gt;o&lt;span class="_ _7"&gt;&lt;/span&gt;se&lt;span class="_ _7"&gt;&lt;/span&gt;d to re&lt;span class="_ _7"&gt;&lt;/span&gt;s&lt;span class="_ _7"&gt;&lt;/span&gt;idu&lt;span class="_ _7"&gt;&lt;/span&gt;al v&lt;span class="_ _7"&gt;&lt;/span&gt;alu&lt;span class="_ _7"&gt;&lt;/span&gt;e ri&lt;span class="_ _7"&gt;&lt;/span&gt;sk&lt;span class="_ _7"&gt;&lt;/span&gt;, me&lt;span class="_ _7"&gt;&lt;/span&gt;an&lt;span class="_ _7"&gt;&lt;/span&gt;ing th&lt;span class="_ _7"&gt;&lt;/span&gt;at &lt;/span&gt;&lt;span style="display:inherit;clear:left;"&gt;the&lt;span class="_ _7"&gt;&lt;/span&gt;re i&lt;span class="_ _7"&gt;&lt;/span&gt;s a po&lt;span class="_ _7"&gt;&lt;/span&gt;tent&lt;span class="_ _7"&gt;&lt;/span&gt;ia&lt;span class="_ _7"&gt;&lt;/span&gt;l los&lt;span class="_ _7"&gt;&lt;/span&gt;s f&lt;span class="_ _7"&gt;&lt;/span&gt;or Volvo C&lt;span class="_ _7"&gt;&lt;/span&gt;ar G&lt;span class="_ _7"&gt;&lt;/span&gt;rou&lt;span class="_ _7"&gt;&lt;/span&gt;p if t&lt;span class="_ _7"&gt;&lt;/span&gt;he f&lt;span class="_ _7"&gt;&lt;/span&gt;utu&lt;span class="_ _7"&gt;&lt;/span&gt;re m&lt;span class="_ _7"&gt;&lt;/span&gt;ar&lt;span class="_ _7"&gt;&lt;/span&gt;ket &lt;/span&gt;&lt;span style="display:inherit;clear:left;"&gt;val&lt;span class="_ _7"&gt;&lt;/span&gt;ue of a u&lt;span class="_ _7"&gt;&lt;/span&gt;s&lt;span class="_ _7"&gt;&lt;/span&gt;ed c&lt;span class="_ _7"&gt;&lt;/span&gt;ar i&lt;span class="_ _7"&gt;&lt;/span&gt;s lowe&lt;span class="_ _7"&gt;&lt;/span&gt;r th&lt;span class="_ _7"&gt;&lt;/span&gt;an th&lt;span class="_ _7"&gt;&lt;/span&gt;e gu&lt;span class="_ _7"&gt;&lt;/span&gt;ar&lt;span class="_ _7"&gt;&lt;/span&gt;ant&lt;span class="_ _7"&gt;&lt;/span&gt;ee&lt;span class="_ _7"&gt;&lt;/span&gt;d val&lt;span class="_ _7"&gt;&lt;/span&gt;ue o&lt;span class="_ _7"&gt;&lt;/span&gt;f the c&lt;span class="_ _7"&gt;&lt;/span&gt;ar &lt;/span&gt;&lt;span style="display:inherit;clear:left;"&gt;acc&lt;span class="_ _7"&gt;&lt;/span&gt;or&lt;span class="_ _7"&gt;&lt;/span&gt;di&lt;span class="_ _7"&gt;&lt;/span&gt;ng to th&lt;span class="_ _7"&gt;&lt;/span&gt;e s&lt;span class="_ _7"&gt;&lt;/span&gt;ale&lt;span class="_ _7"&gt;&lt;/span&gt;s co&lt;span class="_ _7"&gt;&lt;/span&gt;ntr&lt;span class="_ _7"&gt;&lt;/span&gt;ac&lt;span class="_ _7"&gt;&lt;/span&gt;t. T&lt;span class="_ _7"&gt;&lt;/span&gt;hi&lt;span class="_ _7"&gt;&lt;/span&gt;s po&lt;span class="_ _7"&gt;&lt;/span&gt;tent&lt;span class="_ _7"&gt;&lt;/span&gt;ia&lt;span class="_ _7"&gt;&lt;/span&gt;l neg&lt;span class="_ _7"&gt;&lt;/span&gt;at&lt;span class="_ _7"&gt;&lt;/span&gt;ive e&lt;span class="_ _7"&gt;&lt;/span&gt;f&lt;span class="_ _7"&gt;&lt;/span&gt;f&lt;span class="_ _7"&gt;&lt;/span&gt;ec&lt;span class="_ _7"&gt;&lt;/span&gt;t is &lt;/span&gt;&lt;span style="display:inherit;clear:left;"&gt;re&lt;span class="_ _7"&gt;&lt;/span&gt;cog&lt;span class="_ _7"&gt;&lt;/span&gt;ni&lt;span class="_ _7"&gt;&lt;/span&gt;s&lt;span class="_ _7"&gt;&lt;/span&gt;ed a&lt;span class="_ _7"&gt;&lt;/span&gt;s a con&lt;span class="_ _7"&gt;&lt;/span&gt;tr&lt;span class="_ _7"&gt;&lt;/span&gt;ac&lt;span class="_ _7"&gt;&lt;/span&gt;t lia&lt;span class="_ _7"&gt;&lt;/span&gt;bil&lt;span class="_ _7"&gt;&lt;/span&gt;it&lt;span class="_ _7"&gt;&lt;/span&gt;y, and t&lt;span class="_ _7"&gt;&lt;/span&gt;he f&lt;span class="_ _7"&gt;&lt;/span&gt;ut&lt;span class="_ _7"&gt;&lt;/span&gt;ure m&lt;span class="_ _7"&gt;&lt;/span&gt;ar&lt;span class="_ _7"&gt;&lt;/span&gt;ket va&lt;span class="_ _7"&gt;&lt;/span&gt;lue o&lt;span class="_ _7"&gt;&lt;/span&gt;f ca&lt;span class="_ _7"&gt;&lt;/span&gt;rs &lt;/span&gt;&lt;span style="display:inherit;clear:left;"&gt;is m&lt;span class="_ _7"&gt;&lt;/span&gt;oni&lt;span class="_ _7"&gt;&lt;/span&gt;tor&lt;span class="_ _7"&gt;&lt;/span&gt;ed i&lt;span class="_ _7"&gt;&lt;/span&gt;nd&lt;span class="_ _7"&gt;&lt;/span&gt;iv&lt;span class="_ _7"&gt;&lt;/span&gt;id&lt;span class="_ _7"&gt;&lt;/span&gt;ual&lt;span class="_ _7"&gt;&lt;/span&gt;ly on a c&lt;span class="_ _7"&gt;&lt;/span&gt;ont&lt;span class="_ _7"&gt;&lt;/span&gt;in&lt;span class="_ _7"&gt;&lt;/span&gt;uin&lt;span class="_ _7"&gt;&lt;/span&gt;g ba&lt;span class="_ _7"&gt;&lt;/span&gt;si&lt;span class="_ _7"&gt;&lt;/span&gt;s. A&lt;span class="_ _7"&gt;&lt;/span&gt;n e&lt;span class="_ _7"&gt;&lt;/span&gt;sti&lt;span class="_ _7"&gt;&lt;/span&gt;ma&lt;span class="_ _7"&gt;&lt;/span&gt;te is m&lt;span class="_ _7"&gt;&lt;/span&gt;ad&lt;span class="_ _7"&gt;&lt;/span&gt;e &lt;/span&gt;&lt;span style="display:inherit;clear:left;"&gt;ba&lt;span class="_ _7"&gt;&lt;/span&gt;se&lt;span class="_ _7"&gt;&lt;/span&gt;d on e&lt;span class="_ _7"&gt;&lt;/span&gt;val&lt;span class="_ _7"&gt;&lt;/span&gt;uat&lt;span class="_ _7"&gt;&lt;/span&gt;ing&lt;span class="_ _7"&gt;&lt;/span&gt;, amo&lt;span class="_ _7"&gt;&lt;/span&gt;ng ot&lt;span class="_ _7"&gt;&lt;/span&gt;he&lt;span class="_ _7"&gt;&lt;/span&gt;r thi&lt;span class="_ _7"&gt;&lt;/span&gt;ng&lt;span class="_ _7"&gt;&lt;/span&gt;s, r&lt;span class="_ _7"&gt;&lt;/span&gt;ec&lt;span class="_ _7"&gt;&lt;/span&gt;en&lt;span class="_ _7"&gt;&lt;/span&gt;t ca&lt;span class="_ _7"&gt;&lt;/span&gt;r auc&lt;span class="_ _7"&gt;&lt;/span&gt;ti&lt;span class="_ _7"&gt;&lt;/span&gt;on va&lt;span class="_ _7"&gt;&lt;/span&gt;lue&lt;span class="_ _7"&gt;&lt;/span&gt;s&lt;span class="_ _7"&gt;&lt;/span&gt;, &lt;/span&gt;&lt;span style="display:inherit;clear:left;"&gt;future price&lt;span class="_ _2"&gt;&lt;/span&gt; deterioration due t&lt;span class="_ _2"&gt;&lt;/span&gt;o expected chan&lt;span class="_ _2"&gt;&lt;/span&gt;ge of market&lt;span class="_ _2"&gt;&lt;/span&gt; condi&lt;span class="ls3 ws3"&gt;-&lt;/span&gt;&lt;/span&gt;&lt;span style="display:inherit;clear:left;"&gt;tio&lt;span class="_ _7"&gt;&lt;/span&gt;ns a&lt;span class="_ _7"&gt;&lt;/span&gt;nd p&lt;span class="_ _7"&gt;&lt;/span&gt;ro&lt;span class="_ _7"&gt;&lt;/span&gt;duc&lt;span class="_ _7"&gt;&lt;/span&gt;ti&lt;span class="_ _7"&gt;&lt;/span&gt;on p&lt;span class="_ _7"&gt;&lt;/span&gt;la&lt;span class="_ _7"&gt;&lt;/span&gt;nni&lt;span class="_ _7"&gt;&lt;/span&gt;ng, v&lt;span class="_ _7"&gt;&lt;/span&gt;ehi&lt;span class="_ _7"&gt;&lt;/span&gt;cle q&lt;span class="_ _7"&gt;&lt;/span&gt;ua&lt;span class="_ _7"&gt;&lt;/span&gt;lit&lt;span class="_ _7"&gt;&lt;/span&gt;y d&lt;span class="_ _7"&gt;&lt;/span&gt;at&lt;span class="_ _7"&gt;&lt;/span&gt;a, r&lt;span class="_ _7"&gt;&lt;/span&gt;ep&lt;span class="_ _7"&gt;&lt;/span&gt;air a&lt;span class="_ _7"&gt;&lt;/span&gt;nd &lt;/span&gt;&lt;span style="display:inherit;clear:left;"&gt;reconditioning&lt;span class="_ _2"&gt;&lt;/span&gt; co&lt;span class="_ _7"&gt;&lt;/span&gt;sts and with&lt;span class="_ _2"&gt;&lt;/span&gt; consideration given to&lt;span class="_ _2"&gt;&lt;/span&gt; the specific &lt;/span&gt;&lt;span style="display:inherit;clear:left;"&gt;markets dema&lt;span class="_ _2"&gt;&lt;/span&gt;nd for internal&lt;span class="_ _2"&gt;&lt;/span&gt; combustion engines and electric&lt;span class="_ _2"&gt;&lt;/span&gt; vehi&lt;span class="ls3 ws3"&gt;-&lt;/span&gt;&lt;/span&gt;&lt;span style="display:inherit;clear:left;"&gt;cle&lt;span class="_ _7"&gt;&lt;/span&gt;s as c&lt;span class="_ _7"&gt;&lt;/span&gt;us&lt;span class="_ _7"&gt;&lt;/span&gt;tom&lt;span class="_ _7"&gt;&lt;/span&gt;er p&lt;span class="_ _7"&gt;&lt;/span&gt;ur&lt;span class="_ _7"&gt;&lt;/span&gt;cha&lt;span class="_ _7"&gt;&lt;/span&gt;si&lt;span class="_ _7"&gt;&lt;/span&gt;ng de&lt;span class="_ _7"&gt;&lt;/span&gt;ci&lt;span class="_ _7"&gt;&lt;/span&gt;si&lt;span class="_ _7"&gt;&lt;/span&gt;on&lt;span class="_ _7"&gt;&lt;/span&gt;s are i&lt;span class="_ _7"&gt;&lt;/span&gt;nf&lt;span class="_ _7"&gt;&lt;/span&gt;lue&lt;span class="_ _7"&gt;&lt;/span&gt;nc&lt;span class="_ _7"&gt;&lt;/span&gt;ed b&lt;span class="_ _7"&gt;&lt;/span&gt;y cli&lt;span class="_ _7"&gt;&lt;/span&gt;mat&lt;span class="_ _7"&gt;&lt;/span&gt;e &lt;/span&gt;&lt;span style="display:inherit;clear:left;"&gt;cha&lt;span class="_ _7"&gt;&lt;/span&gt;nge f&lt;span class="_ _7"&gt;&lt;/span&gt;ac&lt;span class="_ _7"&gt;&lt;/span&gt;tor&lt;span class="_ _7"&gt;&lt;/span&gt;s&lt;span class="_ _7"&gt;&lt;/span&gt;.&lt;/span&gt;&lt;span style="display:inherit;clear:left;"&gt;Repurchase commitments &lt;/span&gt;&lt;span style="display:inherit;clear:left;"&gt;Volvo Ca&lt;span class="_ _7"&gt;&lt;/span&gt;r Gro&lt;span class="_ _7"&gt;&lt;/span&gt;up i&lt;span class="_ _7"&gt;&lt;/span&gt;s exp&lt;span class="_ _7"&gt;&lt;/span&gt;o&lt;span class="_ _7"&gt;&lt;/span&gt;se&lt;span class="_ _7"&gt;&lt;/span&gt;d to a p&lt;span class="_ _7"&gt;&lt;/span&gt;oten&lt;span class="_ _7"&gt;&lt;/span&gt;tia&lt;span class="_ _7"&gt;&lt;/span&gt;l lo&lt;span class="_ _7"&gt;&lt;/span&gt;s&lt;span class="_ _7"&gt;&lt;/span&gt;s on s&lt;span class="_ _7"&gt;&lt;/span&gt;al&lt;span class="_ _7"&gt;&lt;/span&gt;es w&lt;span class="_ _7"&gt;&lt;/span&gt;ith r&lt;span class="_ _7"&gt;&lt;/span&gt;ep&lt;span class="_ _7"&gt;&lt;/span&gt;ur-&lt;/span&gt;&lt;span style="display:inherit;clear:left;"&gt;cha&lt;span class="_ _7"&gt;&lt;/span&gt;s&lt;span class="_ _7"&gt;&lt;/span&gt;e com&lt;span class="_ _7"&gt;&lt;/span&gt;mi&lt;span class="_ _7"&gt;&lt;/span&gt;tme&lt;span class="_ _7"&gt;&lt;/span&gt;nt&lt;span class="_ _7"&gt;&lt;/span&gt;s if t&lt;span class="_ _7"&gt;&lt;/span&gt;he e&lt;span class="_ _7"&gt;&lt;/span&gt;s&lt;span class="_ _7"&gt;&lt;/span&gt;tim&lt;span class="_ _7"&gt;&lt;/span&gt;ate&lt;span class="_ _7"&gt;&lt;/span&gt;d val&lt;span class="_ _7"&gt;&lt;/span&gt;ue o&lt;span class="_ _7"&gt;&lt;/span&gt;f the c&lt;span class="_ _7"&gt;&lt;/span&gt;ar g&lt;span class="_ _7"&gt;&lt;/span&gt;ua&lt;span class="_ _7"&gt;&lt;/span&gt;ra&lt;span class="_ _7"&gt;&lt;/span&gt;nte&lt;span class="_ _7"&gt;&lt;/span&gt;ed i&lt;span class="_ _7"&gt;&lt;/span&gt;n &lt;/span&gt;&lt;span style="display:inherit;clear:left;"&gt;the c&lt;span class="_ _7"&gt;&lt;/span&gt;on&lt;span class="_ _7"&gt;&lt;/span&gt;tra&lt;span class="_ _7"&gt;&lt;/span&gt;ct i&lt;span class="_ _7"&gt;&lt;/span&gt;s gr&lt;span class="_ _7"&gt;&lt;/span&gt;ea&lt;span class="_ _7"&gt;&lt;/span&gt;ter t&lt;span class="_ _7"&gt;&lt;/span&gt;han t&lt;span class="_ _7"&gt;&lt;/span&gt;he m&lt;span class="_ _7"&gt;&lt;/span&gt;arke&lt;span class="_ _7"&gt;&lt;/span&gt;t val&lt;span class="_ _7"&gt;&lt;/span&gt;ue at t&lt;span class="_ _7"&gt;&lt;/span&gt;he ti&lt;span class="_ _7"&gt;&lt;/span&gt;me o&lt;span class="_ _7"&gt;&lt;/span&gt;f re&lt;span class="_ _7"&gt;&lt;/span&gt;pur-&lt;/span&gt;&lt;span style="display:inherit;clear:left;"&gt;cha&lt;span class="_ _7"&gt;&lt;/span&gt;s&lt;span class="_ _7"&gt;&lt;/span&gt;e. Th&lt;span class="_ _7"&gt;&lt;/span&gt;e po&lt;span class="_ _7"&gt;&lt;/span&gt;ten&lt;span class="_ _7"&gt;&lt;/span&gt;tia&lt;span class="_ _7"&gt;&lt;/span&gt;l ne&lt;span class="_ _7"&gt;&lt;/span&gt;gat&lt;span class="_ _7"&gt;&lt;/span&gt;ive e&lt;span class="_ _7"&gt;&lt;/span&gt;f&lt;span class="_ _7"&gt;&lt;/span&gt;f&lt;span class="_ _7"&gt;&lt;/span&gt;ec&lt;span class="_ _7"&gt;&lt;/span&gt;t is r&lt;span class="_ _7"&gt;&lt;/span&gt;ec&lt;span class="_ _7"&gt;&lt;/span&gt;og&lt;span class="_ _7"&gt;&lt;/span&gt;ni&lt;span class="_ _7"&gt;&lt;/span&gt;se&lt;span class="_ _7"&gt;&lt;/span&gt;d as a&lt;span class="_ _7"&gt;&lt;/span&gt;n inc&lt;span class="_ _7"&gt;&lt;/span&gt;re&lt;span class="_ _7"&gt;&lt;/span&gt;as&lt;span class="_ _7"&gt;&lt;/span&gt;ed &lt;/span&gt;&lt;span style="display:inherit;clear:left;"&gt;dep&lt;span class="_ _7"&gt;&lt;/span&gt;re&lt;span class="_ _7"&gt;&lt;/span&gt;ci&lt;span class="_ _7"&gt;&lt;/span&gt;ati&lt;span class="_ _7"&gt;&lt;/span&gt;on or a&lt;span class="_ _7"&gt;&lt;/span&gt;n im&lt;span class="_ _7"&gt;&lt;/span&gt;pa&lt;span class="_ _7"&gt;&lt;/span&gt;irm&lt;span class="_ _7"&gt;&lt;/span&gt;en&lt;span class="_ _7"&gt;&lt;/span&gt;t of th&lt;span class="_ _7"&gt;&lt;/span&gt;e c&lt;span class="_ _7"&gt;&lt;/span&gt;ar. Esti&lt;span class="_ _7"&gt;&lt;/span&gt;mat&lt;span class="_ _7"&gt;&lt;/span&gt;es o&lt;span class="_ _7"&gt;&lt;/span&gt;f th&lt;span class="_ _7"&gt;&lt;/span&gt;e ca&lt;span class="_ _7"&gt;&lt;/span&gt;r val&lt;span class="_ _7"&gt;&lt;/span&gt;ue &lt;/span&gt;&lt;span style="display:inherit;clear:left;"&gt;are m&lt;span class="_ _7"&gt;&lt;/span&gt;ad&lt;span class="_ _7"&gt;&lt;/span&gt;e on a c&lt;span class="_ _7"&gt;&lt;/span&gt;ont&lt;span class="_ _7"&gt;&lt;/span&gt;inu&lt;span class="_ _7"&gt;&lt;/span&gt;ou&lt;span class="_ _7"&gt;&lt;/span&gt;s ba&lt;span class="_ _7"&gt;&lt;/span&gt;si&lt;span class="_ _7"&gt;&lt;/span&gt;s&lt;span class="_ _7"&gt;&lt;/span&gt;, ba&lt;span class="_ _7"&gt;&lt;/span&gt;se&lt;span class="_ _7"&gt;&lt;/span&gt;d on e&lt;span class="_ _7"&gt;&lt;/span&gt;val&lt;span class="_ _7"&gt;&lt;/span&gt;uat&lt;span class="_ _7"&gt;&lt;/span&gt;ing&lt;span class="_ _7"&gt;&lt;/span&gt;, am&lt;span class="_ _7"&gt;&lt;/span&gt;ong o&lt;span class="_ _7"&gt;&lt;/span&gt;the&lt;span class="_ _7"&gt;&lt;/span&gt;r &lt;/span&gt;&lt;span style="display:inherit;clear:left;"&gt;things, recent car&lt;span class="_ _2"&gt;&lt;/span&gt; auction values, future&lt;span class="_ _2"&gt;&lt;/span&gt; price deterioration d&lt;span class="_ _2"&gt;&lt;/span&gt;ue to &lt;/span&gt;&lt;span style="display:inherit;clear:left;"&gt;expected chan&lt;span class="_ _2"&gt;&lt;/span&gt;ge of marke&lt;span class="_ _2"&gt;&lt;/span&gt;t conditions and production&lt;span class="_ _2"&gt;&lt;/span&gt; planning, &lt;/span&gt;&lt;span style="display:inherit;clear:left;"&gt;veh&lt;span class="_ _7"&gt;&lt;/span&gt;icl&lt;span class="_ _7"&gt;&lt;/span&gt;e qua&lt;span class="_ _7"&gt;&lt;/span&gt;li&lt;span class="_ _7"&gt;&lt;/span&gt;t&lt;span class="_ _7"&gt;&lt;/span&gt;y dat&lt;span class="_ _7"&gt;&lt;/span&gt;a&lt;span class="_ _7"&gt;&lt;/span&gt;, rep&lt;span class="_ _7"&gt;&lt;/span&gt;ai&lt;span class="_ _7"&gt;&lt;/span&gt;r an&lt;span class="_ _7"&gt;&lt;/span&gt;d re&lt;span class="_ _7"&gt;&lt;/span&gt;con&lt;span class="_ _7"&gt;&lt;/span&gt;di&lt;span class="_ _7"&gt;&lt;/span&gt;tio&lt;span class="_ _7"&gt;&lt;/span&gt;ni&lt;span class="_ _7"&gt;&lt;/span&gt;ng co&lt;span class="_ _7"&gt;&lt;/span&gt;s&lt;span class="_ _7"&gt;&lt;/span&gt;ts a&lt;span class="_ _7"&gt;&lt;/span&gt;nd w&lt;span class="_ _7"&gt;&lt;/span&gt;ith  &lt;/span&gt;&lt;span style="display:inherit;clear:left;"&gt;consideration given&lt;span class="_ _2"&gt;&lt;/span&gt; to the specific mark&lt;span class="_ _2"&gt;&lt;/span&gt;ets demand for i&lt;span class="_ _2"&gt;&lt;/span&gt;nternal &lt;/span&gt;&lt;span style="display:inherit;clear:left;"&gt;combustion engines and&lt;span class="_ _2"&gt;&lt;/span&gt; electric vehicles&lt;span class="_ _2"&gt;&lt;/span&gt; as customer purchasing&lt;span class="_ _2"&gt;&lt;/span&gt; &lt;/span&gt;&lt;span style="display:inherit;clear:left;"&gt;de&lt;span class="_ _7"&gt;&lt;/span&gt;cis&lt;span class="_ _7"&gt;&lt;/span&gt;io&lt;span class="_ _7"&gt;&lt;/span&gt;ns a&lt;span class="_ _7"&gt;&lt;/span&gt;re in&lt;span class="_ _7"&gt;&lt;/span&gt;f&lt;span class="_ _7"&gt;&lt;/span&gt;lue&lt;span class="_ _7"&gt;&lt;/span&gt;nce&lt;span class="_ _7"&gt;&lt;/span&gt;d by c&lt;span class="_ _7"&gt;&lt;/span&gt;lim&lt;span class="_ _7"&gt;&lt;/span&gt;ate ch&lt;span class="_ _7"&gt;&lt;/span&gt;an&lt;span class="_ _7"&gt;&lt;/span&gt;ge f&lt;span class="_ _7"&gt;&lt;/span&gt;act&lt;span class="_ _7"&gt;&lt;/span&gt;or&lt;span class="_ _7"&gt;&lt;/span&gt;s&lt;span class="_ _7"&gt;&lt;/span&gt;. The v&lt;span class="_ _7"&gt;&lt;/span&gt;alu&lt;span class="_ _7"&gt;&lt;/span&gt;e of &lt;/span&gt;&lt;span style="display:inherit;clear:left;"&gt;the c&lt;span class="_ _7"&gt;&lt;/span&gt;ar o&lt;span class="_ _7"&gt;&lt;/span&gt;n th&lt;span class="_ _7"&gt;&lt;/span&gt;e bal&lt;span class="_ _7"&gt;&lt;/span&gt;a&lt;span class="_ _7"&gt;&lt;/span&gt;nce s&lt;span class="_ _7"&gt;&lt;/span&gt;he&lt;span class="_ _7"&gt;&lt;/span&gt;et i&lt;span class="_ _7"&gt;&lt;/span&gt;s ad&lt;span class="_ _7"&gt;&lt;/span&gt;ju&lt;span class="_ _7"&gt;&lt;/span&gt;ste&lt;span class="_ _7"&gt;&lt;/span&gt;d i&lt;span class="_ _7"&gt;&lt;/span&gt;f ne&lt;span class="_ _7"&gt;&lt;/span&gt;ce&lt;span class="_ _7"&gt;&lt;/span&gt;s&lt;span class="_ _7"&gt;&lt;/span&gt;s&lt;span class="_ _7"&gt;&lt;/span&gt;ar&lt;span class="_ _7"&gt;&lt;/span&gt;y&lt;/span&gt;&lt;span style="display:inherit;clear:left;"&gt;For sub&lt;span class="_ _7"&gt;&lt;/span&gt;s&lt;span class="_ _7"&gt;&lt;/span&gt;cri&lt;span class="_ _7"&gt;&lt;/span&gt;pti&lt;span class="_ _7"&gt;&lt;/span&gt;on c&lt;span class="_ _7"&gt;&lt;/span&gt;ont&lt;span class="_ _7"&gt;&lt;/span&gt;ra&lt;span class="_ _7"&gt;&lt;/span&gt;ct&lt;span class="_ _7"&gt;&lt;/span&gt;s&lt;span class="_ _7"&gt;&lt;/span&gt;, lea&lt;span class="_ _7"&gt;&lt;/span&gt;s&lt;span class="_ _7"&gt;&lt;/span&gt;e inc&lt;span class="_ _7"&gt;&lt;/span&gt;om&lt;span class="_ _7"&gt;&lt;/span&gt;e is r&lt;span class="_ _7"&gt;&lt;/span&gt;ec&lt;span class="_ _7"&gt;&lt;/span&gt;og&lt;span class="_ _7"&gt;&lt;/span&gt;ni&lt;span class="_ _7"&gt;&lt;/span&gt;se&lt;span class="_ _7"&gt;&lt;/span&gt;d &lt;/span&gt;&lt;span style="display:inherit;clear:left;"&gt;as re&lt;span class="_ _7"&gt;&lt;/span&gt;ven&lt;span class="_ _7"&gt;&lt;/span&gt;ue o&lt;span class="_ _7"&gt;&lt;/span&gt;n a st&lt;span class="_ _7"&gt;&lt;/span&gt;ra&lt;span class="_ _7"&gt;&lt;/span&gt;igh&lt;span class="_ _7"&gt;&lt;/span&gt;t&lt;span class="_ _2"&gt;&lt;/span&gt;-lin&lt;span class="_ _7"&gt;&lt;/span&gt;e ba&lt;span class="_ _7"&gt;&lt;/span&gt;si&lt;span class="_ _7"&gt;&lt;/span&gt;s ove&lt;span class="_ _7"&gt;&lt;/span&gt;r the l&lt;span class="_ _7"&gt;&lt;/span&gt;ea&lt;span class="_ _7"&gt;&lt;/span&gt;se t&lt;span class="_ _7"&gt;&lt;/span&gt;er&lt;span class="_ _7"&gt;&lt;/span&gt;m. Fo&lt;span class="_ _7"&gt;&lt;/span&gt;r re&lt;span class="_ _7"&gt;&lt;/span&gt;pur-&lt;/span&gt;&lt;span style="display:inherit;clear:left;"&gt;chase commitment&lt;span class="_ _2"&gt;&lt;/span&gt; contracts&lt;span class="_ _7"&gt;&lt;/span&gt;, deferred re&lt;span class="_ _2"&gt;&lt;/span&gt;venue is recognised as&lt;span class="_ _2"&gt;&lt;/span&gt; &lt;/span&gt;&lt;span style="display:inherit;clear:left;"&gt;Co&lt;span class="_ _7"&gt;&lt;/span&gt;ntr&lt;span class="_ _7"&gt;&lt;/span&gt;ac&lt;span class="_ _7"&gt;&lt;/span&gt;t li&lt;span class="_ _7"&gt;&lt;/span&gt;abi&lt;span class="_ _7"&gt;&lt;/span&gt;lit&lt;span class="_ _7"&gt;&lt;/span&gt;ie&lt;span class="_ _7"&gt;&lt;/span&gt;s to cu&lt;span class="_ _7"&gt;&lt;/span&gt;st&lt;span class="_ _7"&gt;&lt;/span&gt;ome&lt;span class="_ _7"&gt;&lt;/span&gt;r&lt;span class="_ _7"&gt;&lt;/span&gt;s&lt;span class="_ _7"&gt;&lt;/span&gt;, se&lt;span class="_ _7"&gt;&lt;/span&gt;e Not&lt;span class="_ _7"&gt;&lt;/span&gt;e 2 - Reve&lt;span class="_ _7"&gt;&lt;/span&gt;nue&lt;span class="_ _7"&gt;&lt;/span&gt;, at th&lt;span class="_ _7"&gt;&lt;/span&gt;e ti&lt;span class="_ _7"&gt;&lt;/span&gt;me &lt;/span&gt;&lt;span style="display:inherit;clear:left;"&gt;the v&lt;span class="_ _7"&gt;&lt;/span&gt;ehi&lt;span class="_ _7"&gt;&lt;/span&gt;cle i&lt;span class="_ _7"&gt;&lt;/span&gt;s s&lt;span class="_ _7"&gt;&lt;/span&gt;old (eq&lt;span class="_ _7"&gt;&lt;/span&gt;ua&lt;span class="_ _7"&gt;&lt;/span&gt;l to the s&lt;span class="_ _7"&gt;&lt;/span&gt;a&lt;span class="_ _7"&gt;&lt;/span&gt;le&lt;span class="_ _7"&gt;&lt;/span&gt;s pr&lt;span class="_ _7"&gt;&lt;/span&gt;ice r&lt;span class="_ _7"&gt;&lt;/span&gt;ec&lt;span class="_ _7"&gt;&lt;/span&gt;ei&lt;span class="_ _7"&gt;&lt;/span&gt;ve&lt;span class="_ _7"&gt;&lt;/span&gt;d fr&lt;span class="_ _7"&gt;&lt;/span&gt;om th&lt;span class="_ _7"&gt;&lt;/span&gt;e cu&lt;span class="_ _7"&gt;&lt;/span&gt;s-&lt;/span&gt;&lt;span style="display:inherit;clear:left;"&gt;tom&lt;span class="_ _7"&gt;&lt;/span&gt;er le&lt;span class="_ _7"&gt;&lt;/span&gt;s&lt;span class="_ _7"&gt;&lt;/span&gt;s th&lt;span class="_ _7"&gt;&lt;/span&gt;e ag&lt;span class="_ _7"&gt;&lt;/span&gt;re&lt;span class="_ _7"&gt;&lt;/span&gt;ed re&lt;span class="_ _7"&gt;&lt;/span&gt;pu&lt;span class="_ _7"&gt;&lt;/span&gt;rch&lt;span class="_ _7"&gt;&lt;/span&gt;as&lt;span class="_ _7"&gt;&lt;/span&gt;e v&lt;span class="_ _7"&gt;&lt;/span&gt;alue t&lt;span class="_ _7"&gt;&lt;/span&gt;ha&lt;span class="_ _7"&gt;&lt;/span&gt;t Volvo Ca&lt;span class="_ _7"&gt;&lt;/span&gt;r Gro&lt;span class="_ _7"&gt;&lt;/span&gt;up i&lt;span class="_ _7"&gt;&lt;/span&gt;s &lt;/span&gt;&lt;span style="display:inherit;clear:left;"&gt;con&lt;span class="_ _7"&gt;&lt;/span&gt;tr&lt;span class="_ _7"&gt;&lt;/span&gt;ac&lt;span class="_ _7"&gt;&lt;/span&gt;tua&lt;span class="_ _7"&gt;&lt;/span&gt;lly o&lt;span class="_ _7"&gt;&lt;/span&gt;bli&lt;span class="_ _7"&gt;&lt;/span&gt;ga&lt;span class="_ _7"&gt;&lt;/span&gt;ted to p&lt;span class="_ _7"&gt;&lt;/span&gt;ay i&lt;span class="_ _7"&gt;&lt;/span&gt;n the f&lt;span class="_ _7"&gt;&lt;/span&gt;ut&lt;span class="_ _7"&gt;&lt;/span&gt;ure) an&lt;span class="_ _7"&gt;&lt;/span&gt;d re&lt;span class="_ _7"&gt;&lt;/span&gt;cog&lt;span class="_ _7"&gt;&lt;/span&gt;ni&lt;span class="_ _7"&gt;&lt;/span&gt;s&lt;span class="_ _7"&gt;&lt;/span&gt;ed a&lt;span class="_ _7"&gt;&lt;/span&gt;s rev&lt;span class="_ _7"&gt;&lt;/span&gt;e-&lt;/span&gt;&lt;span style="display:inherit;clear:left;"&gt;nue o&lt;span class="_ _7"&gt;&lt;/span&gt;n a s&lt;span class="_ _7"&gt;&lt;/span&gt;tra&lt;span class="_ _7"&gt;&lt;/span&gt;ig&lt;span class="_ _7"&gt;&lt;/span&gt;ht&lt;span class="_ _2"&gt;&lt;/span&gt;-li&lt;span class="_ _7"&gt;&lt;/span&gt;ne b&lt;span class="_ _7"&gt;&lt;/span&gt;as&lt;span class="_ _7"&gt;&lt;/span&gt;is u&lt;span class="_ _7"&gt;&lt;/span&gt;nti&lt;span class="_ _7"&gt;&lt;/span&gt;l rep&lt;span class="_ _7"&gt;&lt;/span&gt;ur&lt;span class="_ _7"&gt;&lt;/span&gt;cha&lt;span class="_ _7"&gt;&lt;/span&gt;s&lt;span class="_ _7"&gt;&lt;/span&gt;e dat&lt;span class="_ _7"&gt;&lt;/span&gt;e. In a&lt;span class="_ _7"&gt;&lt;/span&gt;dd&lt;span class="_ _7"&gt;&lt;/span&gt;iti&lt;span class="_ _7"&gt;&lt;/span&gt;on to t&lt;span class="_ _7"&gt;&lt;/span&gt;his&lt;span class="_ _7"&gt;&lt;/span&gt;, &lt;/span&gt;&lt;span style="display:inherit;clear:left;"&gt;a lia&lt;span class="_ _7"&gt;&lt;/span&gt;bi&lt;span class="_ _7"&gt;&lt;/span&gt;lit&lt;span class="_ _7"&gt;&lt;/span&gt;y i&lt;span class="_ _7"&gt;&lt;/span&gt;s re&lt;span class="_ _7"&gt;&lt;/span&gt;cog&lt;span class="_ _7"&gt;&lt;/span&gt;ni&lt;span class="_ _7"&gt;&lt;/span&gt;s&lt;span class="_ _7"&gt;&lt;/span&gt;ed f&lt;span class="_ _7"&gt;&lt;/span&gt;or th&lt;span class="_ _7"&gt;&lt;/span&gt;e ag&lt;span class="_ _7"&gt;&lt;/span&gt;ree&lt;span class="_ _7"&gt;&lt;/span&gt;d re&lt;span class="_ _7"&gt;&lt;/span&gt;pu&lt;span class="_ _7"&gt;&lt;/span&gt;rch&lt;span class="_ _7"&gt;&lt;/span&gt;as&lt;span class="_ _7"&gt;&lt;/span&gt;e v&lt;span class="_ _7"&gt;&lt;/span&gt;alue t&lt;span class="_ _7"&gt;&lt;/span&gt;o be p&lt;span class="_ _7"&gt;&lt;/span&gt;ai&lt;span class="_ _7"&gt;&lt;/span&gt;d at &lt;/span&gt;&lt;span style="display:inherit;clear:left;"&gt;rep&lt;span class="_ _7"&gt;&lt;/span&gt;ur&lt;span class="_ _7"&gt;&lt;/span&gt;ch&lt;span class="_ _7"&gt;&lt;/span&gt;as&lt;span class="_ _7"&gt;&lt;/span&gt;e dat&lt;span class="_ _7"&gt;&lt;/span&gt;e. s&lt;span class="_ _7"&gt;&lt;/span&gt;ee N&lt;span class="_ _7"&gt;&lt;/span&gt;ote 24 – O&lt;span class="_ _7"&gt;&lt;/span&gt;the&lt;span class="_ _7"&gt;&lt;/span&gt;r Cur&lt;span class="_ _7"&gt;&lt;/span&gt;re&lt;span class="_ _7"&gt;&lt;/span&gt;nt an&lt;span class="_ _7"&gt;&lt;/span&gt;d No&lt;span class="_ _7"&gt;&lt;/span&gt;n-Cu&lt;span class="_ _7"&gt;&lt;/span&gt;rr&lt;span class="_ _7"&gt;&lt;/span&gt;ent  &lt;/span&gt;&lt;span style="display:inherit;clear:left;"&gt;Liabili&lt;span class="_ _7"&gt;&lt;/span&gt;ties&lt;span class="_ _7"&gt;&lt;/span&gt;.&lt;/span&gt;&lt;span style="display:inherit;clear:left;"&gt;NOT&lt;span class="_ _7"&gt;&lt;/span&gt;E 24&lt;/span&gt;&lt;span style="display:inherit;clear:left;"&gt;OTHER CURRENT&lt;span class="_ _2"&gt;&lt;/span&gt; AND NON-CURRENT &lt;span class="ls3 ws3"&gt; &lt;/span&gt;&lt;/span&gt;&lt;span style="display:inherit;clear:left;"&gt;LIABILITIES&lt;/span&gt;&lt;span style="display:inherit;clear:left;position:relative;height:74.89453125px;"&gt;&lt;span class="pp-font-color-override-1" style="position: absolute; display: inline-block; left: 257.109px; top: 0.748047px; width: 27.9727px; white-space: pre; word-spacing: -0.24px; letter-spacing: 0.24px; margin-left: 0px; font-size: 9.6px; font-family: ffb0; -webkit-text-stroke: 0.144px rgba(0, 0, 0, 0);"&gt;&lt;span style="display: inline-block;"&gt;31&lt;/span&gt;&lt;span style="word-spacing: -0.24px; letter-spacing: 0.24px; display: inline-block; margin-left: -0.684px; width: 0px; font-size: 9.6px; font-family: ffb0; -webkit-text-stroke: 0.144px rgba(0, 0, 0, 0);"&gt;&lt;/span&gt;&lt;span style="display: inline-block;"&gt; Dec&lt;/span&gt;&lt;/span&gt;&lt;span class="pp-font-color-override-1" style="position: absolute; display: inline-block; left: 313.078px; top: 0.0039062px; width: 28.0254px; white-space: pre; word-spacing: -0.2496px; letter-spacing: 0.2496px; margin-left: 0px; font-size: 9.6px; font-family: ffb1; -webkit-text-stroke: 0.144px rgba(0, 0, 0, 0);"&gt;&lt;span style="display: inline-block;"&gt;31&lt;/span&gt;&lt;span style="word-spacing: -0.2496px; letter-spacing: 0.2496px; display: inline-block; margin-left: -0.684px; width: 0px; font-size: 9.6px; font-family: ffb1; -webkit-text-stroke: 0.144px rgba(0, 0, 0, 0);"&gt;&lt;/span&gt;&lt;span style="display: inline-block;"&gt; Dec&lt;/span&gt;&lt;/span&gt;&lt;span class="pp-font-color-override-1" style="position: absolute; display: inline-block; left: 0px; top: 10.5391px; width: 125.402px; white-space: pre; word-spacing: -0.189px; letter-spacing: 0.2205px; margin-left: 0px; font-size: 10.5px; font-family: ffb0; -webkit-text-stroke: 0.1575px rgba(0, 0, 0, 0);"&gt;&lt;span style="display: inline-block;"&gt;Other non–&lt;/span&gt;&lt;span style="word-spacing: -0.189px; letter-spacing: 0.2205px; display: inline-block; margin-left: 0px; width: 0.410156px; font-size: 10.5px; font-family: ffb0; -webkit-text-stroke: 0.1575px rgba(0, 0, 0, 0);"&gt;&lt;/span&gt;&lt;span style="display: inline-block;"&gt;current liabilities&lt;/span&gt;&lt;/span&gt;&lt;span class="pp-font-color-override-1" style="position: absolute; display: inline-block; left: 263.859px; top: 11.248px; width: 19.3535px; white-space: pre; word-spacing: -0.0384px; letter-spacing: 0.0384px; margin-left: 0px; font-size: 9.6px; font-family: ffb0; -webkit-text-stroke: 0.144px rgba(0, 0, 0, 0);"&gt;&lt;span style="display: inline-block;"&gt;2025&lt;/span&gt;&lt;/span&gt;&lt;span class="pp-font-color-override-1" style="position: absolute; display: inline-block; left: 319.906px; top: 10.5039px; width: 18.9668px; white-space: pre; word-spacing: 0.0576px; letter-spacing: -0.0576px; margin-left: 0px; font-size: 9.6px; font-family: ffb1; -webkit-text-stroke: 0.144px rgba(0, 0, 0, 0);"&gt;&lt;span style="display: inline-block;"&gt;2024&lt;/span&gt;&lt;/span&gt;&lt;span class="pp-font-color-override-1" style="position: absolute; display: inline-block; left: 0px; top: 30.9941px; width: 312.99px; white-space: pre; word-spacing: 0px; letter-spacing: 0.0315px; margin-left: 0px; font-size: 10.5px; font-family: ffb2; -webkit-text-stroke: 0.1575px rgba(0, 0, 0, 0);"&gt;&lt;span style="display: inline-block;"&gt;Lia&lt;/span&gt;&lt;span style="word-spacing: 0px; letter-spacing: 0.0315px; display: inline-block; margin-left: 0px; width: 0.410156px; font-size: 10.5px; font-family: ffb2; -webkit-text-stroke: 0.1575px rgba(0, 0, 0, 0);"&gt;&lt;/span&gt;&lt;span style="display: inline-block;"&gt;bili&lt;/span&gt;&lt;span style="word-spacing: 0px; letter-spacing: 0.0315px; display: inline-block; margin-left: 0px; width: 0.410156px; font-size: 10.5px; font-family: ffb2; -webkit-text-stroke: 0.1575px rgba(0, 0, 0, 0);"&gt;&lt;/span&gt;&lt;span style="display: inline-block;"&gt;tie&lt;/span&gt;&lt;span style="word-spacing: 0px; letter-spacing: 0.0315px; display: inline-block; margin-left: 0px; width: 0.410156px; font-size: 10.5px; font-family: ffb2; -webkit-text-stroke: 0.1575px rgba(0, 0, 0, 0);"&gt;&lt;/span&gt;&lt;span style="display: inline-block;"&gt;s re&lt;/span&gt;&lt;span style="word-spacing: 0px; letter-spacing: 0.0315px; display: inline-block; margin-left: 0px; width: 0.410156px; font-size: 10.5px; font-family: ffb2; -webkit-text-stroke: 0.1575px rgba(0, 0, 0, 0);"&gt;&lt;/span&gt;&lt;span style="display: inline-block;"&gt;late&lt;/span&gt;&lt;span style="word-spacing: 0px; letter-spacing: 0.0315px; display: inline-block; margin-left: 0px; width: 0.410156px; font-size: 10.5px; font-family: ffb2; -webkit-text-stroke: 0.1575px rgba(0, 0, 0, 0);"&gt;&lt;/span&gt;&lt;span style="display: inline-block;"&gt;d to re&lt;/span&gt;&lt;span style="word-spacing: 0px; letter-spacing: 0.0315px; display: inline-block; margin-left: 0px; width: 0.410156px; font-size: 10.5px; font-family: ffb2; -webkit-text-stroke: 0.1575px rgba(0, 0, 0, 0);"&gt;&lt;/span&gt;&lt;span style="display: inline-block;"&gt;pur&lt;/span&gt;&lt;span style="word-spacing: 0px; letter-spacing: 0.0315px; display: inline-block; margin-left: 0px; width: 0.410156px; font-size: 10.5px; font-family: ffb2; -webkit-text-stroke: 0.1575px rgba(0, 0, 0, 0);"&gt;&lt;/span&gt;&lt;span style="display: inline-block;"&gt;cha&lt;/span&gt;&lt;span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0.410156px; font-size: 10.5px; font-family: ffb2; -webkit-text-stroke: 0.1575px rgba(0, 0, 0, 0);"&gt;&lt;/span&gt;&lt;span style="display: inline-block;"&gt;e com&lt;/span&gt;&lt;span style="word-spacing: 0px; letter-spacing: 0.0315px; display: inline-block; margin-left: 0px; width: 0.410156px; font-size: 10.5px; font-family: ffb2; -webkit-text-stroke: 0.1575px rgba(0, 0, 0, 0);"&gt;&lt;/span&gt;&lt;span style="display: inline-block;"&gt;mi&lt;/span&gt;&lt;span style="word-spacing: 0px; letter-spacing: 0.0315px; display: inline-block; margin-left: 0px; width: 0.410156px; font-size: 10.5px; font-family: ffb2; -webkit-text-stroke: 0.1575px rgba(0, 0, 0, 0);"&gt;&lt;/span&gt;&lt;span style="display: inline-block;"&gt;tme&lt;/span&gt;&lt;span style="word-spacing: 0px; letter-spacing: 0.0315px; display: inline-block; margin-left: 0px; width: 0.410156px; font-size: 10.5px; font-family: ffb2; -webkit-text-stroke: 0.1575px rgba(0, 0, 0, 0);"&gt;&lt;/span&gt;&lt;span style="display: inline-block;"&gt;nt&lt;/span&gt;&lt;span style="word-spacing: 0px; letter-spacing: 0.0315px; display: inline-block; margin-left: 0px; width: 0.410156px; font-size: 10.5px; font-family: ffb2; -webkit-text-stroke: 0.1575px rgba(0, 0, 0, 0);"&gt;&lt;/span&gt;&lt;span style="display: inline-block;"&gt;s&lt;/span&gt;&lt;span style="word-spacing: 0px; letter-spacing: 0.0315px; display: inline-block; margin-left: 0px; width: 38.631px; font-size: 10.5px; font-family: ffb2; -webkit-text-stroke: 0.1575px rgba(0, 0, 0, 0);"&gt;&lt;span style="display: inline-block;"&gt; &lt;/span&gt;&lt;/span&gt;&lt;span class="pp-font-color-override-1" style="word-spacing: 0.3885px; letter-spacing: -0.3885px; display: inline-block; margin-left: 0px; font-size: 10.5px; font-family: ffb2; -webkit-text-stroke: 0.1575px rgba(0, 0, 0, 0);"&gt;&lt;span style="display: inline-block;"&gt;3&lt;/span&gt;&lt;span style="word-spacing: 0.3885px; letter-spacing: -0.3885px; display: inline-block; margin-left: 0px; width: 0.925781px; font-size: 10.5px; font-family: ffb2; -webkit-text-stroke: 0.1575px rgba(0, 0, 0, 0);"&gt;&lt;/span&gt;&lt;span style="display: inline-block;"&gt;,11&lt;/span&gt;&lt;span style="word-spacing: 0.3885px; letter-spacing: -0.3885px; display: inline-block; margin-left: 0px; width: 0.410156px; font-size: 10.5px; font-family: ffb2; -webkit-text-stroke: 0.1575px rgba(0, 0, 0, 0);"&gt;&lt;/span&gt;&lt;span style="display: inline-block;"&gt;3&lt;/span&gt;&lt;span style="word-spacing: 0.3885px; letter-spacing: -0.3885px; display: inline-block; margin-left: 0px; width: 29.5723px; font-size: 10.5px; font-family: ffb2; -webkit-text-stroke: 0.1575px rgba(0, 0, 0, 0);"&gt;&lt;span style="display: inline-block;"&gt;&lt;span style="width: </t>
  </si>
  <si>
    <t>f1__s8__6__42</t>
  </si>
  <si>
    <t>ifrs-full:DisclosureOfDepositsFromCustomersExplanatory</t>
  </si>
  <si>
    <t>&lt;span style="display:inherit;clear:left;position:relative;height:348.953125px;"&gt;&lt;span class="pp-font-color-override-1" style="position: absolute; display: inline-block; left: 0px; top: 0.0078125px; width: 322.441px; white-space: pre; word-spacing: 0px; letter-spacing: 0px; margin-left: 0px; font-size: 10.95px; font-family: ff6c; -webkit-text-stroke: 0.16425px rgba(0, 0, 0, 0);"&gt;&lt;span style="display: inline-block;"&gt;Co&lt;/span&gt;&lt;span style="word-spacing: 0px; letter-spacing: 0px; display: inline-block; margin-left: 0px; width: 0.410156px; font-size: 10.95px; font-family: ff6c; -webkit-text-stroke: 0.16425px rgba(0, 0, 0, 0);"&gt;&lt;/span&gt;&lt;span style="display: inline-block;"&gt;ntr&lt;/span&gt;&lt;span style="word-spacing: 0px; letter-spacing: 0px; display: inline-block; margin-left: 0px; width: 0.410156px; font-size: 10.95px; font-family: ff6c; -webkit-text-stroke: 0.16425px rgba(0, 0, 0, 0);"&gt;&lt;/span&gt;&lt;span style="display: inline-block;"&gt;ac&lt;/span&gt;&lt;span style="word-spacing: 0px; letter-spacing: 0px; display: inline-block; margin-left: 0px; width: 0.410156px; font-size: 10.95px; font-family: ff6c; -webkit-text-stroke: 0.16425px rgba(0, 0, 0, 0);"&gt;&lt;/span&gt;&lt;span style="display: inline-block;"&gt;t li&lt;/span&gt;&lt;span style="word-spacing: 0px; letter-spacing: 0px; display: inline-block; margin-left: 0px; width: 0.410156px; font-size: 10.95px; font-family: ff6c; -webkit-text-stroke: 0.16425px rgba(0, 0, 0, 0);"&gt;&lt;/span&gt;&lt;span style="display: inline-block;"&gt;abi&lt;/span&gt;&lt;span style="word-spacing: 0px; letter-spacing: 0px; display: inline-block; margin-left: 0px; width: 0.410156px; font-size: 10.95px; font-family: ff6c; -webkit-text-stroke: 0.16425px rgba(0, 0, 0, 0);"&gt;&lt;/span&gt;&lt;span style="display: inline-block;"&gt;lit&lt;/span&gt;&lt;span style="word-spacing: 0px; letter-spacing: 0px; display: inline-block; margin-left: 0px; width: 0.410156px; font-size: 10.95px; font-family: ff6c; -webkit-text-stroke: 0.16425px rgba(0, 0, 0, 0);"&gt;&lt;/span&gt;&lt;span style="display: inline-block;"&gt;ie&lt;/span&gt;&lt;span style="word-spacing: 0px; letter-spacing: 0px; display: inline-block; margin-left: 0px; width: 0.410156px; font-size: 10.95px; font-family: ff6c; -webkit-text-stroke: 0.16425px rgba(0, 0, 0, 0);"&gt;&lt;/span&gt;&lt;span style="display: inline-block;"&gt;s wh&lt;/span&gt;&lt;span style="word-spacing: 0px; letter-spacing: 0px; display: inline-block; margin-left: 0px; width: 0.410156px; font-size: 10.95px; font-family: ff6c; -webkit-text-stroke: 0.16425px rgba(0, 0, 0, 0);"&gt;&lt;/span&gt;&lt;span style="display: inline-block;"&gt;er&lt;/span&gt;&lt;span style="word-spacing: 0px; letter-spacing: 0px; display: inline-block; margin-left: 0px; width: 0.410156px; font-size: 10.95px; font-family: ff6c; -webkit-text-stroke: 0.16425px rgba(0, 0, 0, 0);"&gt;&lt;/span&gt;&lt;span style="display: inline-block;"&gt;e reve&lt;/span&gt;&lt;span style="word-spacing: 0px; letter-spacing: 0px; display: inline-block; margin-left: 0px; width: 0.410156px; font-size: 10.95px; font-family: ff6c; -webkit-text-stroke: 0.16425px rgba(0, 0, 0, 0);"&gt;&lt;/span&gt;&lt;span style="display: inline-block;"&gt;nu&lt;/span&gt;&lt;span style="word-spacing: 0px; letter-spacing: 0px; display: inline-block; margin-left: 0px; width: 0.410156px; font-size: 10.95px; font-family: ff6c; -webkit-text-stroke: 0.16425px rgba(0, 0, 0, 0);"&gt;&lt;/span&gt;&lt;span style="display: inline-block;"&gt;e is d&lt;/span&gt;&lt;span style="word-spacing: 0px; letter-spacing: 0px; display: inline-block; margin-left: 0px; width: 0.410156px; font-size: 10.95px; font-family: ff6c; -webkit-text-stroke: 0.16425px rgba(0, 0, 0, 0);"&gt;&lt;/span&gt;&lt;span style="display: inline-block;"&gt;efe&lt;/span&gt;&lt;span style="word-spacing: 0px; letter-spacing: 0px; display: inline-block; margin-left: 0px; width: 0.410156px; font-size: 10.95px; font-family: ff6c; -webkit-text-stroke: 0.16425px rgba(0, 0, 0, 0);"&gt;&lt;/span&gt;&lt;span style="display: inline-block;"&gt;rr&lt;/span&gt;&lt;span style="word-spacing: 0px; letter-spacing: 0px; display: inline-block; margin-left: 0px; width: 0.410156px; font-size: 10.95px; font-family: ff6c; -webkit-text-stroke: 0.16425px rgba(0, 0, 0, 0);"&gt;&lt;/span&gt;&lt;span style="display: inline-block;"&gt;ed a&lt;/span&gt;&lt;span style="word-spacing: 0px; letter-spacing: 0px; display: inline-block; margin-left: 0px; width: 0.410156px; font-size: 10.95px; font-family: ff6c; -webkit-text-stroke: 0.16425px rgba(0, 0, 0, 0);"&gt;&lt;/span&gt;&lt;span style="display: inline-block;"&gt;nd r&lt;/span&gt;&lt;span style="word-spacing: 0px; letter-spacing: 0px; display: inline-block; margin-left: 0px; width: 0.410156px; font-size: 10.95px; font-family: ff6c; -webkit-text-stroke: 0.16425px rgba(0, 0, 0, 0);"&gt;&lt;/span&gt;&lt;span style="display: inline-block;"&gt;ec&lt;/span&gt;&lt;span style="word-spacing: 0px; letter-spacing: 0px; display: inline-block; margin-left: 0px; width: 0.410156px; font-size: 10.95px; font-family: ff6c; -webkit-text-stroke: 0.16425px rgba(0, 0, 0, 0);"&gt;&lt;/span&gt;&lt;span style="display: inline-block;"&gt;og&lt;/span&gt;&lt;span style="word-spacing: 0px; letter-spacing: 0px; display: inline-block; margin-left: 0px; width: 0.410156px; font-size: 10.95px; font-family: ff6c; -webkit-text-stroke: 0.16425px rgba(0, 0, 0, 0);"&gt;&lt;/span&gt;&lt;span style="display: inline-block;"&gt;nis&lt;/span&gt;&lt;span style="word-spacing: 0px; letter-spacing: 0px; display: inline-block; margin-left: 0px; width: 0.410156px; font-size: 10.95px; font-family: ff6c; -webkit-text-stroke: 0.16425px rgba(0, 0, 0, 0);"&gt;&lt;/span&gt;&lt;span style="display: inline-block;"&gt;e&lt;/span&gt;&lt;span style="word-spacing: 0px; letter-spacing: 0px; display: inline-block; margin-left: 0px; width: 0.410156px; font-size: 10.95px; font-family: ff6c; -webkit-text-stroke: 0.16425px rgba(0, 0, 0, 0);"&gt;&lt;/span&gt;&lt;span style="display: inline-block;"&gt;d ove&lt;/span&gt;&lt;span style="word-spacing: 0px; letter-spacing: 0px; display: inline-block; margin-left: 0px; width: 0.410156px; font-size: 10.95px; font-family: ff6c; -webkit-text-stroke: 0.16425px rgba(0, 0, 0, 0);"&gt;&lt;/span&gt;&lt;span style="display: inline-block;"&gt;r tim&lt;/span&gt;&lt;span style="word-spacing: 0px; letter-spacing: 0px; display: inline-block; margin-left: 0px; width: 0.410156px; font-size: 10.95px; font-family: ff6c; -webkit-text-stroke: 0.16425px rgba(0, 0, 0, 0);"&gt;&lt;/span&gt;&lt;span style="display: inline-block;"&gt;e:&lt;/span&gt;&lt;/span&gt;&lt;span class="pp-font-color-override-1" style="position: absolute; display: inline-block; left: 356.688px; top: 34.4727px; width: 78.9434px; white-space: pre; word-spacing: 0px; letter-spacing: 0px; margin-left: 0px; font-size: 9.6px; font-family: ff6c; -webkit-text-stroke: 0.144px rgba(0, 0, 0, 0);"&gt;&lt;span style="display: inline-block;"&gt;De&lt;/span&gt;&lt;span style="word-spacing: 0px; letter-spacing: 0px; display: inline-block; margin-left: 0px; width: 0.410156px; font-size: 9.6px; font-family: ff6c; -webkit-text-stroke: 0.144px rgba(0, 0, 0, 0);"&gt;&lt;/span&gt;&lt;span style="display: inline-block;"&gt;fe&lt;/span&gt;&lt;span style="word-spacing: 0px; letter-spacing: 0px; display: inline-block; margin-left: 0px; width: 0.410156px; font-size: 9.6px; font-family: ff6c; -webkit-text-stroke: 0.144px rgba(0, 0, 0, 0);"&gt;&lt;/span&gt;&lt;span style="display: inline-block;"&gt;rr&lt;/span&gt;&lt;span style="word-spacing: 0px; letter-spacing: 0px; display: inline-block; margin-left: 0px; width: 0.410156px; font-size: 9.6px; font-family: ff6c; -webkit-text-stroke: 0.144px rgba(0, 0, 0, 0);"&gt;&lt;/span&gt;&lt;span style="display: inline-block;"&gt;ed r&lt;/span&gt;&lt;span style="word-spacing: 0px; letter-spacing: 0px; display: inline-block; margin-left: 0px; width: 0.410156px; font-size: 9.6px; font-family: ff6c; -webkit-text-stroke: 0.144px rgba(0, 0, 0, 0);"&gt;&lt;/span&gt;&lt;span style="display: inline-block;"&gt;eve&lt;/span&gt;&lt;span style="word-spacing: 0px; letter-spacing: 0px; display: inline-block; margin-left: 0px; width: 0.410156px; font-size: 9.6px; font-family: ff6c; -webkit-text-stroke: 0.144px rgba(0, 0, 0, 0);"&gt;&lt;/span&gt;&lt;span style="display: inline-block;"&gt;nu&lt;/span&gt;&lt;span style="word-spacing: 0px; letter-spacing: 0px; display: inline-block; margin-left: 0px; width: 0.410156px; font-size: 9.6px; font-family: ff6c; -webkit-text-stroke: 0.144px rgba(0, 0, 0, 0);"&gt;&lt;/span&gt;&lt;span style="display: inline-block;"&gt;e – &lt;/span&gt;&lt;/span&gt;&lt;span class="pp-font-color-override-1" style="position: absolute; display: inline-block; left: 461.922px; top: 34.4727px; width: 78.9434px; white-space: pre; word-spacing: 0px; letter-spacing: 0px; margin-left: 0px; font-size: 9.6px; font-family: ff6c; -webkit-text-stroke: 0.144px rgba(0, 0, 0, 0);"&gt;&lt;span style="display: inline-block;"&gt;De&lt;/span&gt;&lt;span style="word-spacing: 0px; letter-spacing: 0px; display: inline-block; margin-left: 0px; width: 0.410156px; font-size: 9.6px; font-family: ff6c; -webkit-text-stroke: 0.144px rgba(0, 0, 0, 0);"&gt;&lt;/span&gt;&lt;span style="display: inline-block;"&gt;fe&lt;/span&gt;&lt;span style="word-spacing: 0px; letter-spacing: 0px; display: inline-block; margin-left: 0px; width: 0.410156px; font-size: 9.6px; font-family: ff6c; -webkit-text-stroke: 0.144px rgba(0, 0, 0, 0);"&gt;&lt;/span&gt;&lt;span style="display: inline-block;"&gt;rr&lt;/span&gt;&lt;span style="word-spacing: 0px; letter-spacing: 0px; display: inline-block; margin-left: 0px; width: 0.410156px; font-size: 9.6px; font-family: ff6c; -webkit-text-stroke: 0.144px rgba(0, 0, 0, 0);"&gt;&lt;/span&gt;&lt;span style="display: inline-block;"&gt;ed r&lt;/span&gt;&lt;span style="word-spacing: 0px; letter-spacing: 0px; display: inline-block; margin-left: 0px; width: 0.410156px; font-size: 9.6px; font-family: ff6c; -webkit-text-stroke: 0.144px rgba(0, 0, 0, 0);"&gt;&lt;/span&gt;&lt;span style="display: inline-block;"&gt;eve&lt;/span&gt;&lt;span style="word-spacing: 0px; letter-spacing: 0px; display: inline-block; margin-left: 0px; width: 0.410156px; font-size: 9.6px; font-family: ff6c; -webkit-text-stroke: 0.144px rgba(0, 0, 0, 0);"&gt;&lt;/span&gt;&lt;span style="display: inline-block;"&gt;nu&lt;/span&gt;&lt;span style="word-spacing: 0px; letter-spacing: 0px; display: inline-block; margin-left: 0px; width: 0.410156px; font-size: 9.6px; font-family: ff6c; -webkit-text-stroke: 0.144px rgba(0, 0, 0, 0);"&gt;&lt;/span&gt;&lt;span style="display: inline-block;"&gt;e – &lt;/span&gt;&lt;/span&gt;&lt;span class="pp-font-color-override-1" style="position: absolute; display: inline-block; left: 611.984px; top: 34.4727px; width: 37.793px; white-space: pre; word-spacing: -0.1728px; letter-spacing: 0.1728px; margin-left: 0px; font-size: 9.6px; font-family: ff6c; -webkit-text-stroke: 0.144px rgba(0, 0, 0, 0);"&gt;&lt;span style="display: inline-block;"&gt;Advance &lt;/span&gt;&lt;span style="word-spacing: -0.1728px; letter-spacing: 0.1728px; display: inline-block; margin-left: -2.33175px; width: 0px; font-size: 9.6px; font-family: ff6c; -webkit-text-stroke: 0.144px rgba(0, 0, 0, 0);"&gt;&lt;/span&gt;&lt;span class="pp-font-color-override-1" style="word-spacing: 0px; letter-spacing: 0px; display: inline-block; margin-left: 0px; font-size: 9.6px; font-family: ff6c; -webkit-text-stroke: 0.144px rgba(0, 0, 0, 0);"&gt;&lt;span style="display: inline-block;"&gt; &lt;/span&gt;&lt;/span&gt;&lt;/span&gt;&lt;span class="pp-font-color-override-1" style="position: absolute; display: inline-block; left: 173.984px; top: 44.9727px; width: 64.4238px; white-space: pre; word-spacing: 0px; letter-spacing: 0px; margin-left: 0px; font-size: 9.6px; font-family: ff6c; -webkit-text-stroke: 0.144px rgba(0, 0, 0, 0);"&gt;&lt;span style="display: inline-block;"&gt;Sa&lt;/span&gt;&lt;span style="word-spacing: 0px; letter-spacing: 0px; display: inline-block; margin-left: 0px; width: 0.410156px; font-size: 9.6px; font-family: ff6c; -webkit-text-stroke: 0.144px rgba(0, 0, 0, 0);"&gt;&lt;/span&gt;&lt;span style="display: inline-block;"&gt;le&lt;/span&gt;&lt;span style="word-spacing: 0px; letter-spacing: 0px; display: inline-block; margin-left: 0px; width: 0.410156px; font-size: 9.6px; font-family: ff6c; -webkit-text-stroke: 0.144px rgba(0, 0, 0, 0);"&gt;&lt;/span&gt;&lt;span style="display: inline-block;"&gt;s ge&lt;/span&gt;&lt;span style="word-spacing: 0px; letter-spacing: 0px; display: inline-block; margin-left: 0px; width: 0.410156px; font-size: 9.6px; font-family: ff6c; -webkit-text-stroke: 0.144px rgba(0, 0, 0, 0);"&gt;&lt;/span&gt;&lt;span style="display: inline-block;"&gt;ne&lt;/span&gt;&lt;span style="word-spacing: 0px; letter-spacing: 0px; display: inline-block; margin-left: 0px; width: 0.410156px; font-size: 9.6px; font-family: ff6c; -webkit-text-stroke: 0.144px rgba(0, 0, 0, 0);"&gt;&lt;/span&gt;&lt;span style="display: inline-block;"&gt;ra&lt;/span&gt;&lt;span style="word-spacing: 0px; letter-spacing: 0px; display: inline-block; margin-left: 0px; width: 0.410156px; font-size: 9.6px; font-family: ff6c; -webkit-text-stroke: 0.144px rgba(0, 0, 0, 0);"&gt;&lt;/span&gt;&lt;span style="display: inline-block;"&gt;ted &lt;/span&gt;&lt;/span&gt;&lt;span class="pp-font-color-override-1" style="position: absolute; display: inline-block; left: 279.328px; top: 44.9727px; width: 61.2363px; white-space: pre; word-spacing: 0px; letter-spacing: 0px; margin-left: 0px; font-size: 9.6px; font-family: ff6c; -webkit-text-stroke: 0.144px rgba(0, 0, 0, 0);"&gt;&lt;span style="display: inline-block;"&gt;Re&lt;/span&gt;&lt;span style="word-spacing: 0px; letter-spacing: 0px; display: inline-block; margin-left: 0px; width: 0.410156px; font-size: 9.6px; font-family: ff6c; -webkit-text-stroke: 0.144px rgba(0, 0, 0, 0);"&gt;&lt;/span&gt;&lt;span style="display: inline-block;"&gt;si&lt;/span&gt;&lt;span style="word-spacing: 0px; letter-spacing: 0px; display: inline-block; margin-left: 0px; width: 0.410156px; font-size: 9.6px; font-family: ff6c; -webkit-text-stroke: 0.144px rgba(0, 0, 0, 0);"&gt;&lt;/span&gt;&lt;span style="display: inline-block;"&gt;du&lt;/span&gt;&lt;span style="word-spacing: 0px; letter-spacing: 0px; display: inline-block; margin-left: 0px; width: 0.410156px; font-size: 9.6px; font-family: ff6c; -webkit-text-stroke: 0.144px rgba(0, 0, 0, 0);"&gt;&lt;/span&gt;&lt;span style="display: inline-block;"&gt;al va&lt;/span&gt;&lt;span style="word-spacing: 0px; letter-spacing: 0px; display: inline-block; margin-left: 0px; width: 0.410156px; font-size: 9.6px; font-family: ff6c; -webkit-text-stroke: 0.144px rgba(0, 0, 0, 0);"&gt;&lt;/span&gt;&lt;span style="display: inline-block;"&gt;lu&lt;/span&gt;&lt;span style="word-spacing: 0px; letter-spacing: 0px; display: inline-block; margin-left: 0px; width: 0.410156px; font-size: 9.6px; font-family: ff6c; -webkit-text-stroke: 0.144px rgba(0, 0, 0, 0);"&gt;&lt;/span&gt;&lt;span style="display: inline-block;"&gt;e &lt;/span&gt;&lt;/span&gt;&lt;span class="pp-font-color-override-1" style="position: absolute; display: inline-block; left: 365.547px; top: 44.9727px; width: 69.6445px; white-space: pre; word-spacing: -0.2016px; letter-spacing: 0.2016px; margin-left: 0px; font-size: 9.6px; font-family: ff6c; -webkit-text-stroke: 0.144px rgba(0, 0, 0, 0);"&gt;&lt;span style="display: inline-block;"&gt;extended service &lt;/span&gt;&lt;/span&gt;&lt;span class="pp-font-color-override-1" style="position: absolute; display: inline-block; left: 453.984px; top: 44.9727px; width: 83.6484px; white-space: pre; word-spacing: 0px; letter-spacing: 0px; margin-left: 0px; font-size: 9.6px; font-family: ff6c; -webkit-text-stroke: 0.144px rgba(0, 0, 0, 0);"&gt;&lt;span style="display: inline-block;"&gt;sa&lt;/span&gt;&lt;span style="word-spacing: 0px; letter-spacing: 0px; display: inline-block; margin-left: 0px; width: 0.410156px; font-size: 9.6px; font-family: ff6c; -webkit-text-stroke: 0.144px rgba(0, 0, 0, 0);"&gt;&lt;/span&gt;&lt;span style="display: inline-block;"&gt;le w&lt;/span&gt;&lt;span style="word-spacing: 0px; letter-spacing: 0px; display: inline-block; margin-left: 0px; width: 0.410156px; font-size: 9.6px; font-family: ff6c; -webkit-text-stroke: 0.144px rgba(0, 0, 0, 0);"&gt;&lt;/span&gt;&lt;span style="display: inline-block;"&gt;ith r&lt;/span&gt;&lt;span style="word-spacing: 0px; letter-spacing: 0px; display: inline-block; margin-left: 0px; width: 0.410156px; font-size: 9.6px; font-family: ff6c; -webkit-text-stroke: 0.144px rgba(0, 0, 0, 0);"&gt;&lt;/span&gt;&lt;span style="display: inline-block;"&gt;ep&lt;/span&gt;&lt;span style="word-spacing: 0px; letter-spacing: 0px; display: inline-block; margin-left: 0px; width: 0.410156px; font-size: 9.6px; font-family: ff6c; -webkit-text-stroke: 0.144px rgba(0, 0, 0, 0);"&gt;&lt;/span&gt;&lt;span style="display: inline-block;"&gt;ur&lt;/span&gt;&lt;span style="word-spacing: 0px; letter-spacing: 0px; display: inline-block; margin-left: 0px; width: 0.410156px; font-size: 9.6px; font-family: ff6c; -webkit-text-stroke: 0.144px rgba(0, 0, 0, 0);"&gt;&lt;/span&gt;&lt;span style="display: inline-block;"&gt;ch&lt;/span&gt;&lt;span style="word-spacing: 0px; letter-spacing: 0px; display: inline-block; margin-left: 0px; width: 0.410156px; font-size: 9.6px; font-family: ff6c; -webkit-text-stroke: 0.144px rgba(0, 0, 0, 0);"&gt;&lt;/span&gt;&lt;span style="display: inline-block;"&gt;as&lt;/span&gt;&lt;span style="word-spacing: 0px; letter-spacing: 0px; display: inline-block; margin-left: 0px; width: 0.410156px; font-size: 9.6px; font-family: ff6c; -webkit-text-stroke: 0.144px rgba(0, 0, 0, 0);"&gt;&lt;/span&gt;&lt;span style="display: inline-block;"&gt;e &lt;/span&gt;&lt;/span&gt;&lt;span class="pp-font-color-override-1" style="position: absolute; display: inline-block; left: 582.078px; top: 44.9727px; width: 62.3906px; white-space: pre; word-spacing: 0px; letter-spacing: 0px; margin-left: 0px; font-size: 9.6px; font-family: ff6c; -webkit-text-stroke: 0.144px rgba(0, 0, 0, 0);"&gt;&lt;span style="display: inline-block;"&gt;pay&lt;/span&gt;&lt;span style="word-spacing: 0px; letter-spacing: 0px; display: inline-block; margin-left: 0px; width: 0.410156px; font-size: 9.6px; font-family: ff6c; -webkit-text-stroke: 0.144px rgba(0, 0, 0, 0);"&gt;&lt;/span&gt;&lt;span style="display: inline-block;"&gt;m&lt;/span&gt;&lt;span style="word-spacing: 0px; letter-spacing: 0px; display: inline-block; margin-left: 0px; width: 0.410156px; font-size: 9.6px; font-family: ff6c; -webkit-text-stroke: 0.144px rgba(0, 0, 0, 0);"&gt;&lt;/span&gt;&lt;span style="display: inline-block;"&gt;ent&lt;/span&gt;&lt;span style="word-spacing: 0px; letter-spacing: 0px; display: inline-block; margin-left: 0px; width: 0.410156px; font-size: 9.6px; font-family: ff6c; -webkit-text-stroke: 0.144px rgba(0, 0, 0, 0);"&gt;&lt;/span&gt;&lt;span style="display: inline-block;"&gt;s f&lt;/span&gt;&lt;span style="word-spacing: 0px; letter-spacing: 0px; display: inline-block; margin-left: 0px; width: 0.410156px; font-size: 9.6px; font-family: ff6c; -webkit-text-stroke: 0.144px rgba(0, 0, 0, 0);"&gt;&lt;/span&gt;&lt;span style="display: inline-block;"&gt;ro&lt;/span&gt;&lt;span style="word-spacing: 0px; letter-spacing: 0px; display: inline-block; margin-left: 0px; width: 0.410156px; font-size: 9.6px; font-family: ff6c; -webkit-text-stroke: 0.144px rgba(0, 0, 0, 0);"&gt;&lt;/span&gt;&lt;span style="display: inline-block;"&gt;m &lt;/span&gt;&lt;span style="word-spacing: 0px; letter-spacing: 0px; display: inline-block; margin-left: -2.33175px; width: 0px; font-size: 9.6px; font-family: ff6c; -webkit-text-stroke: 0.144px rgba(0, 0, 0, 0);"&gt;&lt;/span&gt;&lt;span style="display: inline-block;"&gt; &lt;/span&gt;&lt;/span&gt;&lt;span class="pp-font-color-override-1" style="position: absolute; display: inline-block; left: 196.859px; top: 55.4727px; width: 44.877px; white-space: pre; word-spacing: -0.2016px; letter-spacing: 0.2016px; margin-left: 0px; font-size: 9.6px; font-family: ff6c; -webkit-text-stroke: 0.144px rgba(0, 0, 0, 0);"&gt;&lt;span style="display: inline-block;"&gt;obligations&lt;/span&gt;&lt;/span&gt;&lt;span class="pp-font-color-override-1" style="position: absolute; display: inline-block; left: 293.047px; top: 55.4727px; width: 42.7617px; white-space: pre; word-spacing: -0.1728px; letter-spacing: 0.1728px; margin-left: 0px; font-size: 9.6px; font-family: ff6c; -webkit-text-stroke: 0.144px rgba(0, 0, 0, 0);"&gt;&lt;span style="display: inline-block;"&gt;guarantees&lt;/span&gt;&lt;/span&gt;&lt;span class="pp-font-color-override-1" style="position: absolute; display: inline-block; left: 403.766px; top: 55.4727px; width: 34.2949px; white-space: pre; word-spacing: -0.2208px; letter-spacing: 0.2208px; margin-left: 0px; font-size: 9.6px; font-family: ff6c; -webkit-text-stroke: 0.144px rgba(0, 0, 0, 0);"&gt;&lt;span style="display: inline-block;"&gt;business&lt;/span&gt;&lt;/span&gt;&lt;span class="pp-font-color-override-1" style="position: absolute; display: inline-block; left: 490.453px; top: 55.4727px; width: 50.5312px; white-space: pre; word-spacing: -0.2016px; letter-spacing: 0.2016px; margin-left: 0px; font-size: 9.6px; font-family: ff6c; -webkit-text-stroke: 0.144px rgba(0, 0, 0, 0);"&gt;&lt;span style="display: inline-block;"&gt;commitment&lt;/span&gt;&lt;/span&gt;&lt;span class="pp-font-color-override-1" style="position: absolute; display: inline-block; left: 603.141px; top: 55.4727px; width: 129.609px; white-space: pre; word-spacing: -0.2016px; letter-spacing: 0.2016px; margin-left: 0px; font-size: 9.6px; font-family: ff6c; -webkit-text-stroke: 0.144px rgba(0, 0, 0, 0);"&gt;&lt;span style="display: inline-block;"&gt;customers&lt;/span&gt;&lt;span style="word-spacing: -0.2016px; letter-spacing: 0.2016px; display: inline-block; margin-left: 0px; width: 68.3846px; font-size: 9.6px; font-family: ff6c; -webkit-text-stroke: 0.144px rgba(0, 0, 0, 0);"&gt;&lt;span style="display: inline-block;"&gt; &lt;/span&gt;&lt;/span&gt;&lt;span class="pp-font-color-override-1" style="word-spacing: -0.1824px; letter-spacing: 0.1824px; display: inline-block; margin-left: 0px; font-size: 9.6px; font-family: ff6f; -webkit-text-stroke: 0.144px rgba(0, 0, 0, 0);"&gt;&lt;span style="display: inline-block;"&gt;T&lt;/span&gt;&lt;span style="word-spacing: -0.1824px; letter-spacing: 0.1824px; display: inline-block; margin-left: -0.684px; width: 0px; font-size: 9.6px; font-family: ff6f; -webkit-text-stroke: 0.144px rgba(0, 0, 0, 0);"&gt;&lt;/span&gt;&lt;span style="display: inline-block;"&gt;otal&lt;/span&gt;&lt;/span&gt;&lt;/span&gt;&lt;span class="pp-font-color-override-1" style="position: absolute; display: inline-block; left: 1.51562px; top: 77.8359px; width: 283.459px; white-space: pre; word-spacing: -0.168px; letter-spacing: 0.1995px; margin-left: 0px; font-size: 10.5px; font-family: ff6f; -webkit-text-stroke: 0.1575px rgba(0, 0, 0, 0);"&gt;&lt;span style="display: inline-block;"&gt;Balance at 1 January 202&lt;/span&gt;&lt;span style="word-spacing: -0.168px; letter-spacing: 0.1995px; display: inline-block; margin-left: -0.684px; width: 0px; font-size: 10.5px; font-family: ff6f; -webkit-text-stroke: 0.1575px rgba(0, 0, 0, 0);"&gt;&lt;/span&gt;&lt;span style="display: inline-block;"&gt;4&lt;/span&gt;&lt;span style="word-spacing: -0.168px; letter-spacing: 0.1995px; display: inline-block; margin-left: 0px; width: 73.9511px; font-size: 10.5px; font-family: ff6f; -webkit-text-stroke: 0.1575px rgba(0, 0, 0, 0);"&gt;&lt;span style="display: inline-block;"&gt; &lt;/span&gt;&lt;/span&gt;&lt;span class="pp-font-color-override-1" style="word-spacing: 0.1365px; letter-spacing: -0.1365px; display: inline-block; margin-left: 0px; font-size: 10.5px; font-family: ff6f; -webkit-text-stroke: 0.1575px rgba(0, 0, 0, 0);"&gt;&lt;span style="display: inline-block;"&gt;21&lt;/span&gt;&lt;span style="word-spacing: 0.1365px; letter-spacing: -0.1365px; display: inline-block; margin-left: 0px; width: 0.410156px; font-size: 10.5px; font-family: ff6f; -webkit-text-stroke: 0.1575px rgba(0, 0, 0, 0);"&gt;&lt;/span&gt;&lt;span style="display: inline-block;"&gt;,70&lt;/span&gt;&lt;span style="word-spacing: 0.1365px; letter-spacing: -0.1365px; display: inline-block; margin-left: 0px; width: 0.410156px; font-size: 10.5px; font-family: ff6f; -webkit-text-stroke: 0.1575px rgba(0, 0, 0, 0);"&gt;&lt;/span&gt;&lt;span style="display: inline-block;"&gt;3&lt;/span&gt;&lt;span style="word-spacing: 0.1365px; letter-spacing: -0.1365px; display: inline-block; margin-left: 0px; width: 66.1815px; font-size: 10.5px; font-family: ff6f; -webkit-text-stroke: 0.1575px rgba(0, 0, 0, 0);"&gt;&lt;span style="display: inline-block;"&gt;&lt;span style="width: 2.625px; display: inline-block;"&gt; &lt;/span&gt;&lt;/span&gt;&lt;/span&gt;&lt;/span&gt;&lt;/span&gt;&lt;span class="pp-font-color-override-1" style="position: absolute; display: inline-block; left: 284.975px; top: 77.8359px; width: 93.5039px; white-space: pre; word-spacing: -0.168px; letter-spacing: 0.168px; margin-left: 0px; font-size: 10.5px; font-family: ff6f; -webkit-text-stroke: 0.1575px rgba(0, 0, 0, 0);"&gt;&lt;span style="display: inline-block;"&gt;3,942&lt;/span&gt;&lt;span style="word-spacing: -0.168px; letter-spacing: 0.168px; display: inline-block; margin-left: 0px; width: 69.0352px; font-size: 10.5px; font-family: ff6f; -webkit-text-stroke: 0.1575px rgba(0, 0, 0, 0);"&gt;&lt;span style="display: inline-block;"&gt; &lt;/span&gt;&lt;/span&gt;&lt;/span&gt;&lt;span class="pp-font-color-override-1" style="position: absolute; display: inline-block; left: 378.479px; top: 77.8359px; width: 97.459px; white-space: pre; word-spacing: 0.168px; letter-spacing: -0.168px; margin-left: 0px; font-size: 10.5px; font-family: ff6f; -webkit-text-stroke: 0.1575px rgba(0, 0, 0, 0);"&gt;&lt;span style="display: inline-block;"&gt;9,&lt;/span&gt;&lt;span style="word-spacing: 0.168px; letter-spacing: -0.168px; display: inline-block; margin-left: 0px; width: 0.410156px; font-size: 10.5px; font-family: ff6f; -webkit-text-stroke: 0.1575px rgba(0, 0, 0, 0);"&gt;&lt;/span&gt;&lt;span style="display: inline-block;"&gt;4&lt;/span&gt;&lt;span style="word-spacing: 0.168px; letter-spacing: -0.168px; display: inline-block; margin-left: 0px; width: 0.925781px; font-size: 10.5px; font-family: ff6f; -webkit-text-stroke: 0.1575px rgba(0, 0, 0, 0);"&gt;&lt;/span&gt;&lt;span style="display: inline-block;"&gt;47&lt;/span&gt;&lt;span style="word-spacing: 0.168px; letter-spacing: -0.168px; display: inline-block; margin-left: 0px; width: 73.3301px; font-size: 10.5px; font-family: ff6f; -webkit-text-stroke: 0.1575px rgba(0, 0, 0, 0);"&gt;&lt;span style="display: inline-block;"&gt;&lt;span style="width: 2.625px; display: inline-block;"&gt; &lt;/span&gt;&lt;/span&gt;&lt;/span&gt;&lt;/span&gt;&lt;span class="pp-font-color-override-1" style="position: absolute; display: inline-block; left: 475.938px; top: 77.8359px; width: 207.246px; white-space: pre; word-spacing: -0.105px; letter-spacing: 0.105px; margin-left: 0px; font-size: 10.5px; font-family: ff6f; -webkit-text-stroke: 0.1575px rgba(0, 0, 0, 0);"&gt;&lt;span style="display: inline-block;"&gt;2,0&lt;/span&gt;&lt;span style="word-spacing: -0.105px; letter-spacing: 0.105px; display: inline-block; margin-left: 0px; width: 0.410156px; font-size: 10.5px; font-family: ff6f; -webkit-text-stroke: 0.1575px rgba(0, 0, 0, 0);"&gt;&lt;/span&gt;&lt;span style="display: inline-block;"&gt;04&lt;/span&gt;&lt;span style="word-spacing: -0.105px; letter-spacing: 0.105px; display: inline-block; margin-left: 0px; width: 73.3301px; font-size: 10.5px; font-family: ff6f; -webkit-text-stroke: 0.1575px rgba(0, 0, 0, 0);"&gt;&lt;span style="display: inline-block;"&gt; &lt;/span&gt;&lt;/span&gt;&lt;span class="pp-font-color-override-1" style="word-spacing: -0.1575px; letter-spacing: 0.1575px; display: inline-block; margin-left: 0px; font-size: 10.5px; font-family: ff6f; -webkit-text-stroke: 0.1575px rgba(0, 0, 0, 0);"&gt;&lt;span style="display: inline-block;"&gt;1,86&lt;/span&gt;&lt;span style="word-spacing: -0.1575px; letter-spacing: 0.1575px; display: inline-block; margin-left: 0px; width: 0.410156px; font-size: 10.5px; font-family: ff6f; -webkit-text-stroke: 0.1575px rgba(0, 0, 0, 0);"&gt;&lt;/span&gt;&lt;span style="display: inline-block;"&gt;9&lt;/span&gt;&lt;span style="word-spacing: -0.1575px; letter-spacing: 0.1575px; display: inline-block; margin-left: 0px; width: 54.504px; font-size: 10.5px; font-family: ff6f; -webkit-text-stroke: 0.1575px rgba(0, 0, 0, 0);"&gt;&lt;span style="display: inline-block;"&gt; &lt;/span&gt;&lt;/span&gt;&lt;span class="pp-font-color-override-1" style="word-spacing: -0.3045px; letter-spacing: 0.3045px; display: inline-block; margin-left: 0px; font-size: 10.5px; font-family: ff6f; -webkit-text-stroke: 0.1575px rgba(0, 0, 0, 0);"&gt;&lt;span style="display: inline-block;"&gt;38,9&lt;/span&gt;&lt;span style="word-spacing: -0.3045px; letter-spacing: 0.3045px; display: inline-block; margin-left: -0.684px; width: 0px; font-size: 10.5px; font-family: ff6f; -webkit-text-stroke: 0.1575px rgba(0, 0, 0, 0);"&gt;&lt;/span&gt;&lt;span style="display: inline-block;"&gt;65&lt;/span&gt;&lt;/span&gt;&lt;/span&gt;&lt;/span&gt;&lt;span class="pp-font-color-override-1" style="position: absolute; display: inline-block; left: 1.51562px; top: 93.8047px; width: 197.924px; white-space: pre; word-spacing: 0px; letter-spacing: 0.0315px; margin-left: 0px; font-size: 10.5px; font-family: ff70; -webkit-text-stroke: 0.1575px rgba(0, 0, 0, 0);"&gt;&lt;span style="display: inline-block;"&gt;Prov&lt;/span&gt;&lt;span style="word-spacing: 0px; letter-spacing: 0.0315px; display: inline-block; margin-left: 0px; width: 0.410156px; font-size: 10.5px; font-family: ff70; -webkit-text-stroke: 0.1575px rgba(0, 0, 0, 0);"&gt;&lt;/span&gt;&lt;span style="display: inline-block;"&gt;id&lt;/span&gt;&lt;span style="word-spacing: 0px; letter-spacing: 0.0315px; display: inline-block; margin-left: 0px; width: 0.410156px; font-size: 10.5px; font-family: ff70; -webkit-text-stroke: 0.1575px rgba(0, 0, 0, 0);"&gt;&lt;/span&gt;&lt;span style="display: inline-block;"&gt;ed fo&lt;/span&gt;&lt;span style="word-spacing: 0px; letter-spacing: 0.0315px; display: inline-block; margin-left: 0px; width: 0.410156px; font-size: 10.5px; font-family: ff70; -webkit-text-stroke: 0.1575px rgba(0, 0, 0, 0);"&gt;&lt;/span&gt;&lt;span style="display: inline-block;"&gt;r du&lt;/span&gt;&lt;span style="word-spacing: 0px; letter-spacing: 0.0315px; display: inline-block; margin-left: 0px; width: 0.410156px; font-size: 10.5px; font-family: ff70; -webkit-text-stroke: 0.1575px rgba(0, 0, 0, 0);"&gt;&lt;/span&gt;&lt;span style="display: inline-block;"&gt;ring t&lt;/span&gt;&lt;span style="word-spacing: 0px; letter-spacing: 0.0315px; display: inline-block; margin-left: 0px; width: 0.410156px; font-size: 10.5px; font-family: ff70; -webkit-text-stroke: 0.1575px rgba(0, 0, 0, 0);"&gt;&lt;/span&gt;&lt;span style="display: inline-block;"&gt;he ye&lt;/span&gt;&lt;span style="word-spacing: 0px; letter-spacing: 0.0315px; display: inline-block; margin-left: 0px; width: 0.410156px; font-size: 10.5px; font-family: ff70; -webkit-text-stroke: 0.1575px rgba(0, 0, 0, 0);"&gt;&lt;/span&gt;&lt;span style="display: inline-block;"&gt;ar&lt;/span&gt;&lt;span style="word-spacing: 0px; letter-spacing: 0.0315px; display: inline-block; margin-left: 0px; width: 75.5977px; font-size: 10.5px; font-family: ff70; -webkit-text-stroke: 0.1575px rgba(0, 0, 0, 0);"&gt;&lt;span style="display: inline-block;"&gt; &lt;/span&gt;&lt;/span&gt;&lt;/span&gt;&lt;span class="pp-font-color-override-1" style="position: absolute; display: inline-block; left: 199.439px; top: 93.8047px; width: 98.4844px; white-space: pre; word-spacing: 0.546px; letter-spacing: -0.546px; margin-left: 0px; font-size: 10.5px; font-family: ff70; -webkit-text-stroke: 0.1575px rgba(0, 0, 0, 0);"&gt;&lt;span style="display: inline-block;"&gt;6&lt;/span&gt;&lt;span style="word-spacing: 0.546px; letter-spacing: -0.546px; display: inline-block; margin-left: 0px; width: 0.410156px; font-size: 10.5px; font-family: ff70; -webkit-text-stroke: 0.1575px rgba(0, 0, 0, 0);"&gt;&lt;/span&gt;&lt;span style="display: inline-block;"&gt;7,&lt;/span&gt;&lt;span style="word-spacing: 0.546px; letter-spacing: -0.546px; display: inline-block; margin-left: 0px; width: 0.925781px; font-size: 10.5px; font-family: ff70; -webkit-text-stroke: 0.1575px rgba(0, 0, 0, 0);"&gt;&lt;/span&gt;&lt;span style="display: inline-block;"&gt;9&lt;/span&gt;&lt;span style="word-spacing: 0.546px; letter-spacing: -0.546px; display: inline-block; margin-left: 0px; width: 0.410156px; font-size: 10.5px; font-family: ff70; -webkit-text-stroke: 0.1575px rgba(0, 0, 0, 0);"&gt;&lt;/span&gt;&lt;span style="display: inline-block;"&gt;3&lt;/span&gt;&lt;span style="word-spacing: 0.546px; letter-spacing: -0.546px; display: inline-block; margin-left: 0px; width: 0.925781px; font-size: 10.5px; font-family: ff70; -webkit-text-stroke: 0.1575px rgba(0, 0, 0, 0);"&gt;&lt;/span&gt;&lt;span style="display: inline-block;"&gt;8&lt;/span&gt;&lt;span style="word-spacing: 0.546px; letter-spacing: -0.546px; display: inline-block; margin-left: 0px; width: 70.2071px; font-size: 10.5px; font-family: ff70; -webkit-text-stroke: 0.1575px rgba(0, 0, 0, 0);"&gt;&lt;span style="display: inline-block;"&gt;&lt;span style="width: 2.625px; display: inline-block;"&gt; &lt;/span&gt;&lt;/span&gt;&lt;/span&gt;&lt;/span&gt;&lt;span class="pp-font-color-override-1" style="position: absolute; display: inline-block; left: 297.924px; top: 93.8047px; width: 89.625px; white-space: pre; word-spacing: 0.0105px; letter-spacing: -0.0105px; margin-left: 0px; font-size: 10.5px; font-family: ff70; -webkit-text-stroke: 0.1575px rgba(0, 0, 0, 0);"&gt;&lt;span style="display: inline-block;"&gt;2,&lt;/span&gt;&lt;span style="word-spacing: 0.0105px; letter-spacing: -0.0105px; display: inline-block; margin-left: 0px; width: 0.410156px; font-size: 10.5px; font-family: ff70; -webkit-text-stroke: 0.1575px rgba(0, 0, 0, 0);"&gt;&lt;/span&gt;&lt;span style="display: inline-block;"&gt;891&lt;/span&gt;&lt;span style="word-spacing: 0.0105px; letter-spacing: -0.0105px; display: inline-block; margin-left: 0px; width: 65.6366px; font-size: 10.5px; font-family: ff70; -webkit-text-stroke: 0.1575px rgba(0, 0, 0, 0);"&gt;&lt;span style="display: inline-block;"&gt;&lt;span style="width: 2.625px; display: inline-block;"&gt; &lt;/span&gt;&lt;/span&gt;&lt;/span&gt;&lt;/span&gt;&lt;span class="pp-font-color-override-1" style="position: absolute; display: inline-block; left: 387.549px; top: 93.8047px; width: 104.414px; white-space: pre; word-spacing: 0.147px; letter-spacing: -0.147px; margin-left: 0px; font-size: 10.5px; font-family: ff70; -webkit-text-stroke: 0.1575px rgba(0, 0, 0, 0);"&gt;&lt;span style="display: inline-block;"&gt;13,&lt;/span&gt;&lt;span style="word-spacing: 0.147px; letter-spacing: -0.147px; display: inline-block; margin-left: 0px; width: 0.410156px; font-size: 10.5px; font-family: ff70; -webkit-text-stroke: 0.1575px rgba(0, 0, 0, 0);"&gt;&lt;/span&gt;&lt;span style="display: inline-block;"&gt;5&lt;/span&gt;&lt;span style="word-spacing: 0.147px; letter-spacing: -0.147px; display: inline-block; margin-left: 0px; width: 0.410156px; font-size: 10.5px; font-family: ff70; -webkit-text-stroke: 0.1575px rgba(0, 0, 0, 0);"&gt;&lt;/span&gt;&lt;span style="display: inline-block;"&gt;82&lt;/span&gt;&lt;span style="word-spacing</t>
  </si>
  <si>
    <t>f1__s8__6__44-1</t>
  </si>
  <si>
    <t>ifrs-full:DisclosureOfExpensesExplanatory</t>
  </si>
  <si>
    <t>&lt;span style="display:inherit;clear:left;"&gt;NOT&lt;span class="_ _7"&gt;&lt;/span&gt;E 3&lt;/span&gt;&lt;span style="display:inherit;clear:left;"&gt;EX&lt;span class="_ _7"&gt;&lt;/span&gt;PENS&lt;span class="_ _7"&gt;&lt;/span&gt;ES BY NA&lt;span class="_ _2"&gt;&lt;/span&gt;T&lt;span class="_ _7"&gt;&lt;/span&gt;URE&lt;/span&gt;&lt;span style="display:inherit;clear:left;position:relative;height:111.51953125px;"&gt;&lt;span class="pp-font-color-override-1" style="position: absolute; display: inline-block; left: 258.891px; top: 0.0039062px; width: 73.8281px;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35.0918px;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inline-block;"&gt;2&lt;/span&gt;&lt;span style="word-spacing: 0.0576px; letter-spacing: -0.0576px; display: inline-block; margin-left: 0px; width: 0.410156px; font-size: 9.6px; font-family: ff6c; -webkit-text-stroke: 0.144px rgba(0, 0, 0, 0);"&gt;&lt;/span&gt;&lt;span style="display: inline-block;"&gt;024&lt;/span&gt;&lt;/span&gt;&lt;/span&gt;&lt;span class="pp-font-color-override-1" style="position: absolute; display: inline-block; left: 0px; top: 22.6348px; width: 169.77px; white-space: pre; word-spacing: -0.147px; letter-spacing: 0.1785px; margin-left: 0px; font-size: 10.5px; font-family: ff70; -webkit-text-stroke: 0.1575px rgba(0, 0, 0, 0);"&gt;&lt;span style="display: inline-block;"&gt;Material cost incl. freight, distribution &lt;/span&gt;&lt;/span&gt;&lt;span class="pp-font-color-override-1" style="position: absolute; display: inline-block; left: 0px; top: 34.6348px; width: 324.562px; white-space: pre; word-spacing: -0.147px; letter-spacing: 0.1785px; margin-left: 0px; font-size: 10.5px; font-family: ff70; -webkit-text-stroke: 0.1575px rgba(0, 0, 0, 0);"&gt;&lt;span style="display: inline-block;"&gt;and warranty&lt;/span&gt;&lt;span style="word-spacing: -0.147px; letter-spacing: 0.1785px; display: inline-block; margin-left: 0px; width: 174.885px; font-size: 10.5px; font-family: ff70; -webkit-text-stroke: 0.1575px rgba(0, 0, 0, 0);"&gt;&lt;span style="display: inline-block;"&gt; &lt;/span&gt;&lt;/span&gt;&lt;span class="pp-font-color-override-1" style="word-spacing: 0.3885px; letter-spacing: -0.3885px; display: inline-block; margin-left: 0px; font-size: 10.5px; font-family: ff70; -webkit-text-stroke: 0.1575px rgba(0, 0, 0, 0);"&gt;&lt;span style="display: inline-block;"&gt;–24&lt;/span&gt;&lt;span style="word-spacing: 0.3885px; letter-spacing: -0.3885px; display: inline-block; margin-left: 0px; width: 0.925781px; font-size: 10.5px; font-family: ff70; -webkit-text-stroke: 0.1575px rgba(0, 0, 0, 0);"&gt;&lt;/span&gt;&lt;span style="display: inline-block;"&gt;8&lt;/span&gt;&lt;span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0.410156px; font-size: 10.5px; font-family: ff70; -webkit-text-stroke: 0.1575px rgba(0, 0, 0, 0);"&gt;&lt;/span&gt;&lt;span style="display: inline-block;"&gt;0&lt;/span&gt;&lt;span style="word-spacing: 0.3885px; letter-spacing: -0.3885px; display: inline-block; margin-left: 0px; width: 0.410156px; font-size: 10.5px; font-family: ff70; -webkit-text-stroke: 0.1575px rgba(0, 0, 0, 0);"&gt;&lt;/span&gt;&lt;span style="display: inline-block;"&gt;8&lt;/span&gt;&lt;span style="word-spacing: 0.3885px; letter-spacing: -0.3885px; display: inline-block; margin-left: 0px; width: 14.3554px; font-size: 10.5px; font-family: ff70; -webkit-text-stroke: 0.1575px rgba(0, 0, 0, 0);"&gt;&lt;span style="display: inline-block;"&gt;&lt;span style="width: 2.625px; display: inline-block;"&gt; &lt;/span&gt;&lt;/span&gt;&lt;/span&gt;&lt;span class="pp-font-color-override-1" style="word-spacing: 0px; letter-spacing: 0px; display: inline-block; margin-left: 0px; font-size: 10.5px; font-family: ff70; -webkit-text-stroke: 0.1575px rgba(0, 0, 0, 0);"&gt;&lt;span style="display: inline-block;"&gt;–273,8&lt;/span&gt;&lt;span style="word-spacing: 0px; letter-spacing: 0px; display: inline-block; margin-left: 0px; width: 0.410156px; font-size: 10.5px; font-family: ff70; -webkit-text-stroke: 0.1575px rgba(0, 0, 0, 0);"&gt;&lt;/span&gt;&lt;span style="display: inline-block;"&gt;52&lt;/span&gt;&lt;/span&gt;&lt;/span&gt;&lt;/span&gt;&lt;span class="pp-font-color-override-1" style="position: absolute; display: inline-block; left: 50.0938px; top: 50.5996px; width: 5.4375px; white-space: pre; word-spacing: 0.0131175px; letter-spacing: -0.0131175px; margin-left: 0px; font-size: 6.55875px; font-family: ff70; -webkit-text-stroke: 0.0983813px rgba(0, 0, 0, 0);"&gt;&lt;span style="display: inline-block;"&gt;1)&lt;/span&gt;&lt;/span&gt;&lt;span class="pp-font-color-override-1" style="position: absolute; display: inline-block; left: 0px; top: 51.3223px; width: 43.6816px; white-space: pre; word-spacing: -0.252px; letter-spacing: 0.252px; margin-left: 0px; font-size: 10.5px; font-family: ff70; -webkit-text-stroke: 0.1575px rgba(0, 0, 0, 0);"&gt;&lt;span style="display: inline-block;"&gt;Personnel&lt;/span&gt;&lt;/span&gt;&lt;span class="pp-font-color-override-1" style="position: absolute; display: inline-block; left: 247.594px; top: 51.3223px; width: 87.0879px; white-space: pre; word-spacing: 0.3465px; letter-spacing: -0.3465px; margin-left: 0px; font-size: 10.5px; font-family: ff70; -webkit-text-stroke: 0.1575px rgba(0, 0, 0, 0);"&gt;&lt;span style="display: inline-block;"&gt;–&lt;/span&gt;&lt;span style="word-spacing: 0.3465px; letter-spacing: -0.3465px; display: inline-block; margin-left: 0px; width: 0.410156px; font-size: 10.5px; font-family: ff70; -webkit-text-stroke: 0.1575px rgba(0, 0, 0, 0);"&gt;&lt;/span&gt;&lt;span style="display: inline-block;"&gt;41&lt;/span&gt;&lt;span style="word-spacing: 0.3465px; letter-spacing: -0.3465px; display: inline-block; margin-left: 0px; width: 0.410156px; font-size: 10.5px; font-family: ff70; -webkit-text-stroke: 0.1575px rgba(0, 0, 0, 0);"&gt;&lt;/span&gt;&lt;span style="display: inline-block;"&gt;,&lt;/span&gt;&lt;span style="word-spacing: 0.3465px; letter-spacing: -0.3465px; display: inline-block; margin-left: 0px; width: 0.925781px; font-size: 10.5px; font-family: ff70; -webkit-text-stroke: 0.1575px rgba(0, 0, 0, 0);"&gt;&lt;/span&gt;&lt;span style="display: inline-block;"&gt;62&lt;/span&gt;&lt;span style="word-spacing: 0.3465px; letter-spacing: -0.3465px; display: inline-block; margin-left: 0px; width: 0.410156px; font-size: 10.5px; font-family: ff70; -webkit-text-stroke: 0.1575px rgba(0, 0, 0, 0);"&gt;&lt;/span&gt;&lt;span style="display: inline-block;"&gt;7&lt;/span&gt;&lt;span style="word-spacing: 0.3465px; letter-spacing: -0.3465px; display: inline-block; margin-left: 0px; width: 17.8301px; font-size: 10.5px; font-family: ff70; -webkit-text-stroke: 0.1575px rgba(0, 0, 0, 0);"&gt;&lt;span style="display: inline-block;"&gt;&lt;span style="width: 2.625px; display: inline-block;"&gt; &lt;/span&gt;&lt;/span&gt;&lt;/span&gt;&lt;span class="pp-font-color-override-1" style="word-spacing: -0.063px; letter-spacing: 0.063px; display: inline-block; margin-left: 0px; font-size: 10.5px; font-family: ff70; -webkit-text-stroke: 0.1575px rgba(0, 0, 0, 0);"&gt;&lt;span style="display: inline-block;"&gt;–&lt;/span&gt;&lt;span style="word-spacing: -0.063px; letter-spacing: 0.063px; display: inline-block; margin-left: 0px; width: 0.410156px; font-size: 10.5px; font-family: ff70; -webkit-text-stroke: 0.1575px rgba(0, 0, 0, 0);"&gt;&lt;/span&gt;&lt;span style="display: inline-block;"&gt;44&lt;/span&gt;&lt;span style="word-spacing: -0.063px; letter-spacing: 0.063px; display: inline-block; margin-left: 0px; width: 0.410156px; font-size: 10.5px; font-family: ff70; -webkit-text-stroke: 0.1575px rgba(0, 0, 0, 0);"&gt;&lt;/span&gt;&lt;span style="display: inline-block;"&gt;,985&lt;/span&gt;&lt;/span&gt;&lt;/span&gt;&lt;span class="pp-font-color-override-1" style="position: absolute; display: inline-block; left: 0px; top: 67.291px; width: 317.9px; white-space: pre; word-spacing: -0.1155px; letter-spacing: 0.1155px; margin-left: 0px; font-size: 10.5px; font-family: ff70; -webkit-text-stroke: 0.1575px rgba(0, 0, 0, 0);"&gt;&lt;span style="display: inline-block;"&gt;Amor&lt;/span&gt;&lt;span style="word-spacing: -0.1155px; letter-spacing: 0.1155px; display: inline-block; margin-left: 0px; width: 0.410156px; font-size: 10.5px; font-family: ff70; -webkit-text-stroke: 0.1575px rgba(0, 0, 0, 0);"&gt;&lt;/span&gt;&lt;span style="display: inline-block;"&gt;tis&lt;/span&gt;&lt;span style="word-spacing: -0.1155px; letter-spacing: 0.1155px; display: inline-block; margin-left: 0px; width: 0.410156px; font-size: 10.5px; font-family: ff70; -webkit-text-stroke: 0.1575px rgba(0, 0, 0, 0);"&gt;&lt;/span&gt;&lt;span style="display: inline-block;"&gt;ation&lt;/span&gt;&lt;span style="word-spacing: -0.1155px; letter-spacing: 0.1155px; display: inline-block; margin-left: 0px; width: 0.410156px; font-size: 10.5px; font-family: ff70; -webkit-text-stroke: 0.1575px rgba(0, 0, 0, 0);"&gt;&lt;/span&gt;&lt;span style="display: inline-block;"&gt;/depreciatio&lt;/span&gt;&lt;span style="word-spacing: -0.1155px; letter-spacing: 0.1155px; display: inline-block; margin-left: 0px; width: 0.410156px; font-size: 10.5px; font-family: ff70; -webkit-text-stroke: 0.1575px rgba(0, 0, 0, 0);"&gt;&lt;/span&gt;&lt;span style="display: inline-block;"&gt;n&lt;/span&gt;&lt;span style="word-spacing: -0.1155px; letter-spacing: 0.1155px; display: inline-block; margin-left: 0px; width: 114.387px; font-size: 10.5px; font-family: ff70; -webkit-text-stroke: 0.1575px rgba(0, 0, 0, 0);"&gt;&lt;span style="display: inline-block;"&gt; &lt;/span&gt;&lt;/span&gt;&lt;span class="pp-font-color-override-1" style="word-spacing: 0.231px; letter-spacing: -0.231px; display: inline-block; margin-left: 0px; font-size: 10.5px; font-family: ff70; -webkit-text-stroke: 0.1575px rgba(0, 0, 0, 0);"&gt;&lt;span style="display: inline-block;"&gt;–23&lt;/span&gt;&lt;span style="word-spacing: 0.231px; letter-spacing: -0.231px; display: inline-block; margin-left: 0px; width: 0.410156px; font-size: 10.5px; font-family: ff70; -webkit-text-stroke: 0.1575px rgba(0, 0, 0, 0);"&gt;&lt;/span&gt;&lt;span style="display: inline-block;"&gt;,&lt;/span&gt;&lt;span style="word-spacing: 0.231px; letter-spacing: -0.231px; display: inline-block; margin-left: 0px; width: 0.410156px; font-size: 10.5px; font-family: ff70; -webkit-text-stroke: 0.1575px rgba(0, 0, 0, 0);"&gt;&lt;/span&gt;&lt;span style="display: inline-block;"&gt;9&lt;/span&gt;&lt;span style="word-spacing: 0.231px; letter-spacing: -0.231px; display: inline-block; margin-left: 0px; width: 0.410156px; font-size: 10.5px; font-family: ff70; -webkit-text-stroke: 0.1575px rgba(0, 0, 0, 0);"&gt;&lt;/span&gt;&lt;span style="display: inline-block;"&gt;4&lt;/span&gt;&lt;span style="word-spacing: 0.231px; letter-spacing: -0.231px; display: inline-block; margin-left: 0px; width: 0.410156px; font-size: 10.5px; font-family: ff70; -webkit-text-stroke: 0.1575px rgba(0, 0, 0, 0);"&gt;&lt;/span&gt;&lt;span style="display: inline-block;"&gt;5&lt;/span&gt;&lt;span style="word-spacing: 0.231px; letter-spacing: -0.231px; display: inline-block; margin-left: 0px; width: 20.3086px; font-size: 10.5px; font-family: ff70;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ff70; -webkit-text-stroke: 0.1575px rgba(0, 0, 0, 0);"&gt;&lt;span style="display: inline-block;"&gt;–&lt;/span&gt;&lt;span style="word-spacing: 0.273px; letter-spacing: -0.273px; display: inline-block; margin-left: 0px; width: 0.410156px; font-size: 10.5px; font-family: ff70; -webkit-text-stroke: 0.1575px rgba(0, 0, 0, 0);"&gt;&lt;/span&gt;&lt;span style="display: inline-block;"&gt;2&lt;/span&gt;&lt;span style="word-spacing: 0.273px; letter-spacing: -0.273px; display: inline-block; margin-left: 0px; width: 0.410156px; font-size: 10.5px; font-family: ff70; -webkit-text-stroke: 0.1575px rgba(0, 0, 0, 0);"&gt;&lt;/span&gt;&lt;span style="display: inline-block;"&gt;2&lt;/span&gt;&lt;span style="word-spacing: 0.273px; letter-spacing: -0.273px; display: inline-block; margin-left: 0px; width: 0.410156px; font-size: 10.5px; font-family: ff70; -webkit-text-stroke: 0.1575px rgba(0, 0, 0, 0);"&gt;&lt;/span&gt;&lt;span style="display: inline-block;"&gt;,7&lt;/span&gt;&lt;span style="word-spacing: 0.273px; letter-spacing: -0.273px; display: inline-block; margin-left: 0px; width: 0.410156px; font-size: 10.5px; font-family: ff70; -webkit-text-stroke: 0.1575px rgba(0, 0, 0, 0);"&gt;&lt;/span&gt;&lt;span style="display: inline-block;"&gt;3&lt;/span&gt;&lt;span style="word-spacing: 0.273px; letter-spacing: -0.273px; display: inline-block; margin-left: 0px; width: 0.410156px; font-size: 10.5px; font-family: ff70; -webkit-text-stroke: 0.1575px rgba(0, 0, 0, 0);"&gt;&lt;/span&gt;&lt;span style="display: inline-block;"&gt;0&lt;/span&gt;&lt;/span&gt;&lt;/span&gt;&lt;/span&gt;&lt;span class="pp-font-color-override-1" style="position: absolute; display: inline-block; left: 0px; top: 83.4629px; width: 332.021px; white-space: pre; word-spacing: -0.147px; letter-spacing: 0.147px; margin-left: 0px; font-size: 10.5px; font-family: ff70; -webkit-text-stroke: 0.1575px rgba(0, 0, 0, 0);"&gt;&lt;span style="display: inline-block;"&gt;Other&lt;/span&gt;&lt;span style="word-spacing: -0.147px; letter-spacing: 0.147px; display: inline-block; margin-left: 0px; width: 219.679px; font-size: 10.5px; font-family: ff70; -webkit-text-stroke: 0.1575px rgba(0, 0, 0, 0);"&gt;&lt;span style="display: inline-block;"&gt; &lt;/span&gt;&lt;/span&gt;&lt;span class="pp-font-color-override-1" style="word-spacing: 0.3885px; letter-spacing: -0.3885px; display: inline-block; margin-left: 0px; font-size: 10.5px; font-family: ff70; -webkit-text-stroke: 0.1575px rgba(0, 0, 0, 0);"&gt;&lt;span style="display: inline-block;"&gt;–&lt;/span&gt;&lt;span style="word-spacing: 0.3885px; letter-spacing: -0.3885px; display: inline-block; margin-left: 0px; width: 0.925781px; font-size: 10.5px; font-family: ff70; -webkit-text-stroke: 0.1575px rgba(0, 0, 0, 0);"&gt;&lt;/span&gt;&lt;span style="display: inline-block;"&gt;4&lt;/span&gt;&lt;span style="word-spacing: 0.3885px; letter-spacing: -0.3885px; display: inline-block; margin-left: 0px; width: 0.410156px; font-size: 10.5px; font-family: ff70; -webkit-text-stroke: 0.1575px rgba(0, 0, 0, 0);"&gt;&lt;/span&gt;&lt;span style="display: inline-block;"&gt;3&lt;/span&gt;&lt;span style="word-spacing: 0.3885px; letter-spacing: -0.3885px; display: inline-block; margin-left: 0px; width: 0.925781px; font-size: 10.5px; font-family: ff70; -webkit-text-stroke: 0.1575px rgba(0, 0, 0, 0);"&gt;&lt;/span&gt;&lt;span style="display: inline-block;"&gt;,11&lt;/span&gt;&lt;span style="word-spacing: 0.3885px; letter-spacing: -0.3885px; display: inline-block; margin-left: 0px; width: 0.410156px; font-size: 10.5px; font-family: ff70; -webkit-text-stroke: 0.1575px rgba(0, 0, 0, 0);"&gt;&lt;/span&gt;&lt;span style="display: inline-block;"&gt;8&lt;/span&gt;&lt;span style="word-spacing: 0.3885px; letter-spacing: -0.3885px; display: inline-block; margin-left: 0px; width: 18.6211px; font-size: 10.5px; font-family: ff70; -webkit-text-stroke: 0.1575px rgba(0, 0, 0, 0);"&gt;&lt;span style="display: inline-block;"&gt;&lt;span style="width: 2.625px; display: inline-block;"&gt; &lt;/span&gt;&lt;/span&gt;&lt;/span&gt;&lt;span class="pp-font-color-override-1" style="word-spacing: -0.1785px; letter-spacing: 0.1785px; display: inline-block; margin-left: 0px; font-size: 10.5px; font-family: ff70; -webkit-text-stroke: 0.1575px rgba(0, 0, 0, 0);"&gt;&lt;span style="display: inline-block;"&gt;–33,684&lt;/span&gt;&lt;/span&gt;&lt;/span&gt;&lt;/span&gt;&lt;span class="pp-font-color-override-1" style="position: absolute; display: inline-block; left: 0px; top: 99.8984px; width: 324.984px; white-space: pre; word-spacing: -0.1995px; letter-spacing: 0.1995px; margin-left: 0px; font-size: 10.5px; font-family: ff6f; -webkit-text-stroke: 0.1575px rgba(0, 0, 0, 0);"&gt;&lt;span style="display: inline-block;"&gt;T&lt;/span&gt;&lt;span style="word-spacing: -0.1995px; letter-spacing: 0.1995px; display: inline-block; margin-left: -1.13625px; width: 0px; font-size: 10.5px; font-family: ff6f; -webkit-text-stroke: 0.1575px rgba(0, 0, 0, 0);"&gt;&lt;/span&gt;&lt;span style="display: inline-block;"&gt;ot&lt;/span&gt;&lt;span style="word-spacing: -0.1995px; letter-spacing: 0.1995px; display: inline-block; margin-left: 0px; width: 0.410156px; font-size: 10.5px; font-family: ff6f; -webkit-text-stroke: 0.1575px rgba(0, 0, 0, 0);"&gt;&lt;/span&gt;&lt;span style="display: inline-block;"&gt;al&lt;/span&gt;&lt;span style="word-spacing: -0.1995px; letter-spacing: 0.1995px; display: inline-block; margin-left: 0px; width: 208.828px; font-size: 10.5px; font-family: ff6f; -webkit-text-stroke: 0.1575px rgba(0, 0, 0, 0);"&gt;&lt;span style="display: inline-block;"&gt; &lt;/span&gt;&lt;/span&gt;&lt;span class="pp-font-color-override-1" style="word-spacing: 0.1365px; letter-spacing: -0.1365px; display: inline-block; margin-left: 0px; font-size: 10.5px; font-family: ff6f; -webkit-text-stroke: 0.1575px rgba(0, 0, 0, 0);"&gt;&lt;span style="display: inline-block;"&gt;–3&lt;/span&gt;&lt;span style="word-spacing: 0.1365px; letter-spacing: -0.1365px; display: inline-block; margin-left: 0px; width: 0.410156px; font-size: 10.5px; font-family: ff6f; -webkit-text-stroke: 0.1575px rgba(0, 0, 0, 0);"&gt;&lt;/span&gt;&lt;span style="display: inline-block;"&gt;5&lt;/span&gt;&lt;span style="word-spacing: 0.1365px; letter-spacing: -0.1365px; display: inline-block; margin-left: 0px; width: 0.410156px; font-size: 10.5px; font-family: ff6f; -webkit-text-stroke: 0.1575px rgba(0, 0, 0, 0);"&gt;&lt;/span&gt;&lt;span style="display: inline-block;"&gt;6&lt;/span&gt;&lt;span style="word-spacing: 0.1365px; letter-spacing: -0.1365px; display: inline-block; margin-left: 0px; width: 0.410156px; font-size: 10.5px; font-family: ff6f; -webkit-text-stroke: 0.1575px rgba(0, 0, 0, 0);"&gt;&lt;/span&gt;&lt;span style="display: inline-block;"&gt;,7&lt;/span&gt;&lt;span style="word-spacing: 0.1365px; letter-spacing: -0.1365px; display: inline-block; margin-left: 0px; width: 0.410156px; font-size: 10.5px; font-family: ff6f; -webkit-text-stroke: 0.1575px rgba(0, 0, 0, 0);"&gt;&lt;/span&gt;&lt;span style="display: inline-block;"&gt;98&lt;/span&gt;&lt;span style="word-spacing: 0.1365px; letter-spacing: -0.1365px; display: inline-block; margin-left: 0px; width: 13.7344px; font-size: 10.5px; font-family: ff6f; -webkit-text-stroke: 0.1575px rgba(0, 0, 0, 0);"&gt;&lt;span style="display: inline-block;"&gt;&lt;span style="width: 2.625px; display: inline-block;"&gt; &lt;/span&gt;&lt;/span&gt;&lt;/span&gt;&lt;span class="pp-font-color-override-1" style="word-spacing: 0.084px; letter-spacing: -0.084px; display: inline-block; margin-left: 0px; font-size: 10.5px; font-family: ff6f; -webkit-text-stroke: 0.1575px rgba(0, 0, 0, 0);"&gt;&lt;span style="display: inline-block;"&gt;–37&lt;/span&gt;&lt;span style="word-spacing: 0.084px; letter-spacing: -0.084px; display: inline-block; margin-left: 0px; width: 0.410156px; font-size: 10.5px; font-family: ff6f; -webkit-text-stroke: 0.1575px rgba(0, 0, 0, 0);"&gt;&lt;/span&gt;&lt;span style="display: inline-block;"&gt;5,&lt;/span&gt;&lt;span style="word-spacing: 0.084px; letter-spacing: -0.084px; display: inline-block; margin-left: 0px; width: 0.925781px; font-size: 10.5px; font-family: ff6f; -webkit-text-stroke: 0.1575px rgba(0, 0, 0, 0);"&gt;&lt;/span&gt;&lt;span style="display: inline-block;"&gt;251&lt;/span&gt;&lt;/span&gt;&lt;/span&gt;&lt;/span&gt;&lt;/span&gt;&lt;span style="display:inherit;clear:left;"&gt;1)  &lt;span class="_ _1"&gt;&lt;/span&gt;T&lt;span class="_ _7"&gt;&lt;/span&gt;he a&lt;span class="_ _7"&gt;&lt;/span&gt;mo&lt;span class="_ _7"&gt;&lt;/span&gt;unt&lt;span class="_ _7"&gt;&lt;/span&gt;s pre&lt;span class="_ _7"&gt;&lt;/span&gt;s&lt;span class="_ _7"&gt;&lt;/span&gt;ente&lt;span class="_ _7"&gt;&lt;/span&gt;d as Pe&lt;span class="_ _7"&gt;&lt;/span&gt;r&lt;span class="_ _7"&gt;&lt;/span&gt;so&lt;span class="_ _7"&gt;&lt;/span&gt;nn&lt;span class="_ _7"&gt;&lt;/span&gt;el h&lt;span class="_ _7"&gt;&lt;/span&gt;ave b&lt;span class="_ _7"&gt;&lt;/span&gt;ee&lt;span class="_ _7"&gt;&lt;/span&gt;n red&lt;span class="_ _7"&gt;&lt;/span&gt;uc&lt;span class="_ _7"&gt;&lt;/span&gt;ed by c&lt;span class="_ _7"&gt;&lt;/span&gt;ap&lt;span class="_ _7"&gt;&lt;/span&gt;it&lt;span class="_ _7"&gt;&lt;/span&gt;al-&lt;/span&gt;&lt;span style="display:inherit;clear:left;"&gt;is&lt;span class="_ _7"&gt;&lt;/span&gt;ed s&lt;span class="_ _7"&gt;&lt;/span&gt;a&lt;span class="_ _7"&gt;&lt;/span&gt;lar&lt;span class="_ _9"&gt;&lt;/span&gt;y cos&lt;span class="_ _7"&gt;&lt;/span&gt;t&lt;span class="_ _7"&gt;&lt;/span&gt;s rel&lt;span class="_ _7"&gt;&lt;/span&gt;ate&lt;span class="_ _7"&gt;&lt;/span&gt;d to pro&lt;span class="_ _7"&gt;&lt;/span&gt;du&lt;span class="_ _7"&gt;&lt;/span&gt;ct d&lt;span class="_ _7"&gt;&lt;/span&gt;eve&lt;span class="_ _7"&gt;&lt;/span&gt;lopm&lt;span class="_ _7"&gt;&lt;/span&gt;en&lt;span class="_ _7"&gt;&lt;/span&gt;t. &lt;/span&gt;&lt;span style="display:inherit;clear:left;position:relative;height:124.494140625px;"&gt;&lt;span class="pp-font-color-override-1" style="position: absolute; display: inline-block; left: 0px; top: 0.0136718px; width: 126.188px; white-space: pre; word-spacing: -0.192px; letter-spacing: 0.192px; margin-left: 0px; font-size: 9.6px; font-family: ff6f; -webkit-text-stroke: 0.144px rgba(0, 0, 0, 0);"&gt;&lt;span style="display: inline-block;"&gt;Depreciation and amortisation &lt;/span&gt;&lt;span class="pp-font-color-override-1" style="word-spacing: 0px; letter-spacing: 0px; display: inline-block; margin-left: 0px; font-size: 9.6px; font-family: ff6f; -webkit-text-stroke: 0.144px rgba(0, 0, 0, 0);"&gt;&lt;span style="display: inline-block;"&gt; &lt;/span&gt;&lt;/span&gt;&lt;/span&gt;&lt;span class="pp-font-color-override-1" style="position: absolute; display: inline-block; left: 0px; top: 9.76953px; width: 310.031px; white-space: pre; word-spacing: -0.192px; letter-spacing: 0.192px; margin-left: 0px; font-size: 9.6px; font-family: ff6f; -webkit-text-stroke: 0.144px rgba(0, 0, 0, 0);"&gt;&lt;span style="display: inline-block;"&gt;according to&lt;/span&gt;&lt;span style="word-spacing: -0.192px; letter-spacing: 0.192px; display: inline-block; margin-left: -0.684px; width: 0px; font-size: 9.6px; font-family: ff6f; -webkit-text-stroke: 0.144px rgba(0, 0, 0, 0);"&gt;&lt;/span&gt;&lt;span style="display: inline-block;"&gt; plan by function:&lt;/span&gt;&lt;span style="word-spacing: -0.192px; letter-spacing: 0.192px; display: inline-block; margin-left: 0px; width: 121.049px;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0px; top: 33.1348px; width: 327.293px; white-space: pre; word-spacing: 0px; letter-spacing: 0.0315px; margin-left: 0px; font-size: 10.5px; font-family: ff70; -webkit-text-stroke: 0.1575px rgba(0, 0, 0, 0);"&gt;&lt;span style="display: inline-block;"&gt;Co&lt;/span&gt;&lt;span style="word-spacing: 0px; letter-spacing: 0.0315px; display: inline-block; margin-left: 0px; width: 0.410156px; font-size: 10.5px; font-family: ff70; -webkit-text-stroke: 0.1575px rgba(0, 0, 0, 0);"&gt;&lt;/span&gt;&lt;span style="display: inline-block;"&gt;st o&lt;/span&gt;&lt;span style="word-spacing: 0px; letter-spacing: 0.0315px; display: inline-block; margin-left: 0px; width: 0.410156px; font-size: 10.5px; font-family: ff70; -webkit-text-stroke: 0.1575px rgba(0, 0, 0, 0);"&gt;&lt;/span&gt;&lt;span style="display: inline-block;"&gt;f s&lt;/span&gt;&lt;span style="word-spacing: 0px; letter-spacing: 0.0315px; display: inline-block; margin-left: 0px; width: 0.410156px; font-size: 10.5px; font-family: ff70; -webkit-text-stroke: 0.1575px rgba(0, 0, 0, 0);"&gt;&lt;/span&gt;&lt;span style="display: inline-block;"&gt;ale&lt;/span&gt;&lt;span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185.197px; font-size: 10.5px; font-family: ff70; -webkit-text-stroke: 0.1575px rgba(0, 0, 0, 0);"&gt;&lt;span style="display: inline-block;"&gt; &lt;/span&gt;&lt;/span&gt;&lt;span class="pp-font-color-override-1" style="word-spacing: 0.273px; letter-spacing: -0.273px; display: inline-block; margin-left: 0px; font-size: 10.5px; font-family: ff70; -webkit-text-stroke: 0.1575px rgba(0, 0, 0, 0);"&gt;&lt;span style="display: inline-block;"&gt;–10&lt;/span&gt;&lt;span style="word-spacing: 0.273px; letter-spacing: -0.273px; display: inline-block; margin-left: 0px; width: 0.410156px; font-size: 10.5px; font-family: ff70; -webkit-text-stroke: 0.1575px rgba(0, 0, 0, 0);"&gt;&lt;/span&gt;&lt;span style="display: inline-block;"&gt;,&lt;/span&gt;&lt;span style="word-spacing: 0.273px; letter-spacing: -0.273px; display: inline-block; margin-left: 0px; width: 0.410156px; font-size: 10.5px; font-family: ff70; -webkit-text-stroke: 0.1575px rgba(0, 0, 0, 0);"&gt;&lt;/span&gt;&lt;span style="display: inline-block;"&gt;9&lt;/span&gt;&lt;span style="word-spacing: 0.273px; letter-spacing: -0.273px; display: inline-block; margin-left: 0px; width: 0.410156px; font-size: 10.5px; font-family: ff70; -webkit-text-stroke: 0.1575px rgba(0, 0, 0, 0);"&gt;&lt;/span&gt;&lt;span style="display: inline-block;"&gt;8&lt;/span&gt;&lt;span style="word-spacing: 0.273px; letter-spacing: -0.273px; display: inline-block; margin-left: 0px; width: 0.410156px; font-size: 10.5px; font-family: ff70; -webkit-text-stroke: 0.1575px rgba(0, 0, 0, 0);"&gt;&lt;/span&gt;&lt;span style="display: inline-block;"&gt;4&lt;/span&gt;&lt;span style="word-spacing: 0.273px; letter-spacing: -0.273px; display: inline-block; margin-left: 0px; width: 19.4238px; font-size: 10.5px; font-family: ff70; -webkit-text-stroke: 0.1575px rgba(0, 0, 0, 0);"&gt;&lt;span style="display: inline-block;"&gt;&lt;span style="width: 2.625px; display: inline-block;"&gt; &lt;/span&gt;&lt;/span&gt;&lt;/span&gt;&lt;span style="display: inline-block;"&gt;–11,&lt;/span&gt;&lt;span style="word-spacing: 0.273px; letter-spacing: -0.273px; display: inline-block; margin-left: 0px; width: 0.410156px; font-size: 10.5px; font-family: ff70; -webkit-text-stroke: 0.1575px rgba(0, 0, 0, 0);"&gt;&lt;/span&gt;&lt;span style="display: inline-block;"&gt;3&lt;/span&gt;&lt;span style="word-spacing: 0.273px; letter-spacing: -0.273px; display: inline-block; margin-left: 0px; width: 0.410156px; font-size: 10.5px; font-family: ff70; -webkit-text-stroke: 0.1575px rgba(0, 0, 0, 0);"&gt;&lt;/span&gt;&lt;span style="display: inline-block;"&gt;6&lt;/span&gt;&lt;span style="word-spacing: 0.273px; letter-spacing: -0.273px; display: inline-block; margin-left: 0px; width: 0.410156px; font-size: 10.5px; font-family: ff70; -webkit-text-stroke: 0.1575px rgba(0, 0, 0, 0);"&gt;&lt;/span&gt;&lt;span style="display: inline-block;"&gt;9&lt;/span&gt;&lt;/span&gt;&lt;/span&gt;&lt;span class="pp-font-color-override-1" style="position: absolute; display: inline-block; left: 0px; top: 49.0879px; width: 308.766px; white-space: pre; word-spacing: -0.2835px; letter-spacing: 0.315px; margin-left: 0px; font-size: 10.5px; font-family: ff70; -webkit-text-stroke: 0.1575px rgba(0, 0, 0, 0);"&gt;&lt;span style="display: inline-block;"&gt;Resea&lt;/span&gt;&lt;span style="word-spacing: -0.2835px; letter-spacing: 0.315px; display: inline-block; margin-left: -0.684px; width: 0px; font-size: 10.5px; font-family: ff70; -webkit-text-stroke: 0.1575px rgba(0, 0, 0, 0);"&gt;&lt;/span&gt;&lt;span style="display: inline-block;"&gt;rch&lt;/span&gt;&lt;span style="word-spacing: -0.2835px; letter-spacing: 0.315px; display: inline-block; margin-left: -0.684px; width: 0px; font-size: 10.5px; font-family: ff70; -webkit-text-stroke: 0.1575px rgba(0, 0, 0, 0);"&gt;&lt;/span&gt;&lt;span style="display: inline-block;"&gt; and de&lt;/span&gt;&lt;span style="word-spacing: -0.2835px; letter-spacing: 0.315px; display: inline-block; margin-left: -0.684px; width: 0px; font-size: 10.5px; font-family: ff70; -webkit-text-stroke: 0.1575px rgba(0, 0, 0, 0);"&gt;&lt;/span&gt;&lt;span style="display: inline-block;"&gt;velo&lt;/span&gt;&lt;span style="word-spacing: -0.2835px; letter-spacing: 0.315px; display: inline-block; margin-left: -0.684px; width: 0px; font-size: 10.5px; font-family: ff70; -webkit-text-stroke: 0.1575px rgba(0, 0, 0, 0);"&gt;&lt;/span&gt;&lt;span style="display: inline-block;"&gt;pment&lt;/span&gt;&lt;span style="word-spacing: -0.2835px; letter-spacing: 0.315px; display: inline-block; margin-left: -0.684px; width: 0px; font-size: 10.5px; font-family: ff70; -webkit-text-stroke: 0.1575px rgba(0, 0, 0, 0);"&gt;&lt;/span&gt;&lt;span style="display: inline-block;"&gt; expenses&lt;/span&gt;&lt;span style="word-spacing: -0.2835px; letter-spacing: 0.315px; display: inline-block; margin-left: 0px; width: 65.6366px; font-size: 10.5px; font-family: ff70; -webkit-text-stroke: 0.1575px rgba(0, 0, 0, 0);"&gt;&lt;span style="display: inline-block;"&gt; &lt;/span&gt;&lt;/span&gt;&lt;span class="pp-font-color-override-1" style="word-spacing: -0.042px; letter-spacing: 0.042px; display: inline-block; margin-left: 0px; font-size: 10.5px; font-family: ff70; -webkit-text-stroke: 0.1575px rgba(0, 0, 0, 0);"&gt;&lt;span style="display: inline-block;"&gt;–&lt;/span&gt;&lt;span style="word-spacing: -0.042px; letter-spacing: 0.042px; display: inline-block; margin-left: -0.684px; width: 0px; font-size: 10.5px; font-family: ff70; -webkit-text-stroke: 0.1575px rgba(0, 0, 0, 0);"&gt;&lt;/span&gt;&lt;span style="display: inline-block;"&gt;10,&lt;/span&gt;&lt;span style="word-spacing: -0.042px; letter-spacing: 0.042px; display: inline-block; margin-left: 0px; width: 0.410156px; font-size: 10.5px; font-family: ff70; -webkit-text-stroke: 0.1575px rgba(0, 0, 0, 0);"&gt;&lt;/span&gt;&lt;span style="display: inline-block;"&gt;236&lt;/span&gt;&lt;span style="word-spacing: -0.042px; letter-spacing: 0.042px; display: inline-block; margin-left: 0px; width: 19.4238px; font-size: 10.5px; font-family: ff70; -webkit-text-stroke: 0.1575px rgba(0, 0, 0, 0);"&gt;&lt;span style="display: inline-block;"&gt; &lt;/span&gt;&lt;/span&gt;&lt;span class="pp-font-color-override-1" style="word-spacing: -0.0735px; letter-spacing: 0.0735px; display: inline-block; margin-left: 0px; font-size: 10.5px; font-family: ff70; -webkit-text-stroke: 0.1575px rgba(0, 0, 0, 0);"&gt;&lt;span style="display: inline-block;"&gt;–8,&lt;/span&gt;&lt;span style="word-spacing: -0.0735px; letter-spacing: 0.0735px; display: inline-block; margin-left: 0px; width: 0.410156px; font-size: 10.5px; font-family: ff70; -webkit-text-stroke: 0.1575px rgba(0, 0, 0, 0);"&gt;&lt;/span&gt;&lt;span style="display: inline-block;"&gt;905&lt;/span&gt;&lt;/span&gt;&lt;/span&gt;&lt;/span&gt;&lt;span class="pp-font-color-override-1" style="position: absolute; display: inline-block; left: 0px; top: 65.041px; width: 329.648px; white-space: pre; word-spacing: -0.2205px; letter-spacing: 0.252px; margin-left: 0px; font-size: 10.5px; font-family: ff70; -webkit-text-stroke: 0.1575px rgba(0, 0, 0, 0);"&gt;&lt;span style="display: inline-block;"&gt;Sellin&lt;/span&gt;&lt;span style="word-spacing: -0.2205px; letter-spacing: 0.252px; display: inline-block; margin-left: -0.684px; width: 0px; font-size: 10.5px; font-family: ff70; -webkit-text-stroke: 0.1575px rgba(0, 0, 0, 0);"&gt;&lt;/span&gt;&lt;span style="display: inline-block;"&gt;g expenses&lt;/span&gt;&lt;span style="word-spacing: -0.2205px; letter-spacing: 0.252px; display: inline-block; margin-left: 0px; width: 173.379px; font-size: 10.5px; font-family: ff70; -webkit-text-stroke: 0.1575px rgba(0, 0, 0, 0);"&gt;&lt;span style="display: inline-block;"&gt; &lt;/span&gt;&lt;/span&gt;&lt;span class="pp-font-color-override-1" style="word-spacing: 0.273px; letter-spacing: -0.273px; display: inline-block; margin-left: 0px; font-size: 10.5px; font-family: ff70; -webkit-text-stroke: 0.1575px rgba(0, 0, 0, 0);"&gt;&lt;span style="display: inline-block;"&gt;–1,&lt;/span&gt;&lt;span style="word-spacing: 0.273px; letter-spacing: -0.273px; display: inline-block; margin-left: 0px; width: 0.925781px; font-size: 10.5px; font-family: ff70; -webkit-text-stroke: 0.1575px rgba(0, 0, 0, 0);"&gt;&lt;/span&gt;&lt;span style="display: inline-block;"&gt;59&lt;/span&gt;&lt;span style="word-spacing: 0.273px; letter-spacing: -0.273px; display: inline-block; margin-left: 0px; width: 0.410156px; font-size: 10.5px; font-family: ff70; -webkit-text-stroke: 0.1575px rgba(0, 0, 0, 0);"&gt;&lt;/span&gt;&lt;span style="display: inline-block;"&gt;9&lt;/span&gt;&lt;span style="word-spacing: 0.273px; letter-spacing: -0.273px; display: inline-block; margin-left: 0px; width: 25.7227px; font-size: 10.5px; font-family: ff70; -webkit-text-stroke: 0.1575px rgba(0, 0, 0, 0);"&gt;&lt;span style="display: inline-block;"&gt;&lt;span style="width: 2.625px; display: inline-block;"&gt; &lt;/span&gt;&lt;/span&gt;&lt;/span&gt;&lt;span class="pp-font-color-override-1" style="word-spacing: 0.3465px; letter-spacing: -0.3465px; display: inline-block; margin-left: 0px; font-size: 10.5px; font-family: ff70; -webkit-text-stroke: 0.1575px rgba(0, 0, 0, 0);"&gt;&lt;span style="display: inline-block;"&gt;–1&lt;/span&gt;&lt;span style="word-spacing: 0.3465px; letter-spacing: -0.3465px; display: inline-block; margin-left: 0px; width: 0.410156px; font-size: 10.5px; font-family: ff70; -webkit-text-stroke: 0.1575px rgba(0</t>
  </si>
  <si>
    <t>f1__s8__6__45</t>
  </si>
  <si>
    <t>ifrs-full:DisclosureOfExpensesByNatureExplanatory</t>
  </si>
  <si>
    <t>f1__s8__6__46-1</t>
  </si>
  <si>
    <t>ifrs-full:DisclosureOfDepreciationAndAmortisationExpenseExplanatory</t>
  </si>
  <si>
    <t>f1__s8__6__47-1</t>
  </si>
  <si>
    <t>ifrs-full:DisclosureOfCostOfSalesExplanatory</t>
  </si>
  <si>
    <t>f1__s8__6__48</t>
  </si>
  <si>
    <t>ifrs-full:DisclosureOfResearchAndDevelopmentExpenseExplanatory</t>
  </si>
  <si>
    <t>f1__s8__6__49</t>
  </si>
  <si>
    <t>ifrs-full:DisclosureOfGeneralAndAdministrativeExpenseExplanatory</t>
  </si>
  <si>
    <t>f1__s8__6__5</t>
  </si>
  <si>
    <t>ifrs-full:NameOfReportingEntityOrOtherMeansOfIdentification</t>
  </si>
  <si>
    <t>Volvo Car AB</t>
  </si>
  <si>
    <t>f1__s8__6__51-1</t>
  </si>
  <si>
    <t>ifrs-full:DisclosureOfRelatedPartyExplanatory</t>
  </si>
  <si>
    <t>&lt;span style="display:inherit;clear:left;"&gt;NOT&lt;span class="_ _7"&gt;&lt;/span&gt;E 4&lt;/span&gt;&lt;span style="display:inherit;clear:left;"&gt;RELA&lt;span class="_ _2"&gt;&lt;/span&gt;TED P&lt;span class="_ _6"&gt;&lt;/span&gt;ART&lt;span class="_ _7"&gt;&lt;/span&gt;Y TRANSACTIONS&lt;/span&gt;&lt;span style="display:inherit;clear:left;"&gt;ACCOUNTING&lt;span class="_ _2"&gt;&lt;/span&gt; POLICIES&lt;/span&gt;&lt;span style="display:inherit;clear:left;"&gt;Volvo Ca&lt;span class="_ _7"&gt;&lt;/span&gt;r Gro&lt;span class="_ _7"&gt;&lt;/span&gt;up h&lt;span class="_ _7"&gt;&lt;/span&gt;as a c&lt;span class="_ _7"&gt;&lt;/span&gt;los&lt;span class="_ _7"&gt;&lt;/span&gt;e c&lt;span class="_ _7"&gt;&lt;/span&gt;oll&lt;span class="_ _7"&gt;&lt;/span&gt;ab&lt;span class="_ _7"&gt;&lt;/span&gt;or&lt;span class="_ _7"&gt;&lt;/span&gt;at&lt;span class="_ _7"&gt;&lt;/span&gt;ion w&lt;span class="_ _7"&gt;&lt;/span&gt;it&lt;span class="_ _7"&gt;&lt;/span&gt;h it&lt;span class="_ _7"&gt;&lt;/span&gt;s re&lt;span class="_ _7"&gt;&lt;/span&gt;la&lt;span class="_ _7"&gt;&lt;/span&gt;ted p&lt;span class="_ _7"&gt;&lt;/span&gt;ar&lt;span class="_ _7"&gt;&lt;/span&gt;t&lt;span class="_ _7"&gt;&lt;/span&gt;ie&lt;span class="_ _7"&gt;&lt;/span&gt;s. &lt;/span&gt;&lt;span style="display:inherit;clear:left;"&gt;Th&lt;span class="_ _7"&gt;&lt;/span&gt;e mai&lt;span class="_ _7"&gt;&lt;/span&gt;n pa&lt;span class="_ _7"&gt;&lt;/span&gt;r&lt;span class="_ _7"&gt;&lt;/span&gt;t of th&lt;span class="_ _7"&gt;&lt;/span&gt;e tr&lt;span class="_ _7"&gt;&lt;/span&gt;an&lt;span class="_ _7"&gt;&lt;/span&gt;s&lt;span class="_ _7"&gt;&lt;/span&gt;ac&lt;span class="_ _7"&gt;&lt;/span&gt;tio&lt;span class="_ _7"&gt;&lt;/span&gt;ns i&lt;span class="_ _7"&gt;&lt;/span&gt;s re&lt;span class="_ _7"&gt;&lt;/span&gt;la&lt;span class="_ _7"&gt;&lt;/span&gt;ted t&lt;span class="_ _7"&gt;&lt;/span&gt;o sa&lt;span class="_ _7"&gt;&lt;/span&gt;le&lt;span class="_ _7"&gt;&lt;/span&gt;s an&lt;span class="_ _7"&gt;&lt;/span&gt;d pur&lt;span class="_ _7"&gt;&lt;/span&gt;ch&lt;span class="_ _7"&gt;&lt;/span&gt;as&lt;span class="_ _7"&gt;&lt;/span&gt;es &lt;/span&gt;&lt;span style="display:inherit;clear:left;"&gt;of c&lt;span class="_ _7"&gt;&lt;/span&gt;ar&lt;span class="_ _7"&gt;&lt;/span&gt;s&lt;span class="_ _7"&gt;&lt;/span&gt;, lic&lt;span class="_ _7"&gt;&lt;/span&gt;en&lt;span class="_ _7"&gt;&lt;/span&gt;ce&lt;span class="_ _7"&gt;&lt;/span&gt;s of t&lt;span class="_ _7"&gt;&lt;/span&gt;ech&lt;span class="_ _7"&gt;&lt;/span&gt;no&lt;span class="_ _7"&gt;&lt;/span&gt;log&lt;span class="_ _9"&gt;&lt;/span&gt;y and p&lt;span class="_ _7"&gt;&lt;/span&gt;urc&lt;span class="_ _7"&gt;&lt;/span&gt;ha&lt;span class="_ _7"&gt;&lt;/span&gt;se&lt;span class="_ _7"&gt;&lt;/span&gt;s o&lt;span class="_ _7"&gt;&lt;/span&gt;f co&lt;span class="_ _7"&gt;&lt;/span&gt;mpo&lt;span class="_ _7"&gt;&lt;/span&gt;ne&lt;span class="_ _7"&gt;&lt;/span&gt;nt&lt;span class="_ _7"&gt;&lt;/span&gt;s&lt;span class="_ _7"&gt;&lt;/span&gt;. &lt;/span&gt;&lt;span style="display:inherit;clear:left;"&gt;Rel&lt;span class="_ _7"&gt;&lt;/span&gt;ate&lt;span class="_ _7"&gt;&lt;/span&gt;d p&lt;span class="_ _7"&gt;&lt;/span&gt;ar&lt;span class="_ _7"&gt;&lt;/span&gt;ti&lt;span class="_ _7"&gt;&lt;/span&gt;es i&lt;span class="_ _7"&gt;&lt;/span&gt;nc&lt;span class="_ _7"&gt;&lt;/span&gt;lud&lt;span class="_ _7"&gt;&lt;/span&gt;e com&lt;span class="_ _7"&gt;&lt;/span&gt;pa&lt;span class="_ _7"&gt;&lt;/span&gt;ni&lt;span class="_ _7"&gt;&lt;/span&gt;es o&lt;span class="_ _7"&gt;&lt;/span&gt;ut&lt;span class="_ _7"&gt;&lt;/span&gt;si&lt;span class="_ _7"&gt;&lt;/span&gt;de th&lt;span class="_ _7"&gt;&lt;/span&gt;e Volvo C&lt;span class="_ _7"&gt;&lt;/span&gt;ar Gr&lt;span class="_ _7"&gt;&lt;/span&gt;ou&lt;span class="_ _7"&gt;&lt;/span&gt;p, bu&lt;span class="_ _7"&gt;&lt;/span&gt;t &lt;/span&gt;&lt;span style="display:inherit;clear:left;"&gt;wit&lt;span class="_ _7"&gt;&lt;/span&gt;hin t&lt;span class="_ _7"&gt;&lt;/span&gt;he G&lt;span class="_ _7"&gt;&lt;/span&gt;ee&lt;span class="_ _7"&gt;&lt;/span&gt;ly sp&lt;span class="_ _7"&gt;&lt;/span&gt;he&lt;span class="_ _7"&gt;&lt;/span&gt;re o&lt;span class="_ _7"&gt;&lt;/span&gt;f com&lt;span class="_ _7"&gt;&lt;/span&gt;pa&lt;span class="_ _7"&gt;&lt;/span&gt;ni&lt;span class="_ _7"&gt;&lt;/span&gt;es a&lt;span class="_ _7"&gt;&lt;/span&gt;s wel&lt;span class="_ _7"&gt;&lt;/span&gt;l as o&lt;span class="_ _7"&gt;&lt;/span&gt;the&lt;span class="_ _7"&gt;&lt;/span&gt;r co&lt;span class="_ _7"&gt;&lt;/span&gt;mp&lt;span class="_ _7"&gt;&lt;/span&gt;ani&lt;span class="_ _7"&gt;&lt;/span&gt;es&lt;span class="_ _7"&gt;&lt;/span&gt;, &lt;/span&gt;&lt;span style="display:inherit;clear:left;"&gt;su&lt;span class="_ _7"&gt;&lt;/span&gt;ch as j&lt;span class="_ _7"&gt;&lt;/span&gt;oi&lt;span class="_ _7"&gt;&lt;/span&gt;nt ven&lt;span class="_ _7"&gt;&lt;/span&gt;tur&lt;span class="_ _7"&gt;&lt;/span&gt;e&lt;span class="_ _7"&gt;&lt;/span&gt;s and a&lt;span class="_ _7"&gt;&lt;/span&gt;s&lt;span class="_ _7"&gt;&lt;/span&gt;s&lt;span class="_ _7"&gt;&lt;/span&gt;oci&lt;span class="_ _7"&gt;&lt;/span&gt;ate&lt;span class="_ _7"&gt;&lt;/span&gt;s&lt;span class="_ _7"&gt;&lt;/span&gt;. All t&lt;span class="_ _7"&gt;&lt;/span&gt;ra&lt;span class="_ _7"&gt;&lt;/span&gt;ns&lt;span class="_ _7"&gt;&lt;/span&gt;ac&lt;span class="_ _7"&gt;&lt;/span&gt;ti&lt;span class="_ _7"&gt;&lt;/span&gt;on&lt;span class="_ _7"&gt;&lt;/span&gt;s wit&lt;span class="_ _7"&gt;&lt;/span&gt;h re&lt;span class="_ _7"&gt;&lt;/span&gt;la&lt;span class="_ _7"&gt;&lt;/span&gt;ted &lt;/span&gt;&lt;span style="display:inherit;clear:left;"&gt;&lt;span&gt;&lt;span style="display:inherit;clear:left;"&gt;pa&lt;span class="_ _7"&gt;&lt;/span&gt;r&lt;span class="_ _7"&gt;&lt;/span&gt;tie&lt;span class="_ _7"&gt;&lt;/span&gt;s ar&lt;span class="_ _7"&gt;&lt;/span&gt;e pe&lt;span class="_ _7"&gt;&lt;/span&gt;r&lt;span class="_ _7"&gt;&lt;/span&gt;fo&lt;span class="_ _7"&gt;&lt;/span&gt;rm&lt;span class="_ _7"&gt;&lt;/span&gt;ed a&lt;span class="_ _7"&gt;&lt;/span&gt;t ar&lt;span class="_ _7"&gt;&lt;/span&gt;m’s leng&lt;span class="_ _7"&gt;&lt;/span&gt;th&lt;span class="_ _7"&gt;&lt;/span&gt;.&lt;/span&gt;&lt;/span&gt;&lt;span&gt;&lt;span style="display:inherit;clear:left;"&gt; &lt;/span&gt;&lt;/span&gt;&lt;/span&gt;&lt;span style="display:inherit;clear:left;"&gt;Significant events and a&lt;span class="_ _2"&gt;&lt;/span&gt;greement&lt;span class="_ _7"&gt;&lt;/span&gt;s with relat&lt;span class="_ _2"&gt;&lt;/span&gt;ed par&lt;span class="_ _7"&gt;&lt;/span&gt;ties &lt;/span&gt;&lt;span style="display:inherit;clear:left;"&gt;duri&lt;span class="_ _7"&gt;&lt;/span&gt;ng the rep&lt;span class="_ _7"&gt;&lt;/span&gt;or&lt;span class="_ _7"&gt;&lt;/span&gt;ti&lt;span class="_ _7"&gt;&lt;/span&gt;ng peri&lt;span class="_ _7"&gt;&lt;/span&gt;od&lt;/span&gt;&lt;span style="display:inherit;clear:left;"&gt;• &lt;span class="_ _17"&gt; &lt;/span&gt;O&lt;span class="_ _7"&gt;&lt;/span&gt;n 14 Febr&lt;span class="_ _7"&gt;&lt;/span&gt;ua&lt;span class="_ _7"&gt;&lt;/span&gt;r&lt;span class="_ _7"&gt;&lt;/span&gt;y 2025, Volvo Ca&lt;span class="_ _7"&gt;&lt;/span&gt;r&lt;span class="_ _7"&gt;&lt;/span&gt;s di&lt;span class="_ _7"&gt;&lt;/span&gt;ves&lt;span class="_ _7"&gt;&lt;/span&gt;te&lt;span class="_ _7"&gt;&lt;/span&gt;d it&lt;span class="_ _7"&gt;&lt;/span&gt;s 30 p&lt;span class="_ _7"&gt;&lt;/span&gt;er c&lt;span class="_ _7"&gt;&lt;/span&gt;ent s&lt;span class="_ _7"&gt;&lt;/span&gt;ha&lt;span class="_ _7"&gt;&lt;/span&gt;re-&lt;/span&gt;&lt;span style="display:inherit;clear:left;"&gt;ho&lt;span class="_ _7"&gt;&lt;/span&gt;ldi&lt;span class="_ _7"&gt;&lt;/span&gt;ng in Lynk &amp;amp; C&lt;span class="_ _7"&gt;&lt;/span&gt;o Aut&lt;span class="_ _7"&gt;&lt;/span&gt;omo&lt;span class="_ _7"&gt;&lt;/span&gt;ti&lt;span class="_ _7"&gt;&lt;/span&gt;ve T&lt;span class="_ _2"&gt;&lt;/span&gt;ec&lt;span class="_ _7"&gt;&lt;/span&gt;hno&lt;span class="_ _7"&gt;&lt;/span&gt;log&lt;span class="_ _9"&gt;&lt;/span&gt;y Co.&lt;span class="_ _7"&gt;&lt;/span&gt;, Ltd to Zh&lt;span class="_ _7"&gt;&lt;/span&gt;ej&lt;span class="_ _7"&gt;&lt;/span&gt;ian&lt;span class="_ _7"&gt;&lt;/span&gt;g &lt;/span&gt;&lt;span style="display:inherit;clear:left;"&gt;Zee&lt;span class="_ _7"&gt;&lt;/span&gt;kr I&lt;span class="_ _7"&gt;&lt;/span&gt;nte&lt;span class="_ _7"&gt;&lt;/span&gt;lli&lt;span class="_ _7"&gt;&lt;/span&gt;gen&lt;span class="_ _7"&gt;&lt;/span&gt;t T&lt;span class="_ _2"&gt;&lt;/span&gt;ech&lt;span class="_ _7"&gt;&lt;/span&gt;no&lt;span class="_ _7"&gt;&lt;/span&gt;log&lt;span class="_ _9"&gt;&lt;/span&gt;y Co.&lt;span class="_ _7"&gt;&lt;/span&gt;, Ltd.&lt;span class="_ _7"&gt;&lt;/span&gt;, af&lt;span class="_ _9"&gt;&lt;/span&gt;ter ap&lt;span class="_ _7"&gt;&lt;/span&gt;pr&lt;span class="_ _7"&gt;&lt;/span&gt;ova&lt;span class="_ _7"&gt;&lt;/span&gt;l at an &lt;/span&gt;&lt;span style="display:inherit;clear:left;"&gt;Ex&lt;span class="_ _7"&gt;&lt;/span&gt;t&lt;span class="_ _7"&gt;&lt;/span&gt;ra&lt;span class="_ _7"&gt;&lt;/span&gt;or&lt;span class="_ _7"&gt;&lt;/span&gt;din&lt;span class="_ _7"&gt;&lt;/span&gt;ar&lt;span class="_ _7"&gt;&lt;/span&gt;y G&lt;span class="_ _7"&gt;&lt;/span&gt;en&lt;span class="_ _7"&gt;&lt;/span&gt;er&lt;span class="_ _7"&gt;&lt;/span&gt;al M&lt;span class="_ _7"&gt;&lt;/span&gt;ee&lt;span class="_ _7"&gt;&lt;/span&gt;ting o&lt;span class="_ _7"&gt;&lt;/span&gt;f Volvo C&lt;span class="_ _7"&gt;&lt;/span&gt;ar&lt;span class="_ _7"&gt;&lt;/span&gt;s’ sh&lt;span class="_ _7"&gt;&lt;/span&gt;ar&lt;span class="_ _7"&gt;&lt;/span&gt;eh&lt;span class="_ _7"&gt;&lt;/span&gt;old&lt;span class="_ _7"&gt;&lt;/span&gt;er&lt;span class="_ _7"&gt;&lt;/span&gt;s on 6 &lt;/span&gt;&lt;span style="display:inherit;clear:left;"&gt;February as well&lt;span class="_ _2"&gt;&lt;/span&gt; as other regulat&lt;span class="_ _2"&gt;&lt;/span&gt;or&lt;span class="_ _7"&gt;&lt;/span&gt;y approvals. Cash considera&lt;span class="_ _2"&gt;&lt;/span&gt;&lt;span class="ls3 ws3"&gt;-&lt;/span&gt;&lt;/span&gt;&lt;span style="display:inherit;clear:left;"&gt;tio&lt;span class="_ _7"&gt;&lt;/span&gt;n, i&lt;span class="_ _7"&gt;&lt;/span&gt;nc&lt;span class="_ _7"&gt;&lt;/span&gt;lud&lt;span class="_ _7"&gt;&lt;/span&gt;ing i&lt;span class="_ _7"&gt;&lt;/span&gt;nter&lt;span class="_ _7"&gt;&lt;/span&gt;es&lt;span class="_ _7"&gt;&lt;/span&gt;t&lt;span class="_ _7"&gt;&lt;/span&gt;, am&lt;span class="_ _7"&gt;&lt;/span&gt;oun&lt;span class="_ _7"&gt;&lt;/span&gt;ted t&lt;span class="_ _7"&gt;&lt;/span&gt;o RMB 5,&lt;span class="_ _7"&gt;&lt;/span&gt;46&lt;span class="_ _7"&gt;&lt;/span&gt;3 m. T&lt;span class="_ _7"&gt;&lt;/span&gt;he c&lt;span class="_ _7"&gt;&lt;/span&gt;ap&lt;span class="_ _7"&gt;&lt;/span&gt;it&lt;span class="_ _7"&gt;&lt;/span&gt;al &lt;/span&gt;&lt;span style="display:inherit;clear:left;"&gt;ga&lt;span class="_ _7"&gt;&lt;/span&gt;in&lt;span class="_ _7"&gt;&lt;/span&gt;, re&lt;span class="_ _7"&gt;&lt;/span&gt;cog&lt;span class="_ _7"&gt;&lt;/span&gt;ni&lt;span class="_ _7"&gt;&lt;/span&gt;se&lt;span class="_ _7"&gt;&lt;/span&gt;d di&lt;span class="_ _7"&gt;&lt;/span&gt;re&lt;span class="_ _7"&gt;&lt;/span&gt;ct&lt;span class="_ _7"&gt;&lt;/span&gt;ly in e&lt;span class="_ _7"&gt;&lt;/span&gt;qui&lt;span class="_ _7"&gt;&lt;/span&gt;t&lt;span class="_ _7"&gt;&lt;/span&gt;y du&lt;span class="_ _7"&gt;&lt;/span&gt;e to di&lt;span class="_ _7"&gt;&lt;/span&gt;ve&lt;span class="_ _7"&gt;&lt;/span&gt;st&lt;span class="_ _7"&gt;&lt;/span&gt;men&lt;span class="_ _7"&gt;&lt;/span&gt;t un&lt;span class="_ _7"&gt;&lt;/span&gt;de&lt;span class="_ _7"&gt;&lt;/span&gt;r com-&lt;/span&gt;&lt;span style="display:inherit;clear:left;"&gt;mo&lt;span class="_ _7"&gt;&lt;/span&gt;n con&lt;span class="_ _7"&gt;&lt;/span&gt;tro&lt;span class="_ _7"&gt;&lt;/span&gt;l&lt;span class="_ _7"&gt;&lt;/span&gt;, amo&lt;span class="_ _7"&gt;&lt;/span&gt;un&lt;span class="_ _7"&gt;&lt;/span&gt;ted to R&lt;span class="_ _7"&gt;&lt;/span&gt;MB 3,144 m (SEK 4,6&lt;span class="_ _7"&gt;&lt;/span&gt;56 m), inclu&lt;span class="_ _7"&gt;&lt;/span&gt;di&lt;span class="_ _7"&gt;&lt;/span&gt;ng &lt;/span&gt;&lt;span style="display:inherit;clear:left;"&gt;ta&lt;span class="_ _7"&gt;&lt;/span&gt;x co&lt;span class="_ _7"&gt;&lt;/span&gt;s&lt;span class="_ _7"&gt;&lt;/span&gt;t re&lt;span class="_ _7"&gt;&lt;/span&gt;la&lt;span class="_ _7"&gt;&lt;/span&gt;tin&lt;span class="_ _7"&gt;&lt;/span&gt;g to the t&lt;span class="_ _7"&gt;&lt;/span&gt;ra&lt;span class="_ _7"&gt;&lt;/span&gt;ns&lt;span class="_ _7"&gt;&lt;/span&gt;ac&lt;span class="_ _7"&gt;&lt;/span&gt;ti&lt;span class="_ _7"&gt;&lt;/span&gt;on w&lt;span class="_ _7"&gt;&lt;/span&gt;hic&lt;span class="_ _7"&gt;&lt;/span&gt;h am&lt;span class="_ _7"&gt;&lt;/span&gt;oun&lt;span class="_ _7"&gt;&lt;/span&gt;ts to R&lt;span class="_ _7"&gt;&lt;/span&gt;MB 803 m&lt;span class="_ _7"&gt;&lt;/span&gt;.&lt;/span&gt;&lt;span style="display:inherit;clear:left;"&gt;• &lt;span class="_ _17"&gt; &lt;/span&gt;In M&lt;span class="_ _7"&gt;&lt;/span&gt;ay, V&lt;span class="_ _2"&gt;&lt;/span&gt;o&lt;span class="_ _7"&gt;&lt;/span&gt;lvo C&lt;span class="_ _7"&gt;&lt;/span&gt;ar&lt;span class="_ _7"&gt;&lt;/span&gt;s so&lt;span class="_ _7"&gt;&lt;/span&gt;ld a s&lt;span class="_ _7"&gt;&lt;/span&gt;ign&lt;span class="_ _7"&gt;&lt;/span&gt;if&lt;span class="_ _7"&gt;&lt;/span&gt;i&lt;span class="_ _7"&gt;&lt;/span&gt;ca&lt;span class="_ _7"&gt;&lt;/span&gt;nt nu&lt;span class="_ _7"&gt;&lt;/span&gt;mb&lt;span class="_ _7"&gt;&lt;/span&gt;er o&lt;span class="_ _7"&gt;&lt;/span&gt;f the ow&lt;span class="_ _7"&gt;&lt;/span&gt;ne&lt;span class="_ _7"&gt;&lt;/span&gt;d s&lt;span class="_ _7"&gt;&lt;/span&gt;ub-&lt;/span&gt;&lt;span style="display:inherit;clear:left;"&gt;sc&lt;span class="_ _7"&gt;&lt;/span&gt;rip&lt;span class="_ _7"&gt;&lt;/span&gt;tio&lt;span class="_ _7"&gt;&lt;/span&gt;n c&lt;span class="_ _7"&gt;&lt;/span&gt;ar&lt;span class="_ _7"&gt;&lt;/span&gt;s in th&lt;span class="_ _7"&gt;&lt;/span&gt;e UK to Volvo C&lt;span class="_ _7"&gt;&lt;/span&gt;ar F&lt;span class="_ _7"&gt;&lt;/span&gt;in&lt;span class="_ _7"&gt;&lt;/span&gt;anc&lt;span class="_ _7"&gt;&lt;/span&gt;ial S&lt;span class="_ _7"&gt;&lt;/span&gt;er&lt;span class="_ _9"&gt;&lt;/span&gt;vic&lt;span class="_ _7"&gt;&lt;/span&gt;e&lt;span class="_ _7"&gt;&lt;/span&gt;s UK Ltd&lt;span class="_ _7"&gt;&lt;/span&gt;. &lt;/span&gt;&lt;span style="display:inherit;clear:left;"&gt;Th&lt;span class="_ _7"&gt;&lt;/span&gt;e one-tim&lt;span class="_ _7"&gt;&lt;/span&gt;e tr&lt;span class="_ _7"&gt;&lt;/span&gt;an&lt;span class="_ _7"&gt;&lt;/span&gt;sa&lt;span class="_ _7"&gt;&lt;/span&gt;ct&lt;span class="_ _7"&gt;&lt;/span&gt;io&lt;span class="_ _7"&gt;&lt;/span&gt;n amo&lt;span class="_ _7"&gt;&lt;/span&gt;unt&lt;span class="_ _7"&gt;&lt;/span&gt;ed to a r&lt;span class="_ _7"&gt;&lt;/span&gt;eve&lt;span class="_ _7"&gt;&lt;/span&gt;nue o&lt;span class="_ _7"&gt;&lt;/span&gt;f SEK 3&lt;span class="_ _7"&gt;&lt;/span&gt;,28&lt;span class="_ _7"&gt;&lt;/span&gt;8 m, &lt;/span&gt;&lt;span style="display:inherit;clear:left;"&gt;wit&lt;span class="_ _7"&gt;&lt;/span&gt;h lim&lt;span class="_ _7"&gt;&lt;/span&gt;ite&lt;span class="_ _7"&gt;&lt;/span&gt;d ef&lt;span class="_ _9"&gt;&lt;/span&gt;fec&lt;span class="_ _7"&gt;&lt;/span&gt;t on p&lt;span class="_ _7"&gt;&lt;/span&gt;ro&lt;span class="_ _7"&gt;&lt;/span&gt;fi&lt;span class="_ _7"&gt;&lt;/span&gt;t. T&lt;span class="_ _7"&gt;&lt;/span&gt;he t&lt;span class="_ _7"&gt;&lt;/span&gt;ra&lt;span class="_ _7"&gt;&lt;/span&gt;ns&lt;span class="_ _7"&gt;&lt;/span&gt;ac&lt;span class="_ _7"&gt;&lt;/span&gt;ti&lt;span class="_ _7"&gt;&lt;/span&gt;on is p&lt;span class="_ _7"&gt;&lt;/span&gt;ar&lt;span class="_ _7"&gt;&lt;/span&gt;t o&lt;span class="_ _7"&gt;&lt;/span&gt;f th&lt;span class="_ _7"&gt;&lt;/span&gt;e &lt;/span&gt;&lt;span style="display:inherit;clear:left;"&gt;updated commerc&lt;span class="_ _2"&gt;&lt;/span&gt;ial strategy.&lt;span class="ls3 ws3"&gt; &lt;/span&gt;&lt;/span&gt;&lt;span style="display:inherit;clear:left;"&gt;T&lt;span class="_ _6"&gt;&lt;/span&gt;ransactions with related parties&lt;/span&gt;&lt;span style="display:inherit;clear:left;"&gt;Sig&lt;span class="_ _7"&gt;&lt;/span&gt;ni&lt;span class="_ _7"&gt;&lt;/span&gt;fi&lt;span class="_ _7"&gt;&lt;/span&gt;c&lt;span class="_ _7"&gt;&lt;/span&gt;ant tr&lt;span class="_ _7"&gt;&lt;/span&gt;an&lt;span class="_ _7"&gt;&lt;/span&gt;s&lt;span class="_ _7"&gt;&lt;/span&gt;ac&lt;span class="_ _7"&gt;&lt;/span&gt;tio&lt;span class="_ _7"&gt;&lt;/span&gt;ns w&lt;span class="_ _7"&gt;&lt;/span&gt;it&lt;span class="_ _7"&gt;&lt;/span&gt;h rel&lt;span class="_ _7"&gt;&lt;/span&gt;at&lt;span class="_ _7"&gt;&lt;/span&gt;ed p&lt;span class="_ _7"&gt;&lt;/span&gt;ar&lt;span class="_ _7"&gt;&lt;/span&gt;ti&lt;span class="_ _7"&gt;&lt;/span&gt;e&lt;span class="_ _7"&gt;&lt;/span&gt;s and t&lt;span class="_ _7"&gt;&lt;/span&gt;he n&lt;span class="_ _7"&gt;&lt;/span&gt;atu&lt;span class="_ _7"&gt;&lt;/span&gt;re o&lt;span class="_ _7"&gt;&lt;/span&gt;f the&lt;span class="_ _7"&gt;&lt;/span&gt;s&lt;span class="_ _7"&gt;&lt;/span&gt;e &lt;/span&gt;&lt;span style="display:inherit;clear:left;"&gt;are s&lt;span class="_ _7"&gt;&lt;/span&gt;pe&lt;span class="_ _7"&gt;&lt;/span&gt;ci&lt;span class="_ _7"&gt;&lt;/span&gt;f&lt;span class="_ _7"&gt;&lt;/span&gt;ie&lt;span class="_ _7"&gt;&lt;/span&gt;d in th&lt;span class="_ _7"&gt;&lt;/span&gt;e be&lt;span class="_ _7"&gt;&lt;/span&gt;low t&lt;span class="_ _7"&gt;&lt;/span&gt;ab&lt;span class="_ _7"&gt;&lt;/span&gt;le&lt;span class="_ _7"&gt;&lt;/span&gt;s and t&lt;span class="_ _7"&gt;&lt;/span&gt;ex&lt;span class="_ _7"&gt;&lt;/span&gt;t. &lt;/span&gt;&lt;span style="display:inherit;clear:left;position:relative;height:99.556640625px;"&gt;&lt;span class="pp-font-color-override-1" style="position: absolute; display: inline-block; left: 0px; top: 0.0039062px; width: 304.266px; white-space: pre; word-spacing: 0px; letter-spacing: 0px; margin-left: 0px; font-size: 9.6px; font-family: ff6f; -webkit-text-stroke: 0.144px rgba(0, 0, 0, 0);"&gt;&lt;span style="display: inline-block;"&gt;Sa&lt;/span&gt;&lt;span style="word-spacing: 0px; letter-spacing: 0px; display: inline-block; margin-left: 0px; width: 0.410156px; font-size: 9.6px; font-family: ff6f; -webkit-text-stroke: 0.144px rgba(0, 0, 0, 0);"&gt;&lt;/span&gt;&lt;span style="display: inline-block;"&gt;le&lt;/span&gt;&lt;span style="word-spacing: 0px; letter-spacing: 0px; display: inline-block; margin-left: 0px; width: 0.410156px; font-size: 9.6px; font-family: ff6f; -webkit-text-stroke: 0.144px rgba(0, 0, 0, 0);"&gt;&lt;/span&gt;&lt;span style="display: inline-block;"&gt;s of g&lt;/span&gt;&lt;span style="word-spacing: 0px; letter-spacing: 0px; display: inline-block; margin-left: 0px; width: 0.410156px; font-size: 9.6px; font-family: ff6f; -webkit-text-stroke: 0.144px rgba(0, 0, 0, 0);"&gt;&lt;/span&gt;&lt;span style="display: inline-block;"&gt;oo&lt;/span&gt;&lt;span style="word-spacing: 0px; letter-spacing: 0px; display: inline-block; margin-left: 0px; width: 0.410156px; font-size: 9.6px; font-family: ff6f; -webkit-text-stroke: 0.144px rgba(0, 0, 0, 0);"&gt;&lt;/span&gt;&lt;span style="display: inline-block;"&gt;ds&lt;/span&gt;&lt;span style="word-spacing: 0px; letter-spacing: 0px; display: inline-block; margin-left: 0px; width: 0.410156px; font-size: 9.6px; font-family: ff6f; -webkit-text-stroke: 0.144px rgba(0, 0, 0, 0);"&gt;&lt;/span&gt;&lt;span style="display: inline-block;"&gt;, s&lt;/span&gt;&lt;span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0.410156px; font-size: 9.6px; font-family: ff6f; -webkit-text-stroke: 0.144px rgba(0, 0, 0, 0);"&gt;&lt;/span&gt;&lt;span style="display: inline-block;"&gt;v&lt;/span&gt;&lt;span style="word-spacing: 0px; letter-spacing: 0px; display: inline-block; margin-left: 0px; width: 0.410156px; font-size: 9.6px; font-family: ff6f; -webkit-text-stroke: 0.144px rgba(0, 0, 0, 0);"&gt;&lt;/span&gt;&lt;span style="display: inline-block;"&gt;ic&lt;/span&gt;&lt;span style="word-spacing: 0px; letter-spacing: 0px; display: inline-block; margin-left: 0px; width: 0.410156px; font-size: 9.6px; font-family: ff6f; -webkit-text-stroke: 0.144px rgba(0, 0, 0, 0);"&gt;&lt;/span&gt;&lt;span style="display: inline-block;"&gt;e&lt;/span&gt;&lt;span style="word-spacing: 0px; letter-spacing: 0px; display: inline-block; margin-left: 0px; width: 0.410156px; font-size: 9.6px; font-family: ff6f; -webkit-text-stroke: 0.144px rgba(0, 0, 0, 0);"&gt;&lt;/span&gt;&lt;span style="display: inline-block;"&gt;s an&lt;/span&gt;&lt;span style="word-spacing: 0px; letter-spacing: 0px; display: inline-block; margin-left: 0px; width: 0.410156px; font-size: 9.6px; font-family: ff6f; -webkit-text-stroke: 0.144px rgba(0, 0, 0, 0);"&gt;&lt;/span&gt;&lt;span style="display: inline-block;"&gt;d oth&lt;/span&gt;&lt;span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100.248px;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75.4688px; top: 22.4805px; width: 10.0254px; white-space: pre; word-spacing: 0.0428505px; letter-spacing: -0.0428505px; margin-left: 0px; font-size: 6.1215px; font-family: ff70; -webkit-text-stroke: 0.0918225px rgba(0, 0, 0, 0);"&gt;&lt;span style="display: inline-block;"&gt;1)2)&lt;/span&gt;&lt;/span&gt;&lt;span class="pp-font-color-override-1" style="position: absolute; display: inline-block; left: 0px; top: 22.6348px; width: 65.2207px; white-space: pre; word-spacing: 0px; letter-spacing: 0.0315px; margin-left: 0px; font-size: 10.5px; font-family: ff70; -webkit-text-stroke: 0.1575px rgba(0, 0, 0, 0);"&gt;&lt;span style="display: inline-block;"&gt;Rel&lt;/span&gt;&lt;span style="word-spacing: 0px; letter-spacing: 0.0315px; display: inline-block; margin-left: 0px; width: 0.410156px; font-size: 10.5px; font-family: ff70; -webkit-text-stroke: 0.1575px rgba(0, 0, 0, 0);"&gt;&lt;/span&gt;&lt;span style="display: inline-block;"&gt;ate&lt;/span&gt;&lt;span style="word-spacing: 0px; letter-spacing: 0.0315px; display: inline-block; margin-left: 0px; width: 0.410156px; font-size: 10.5px; font-family: ff70; -webkit-text-stroke: 0.1575px rgba(0, 0, 0, 0);"&gt;&lt;/span&gt;&lt;span style="display: inline-block;"&gt;d pa&lt;/span&gt;&lt;span style="word-spacing: 0px; letter-spacing: 0.0315px; display: inline-block; margin-left: 0px; width: 0.410156px; font-size: 10.5px; font-family: ff70; -webkit-text-stroke: 0.1575px rgba(0, 0, 0, 0);"&gt;&lt;/span&gt;&lt;span style="display: inline-block;"&gt;r&lt;/span&gt;&lt;span style="word-spacing: 0px; letter-spacing: 0.0315px; display: inline-block; margin-left: 0px; width: 0.410156px; font-size: 10.5px; font-family: ff70; -webkit-text-stroke: 0.1575px rgba(0, 0, 0, 0);"&gt;&lt;/span&gt;&lt;span style="display: inline-block;"&gt;tie&lt;/span&gt;&lt;span style="word-spacing: 0px; letter-spacing: 0.0315px; display: inline-block; margin-left: 0px; width: 0.410156px; font-size: 10.5px; font-family: ff70; -webkit-text-stroke: 0.1575px rgba(0, 0, 0, 0);"&gt;&lt;/span&gt;&lt;span style="display: inline-block;"&gt;s&lt;/span&gt;&lt;/span&gt;&lt;span class="pp-font-color-override-1" style="position: absolute; display: inline-block; left: 257.891px; top: 22.6348px; width: 81.5625px; white-space: pre; word-spacing: 0.273px; letter-spacing: -0.273px; margin-left: 0px; font-size: 10.5px; font-family: ff70; -webkit-text-stroke: 0.1575px rgba(0, 0, 0, 0);"&gt;&lt;span style="display: inline-block;"&gt;15&lt;/span&gt;&lt;span style="word-spacing: 0.273px; letter-spacing: -0.273px; display: inline-block; margin-left: 0px; width: 0.410156px; font-size: 10.5px; font-family: ff70; -webkit-text-stroke: 0.1575px rgba(0, 0, 0, 0);"&gt;&lt;/span&gt;&lt;span style="display: inline-block;"&gt;,7&lt;/span&gt;&lt;span style="word-spacing: 0.273px; letter-spacing: -0.273px; display: inline-block; margin-left: 0px; width: 0.410156px; font-size: 10.5px; font-family: ff70; -webkit-text-stroke: 0.1575px rgba(0, 0, 0, 0);"&gt;&lt;/span&gt;&lt;span style="display: inline-block;"&gt;9&lt;/span&gt;&lt;span style="word-spacing: 0.273px; letter-spacing: -0.273px; display: inline-block; margin-left: 0px; width: 0.410156px; font-size: 10.5px; font-family: ff70; -webkit-text-stroke: 0.1575px rgba(0, 0, 0, 0);"&gt;&lt;/span&gt;&lt;span style="display: inline-block;"&gt;2&lt;/span&gt;&lt;span style="word-spacing: 0.273px; letter-spacing: -0.273px; display: inline-block; margin-left: 0px; width: 25.3242px; font-size: 10.5px; font-family: ff70; -webkit-text-stroke: 0.1575px rgba(0, 0, 0, 0);"&gt;&lt;span style="display: inline-block;"&gt;&lt;span style="width: 2.625px; display: inline-block;"&gt; &lt;/span&gt;&lt;/span&gt;&lt;/span&gt;&lt;span class="pp-font-color-override-1" style="word-spacing: 0.546px; letter-spacing: -0.546px; display: inline-block; margin-left: 0px; font-size: 10.5px; font-family: ff70; -webkit-text-stroke: 0.1575px rgba(0, 0, 0, 0);"&gt;&lt;span style="display: inline-block;"&gt;1&lt;/span&gt;&lt;span style="word-spacing: 0.546px; letter-spacing: -0.546px; display: inline-block; margin-left: 0px; width: 0.410156px; font-size: 10.5px; font-family: ff70; -webkit-text-stroke: 0.1575px rgba(0, 0, 0, 0);"&gt;&lt;/span&gt;&lt;span style="display: inline-block;"&gt;7,&lt;/span&gt;&lt;span style="word-spacing: 0.546px; letter-spacing: -0.546px; display: inline-block; margin-left: 0px; width: 0.925781px; font-size: 10.5px; font-family: ff70; -webkit-text-stroke: 0.1575px rgba(0, 0, 0, 0);"&gt;&lt;/span&gt;&lt;span style="display: inline-block;"&gt;9&lt;/span&gt;&lt;span style="word-spacing: 0.546px; letter-spacing: -0.546px; display: inline-block; margin-left: 0px; width: 0.410156px; font-size: 10.5px; font-family: ff70; -webkit-text-stroke: 0.1575px rgba(0, 0, 0, 0);"&gt;&lt;/span&gt;&lt;span style="display: inline-block;"&gt;1&lt;/span&gt;&lt;span style="word-spacing: 0.546px; letter-spacing: -0.546px; display: inline-block; margin-left: 0px; width: 0.410156px; font-size: 10.5px; font-family: ff70; -webkit-text-stroke: 0.1575px rgba(0, 0, 0, 0);"&gt;&lt;/span&gt;&lt;span style="display: inline-block;"&gt;8&lt;/span&gt;&lt;/span&gt;&lt;/span&gt;&lt;span class="pp-font-color-override-1" style="position: absolute; display: inline-block; left: 0px; top: 39.4512px; width: 318.129px;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Po&lt;/span&gt;&lt;span style="word-spacing: -0.0315px; letter-spacing: 0.0315px; display: inline-block; margin-left: 0px; width: 0.410156px; font-size: 10.5px; font-family: ff75; -webkit-text-stroke: 0.1575px rgba(0, 0, 0, 0);"&gt;&lt;/span&gt;&lt;span style="display: inline-block;"&gt;lest&lt;/span&gt;&lt;span style="word-spacing: -0.0315px; letter-spacing: 0.0315px; display: inline-block; margin-left: 0px; width: 0.410156px; font-size: 10.5px; font-family: ff75; -webkit-text-stroke: 0.1575px rgba(0, 0, 0, 0);"&gt;&lt;/span&gt;&lt;span style="display: inline-block;"&gt;ar Auto&lt;/span&gt;&lt;span style="word-spacing: -0.0315px; letter-spacing: 0.0315px; display: inline-block; margin-left: 0px; width: 0.410156px; font-size: 10.5px; font-family: ff75; -webkit-text-stroke: 0.1575px rgba(0, 0, 0, 0);"&gt;&lt;/span&gt;&lt;span style="display: inline-block;"&gt;motiv&lt;/span&gt;&lt;span style="word-spacing: -0.0315px; letter-spacing: 0.0315px; display: inline-block; margin-left: 0px; width: 0.410156px; font-size: 10.5px; font-family: ff75; -webkit-text-stroke: 0.1575px rgba(0, 0, 0, 0);"&gt;&lt;/span&gt;&lt;span style="display: inline-block;"&gt;e Hol&lt;/span&gt;&lt;span style="word-spacing: -0.0315px; letter-spacing: 0.0315px; display: inline-block; margin-left: 0px; width: 0.410156px; font-size: 10.5px; font-family: ff75; -webkit-text-stroke: 0.1575px rgba(0, 0, 0, 0);"&gt;&lt;/span&gt;&lt;span style="display: inline-block;"&gt;din&lt;/span&gt;&lt;span style="word-spacing: -0.0315px; letter-spacing: 0.0315px; display: inline-block; margin-left: 0px; width: 0.410156px; font-size: 10.5px; font-family: ff75; -webkit-text-stroke: 0.1575px rgba(0, 0, 0, 0);"&gt;&lt;/span&gt;&lt;span style="display: inline-block;"&gt;g UK Gro&lt;/span&gt;&lt;span style="word-spacing: -0.0315px; letter-spacing: 0.0315px; display: inline-block; margin-left: 0px; width: 0.410156px; font-size: 10.5px; font-family: ff75; -webkit-text-stroke: 0.1575px rgba(0, 0, 0, 0);"&gt;&lt;/span&gt;&lt;span style="display: inline-block;"&gt;up&lt;/span&gt;&lt;span style="word-spacing: -0.0315px; letter-spacing: 0.0315px; display: inline-block; margin-left: 0px; width: 16.5586px; font-size: 10.5px; font-family: ff75; -webkit-text-stroke: 0.1575px rgba(0, 0, 0, 0);"&gt;&lt;span style="display: inline-block;"&gt; &lt;/span&gt;&lt;/span&gt;&lt;span class="pp-font-color-override-1" style="word-spacing: 0.273px; letter-spacing: -0.273px; display: inline-block; margin-left: 0px; font-size: 10.5px; font-family: ff76; -webkit-text-stroke: 0.1575px rgba(0, 0, 0, 0);"&gt;&lt;span style="display: inline-block;"&gt;13&lt;/span&gt;&lt;span style="word-spacing: 0.273px; letter-spacing: -0.273px; display: inline-block; margin-left: 0px; width: 0.410156px; font-size: 10.5px; font-family: ff76; -webkit-text-stroke: 0.1575px rgba(0, 0, 0, 0);"&gt;&lt;/span&gt;&lt;span style="display: inline-block;"&gt;,7&lt;/span&gt;&lt;span style="word-spacing: 0.273px; letter-spacing: -0.273px; display: inline-block; margin-left: 0px; width: 0.410156px; font-size: 10.5px; font-family: ff76; -webkit-text-stroke: 0.1575px rgba(0, 0, 0, 0);"&gt;&lt;/span&gt;&lt;span style="display: inline-block;"&gt;3&lt;/span&gt;&lt;span style="word-spacing: 0.273px; letter-spacing: -0.273px; display: inline-block; margin-left: 0px; width: 0.410156px; font-size: 10.5px; font-family: ff76; -webkit-text-stroke: 0.1575px rgba(0, 0, 0, 0);"&gt;&lt;/span&gt;&lt;span style="display: inline-block;"&gt;0&lt;/span&gt;&lt;span style="word-spacing: 0.273px; letter-spacing: -0.273px; display: inline-block; margin-left: 0px; width: 21.8145px; font-size: 10.5px; font-family: ff76; -webkit-text-stroke: 0.1575px rgba(0, 0, 0, 0);"&gt;&lt;span style="display: inline-block;"&gt;&lt;span style="width: 2.625px; display: inline-block;"&gt; &lt;/span&gt;&lt;/span&gt;&lt;/span&gt;&lt;span class="pp-font-color-override-1" style="word-spacing: 0.0735px; letter-spacing: -0.0735px; display: inline-block; margin-left: 0px; font-size: 10.5px; font-family: ff76; -webkit-text-stroke: 0.1575px rgba(0, 0, 0, 0);"&gt;&lt;span style="display: inline-block;"&gt;15,&lt;/span&gt;&lt;span style="word-spacing: 0.0735px; letter-spacing: -0.0735px; display: inline-block; margin-left: 0px; width: 0.410156px; font-size: 10.5px; font-family: ff76; -webkit-text-stroke: 0.1575px rgba(0, 0, 0, 0);"&gt;&lt;/span&gt;&lt;span style="display: inline-block;"&gt;40&lt;/span&gt;&lt;span style="word-spacing: 0.0735px; letter-spacing: -0.0735px; display: inline-block; margin-left: 0px; width: 2.625px; font-size: 10.5px; font-family: ff76; -webkit-text-stroke: 0.1575px rgba(0, 0, 0, 0);"&gt;&lt;span style="display: inline-block;"&gt;&lt;span style="width: 2.625px; display: inline-block;"&gt; &lt;/span&gt;&lt;/span&gt;&lt;/span&gt;&lt;span style="display: inline-block;"&gt;2&lt;/span&gt;&lt;/span&gt;&lt;/span&gt;&lt;/span&gt;&lt;span class="pp-font-color-override-1" style="position: absolute; display: inline-block; left: 0px; top: 55.4199px; width: 322.031px;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Ni&lt;/span&gt;&lt;span style="word-spacing: -0.0315px; letter-spacing: 0.0315px; display: inline-block; margin-left: 0px; width: 0.410156px; font-size: 10.5px; font-family: ff75; -webkit-text-stroke: 0.1575px rgba(0, 0, 0, 0);"&gt;&lt;/span&gt;&lt;span style="display: inline-block;"&gt;ng&lt;/span&gt;&lt;span style="word-spacing: -0.0315px; letter-spacing: 0.0315px; display: inline-block; margin-left: 0px; width: 0.410156px; font-size: 10.5px; font-family: ff75; -webkit-text-stroke: 0.1575px rgba(0, 0, 0, 0);"&gt;&lt;/span&gt;&lt;span style="display: inline-block;"&gt;bo Fuh&lt;/span&gt;&lt;span style="word-spacing: -0.0315px; letter-spacing: 0.0315px; display: inline-block; margin-left: 0px; width: 0.410156px; font-size: 10.5px; font-family: ff75; -webkit-text-stroke: 0.1575px rgba(0, 0, 0, 0);"&gt;&lt;/span&gt;&lt;span style="display: inline-block;"&gt;on&lt;/span&gt;&lt;span style="word-spacing: -0.0315px; letter-spacing: 0.0315px; display: inline-block; margin-left: 0px; width: 0.410156px; font-size: 10.5px; font-family: ff75; -webkit-text-stroke: 0.1575px rgba(0, 0, 0, 0);"&gt;&lt;/span&gt;&lt;span style="display: inline-block;"&gt;g Auto Sa&lt;/span&gt;&lt;span style="word-spacing: -0.0315px; letter-spacing: 0.0315px; display: inline-block; margin-left: 0px; width: 0.410156px; font-size: 10.5px; font-family: ff75; -webkit-text-stroke: 0.1575px rgba(0, 0, 0, 0);"&gt;&lt;/span&gt;&lt;span style="display: inline-block;"&gt;les &lt;/span&gt;&lt;span style="word-spacing: -0.0315px; letter-spacing: 0.0315px; display: inline-block; margin-left: 0px; width: 0.410156px; font-size: 10.5px; font-family: ff75; -webkit-text-stroke: 0.1575px rgba(0, 0, 0, 0);"&gt;&lt;/span&gt;&lt;span style="display: inline-block;"&gt;Co.&lt;/span&gt;&lt;span style="word-spacing: -0.0315px; letter-spacing: 0.0315px; display: inline-block; margin-left: 0px; width: 0.410156px; font-size: 10.5px; font-family: ff75; -webkit-text-stroke: 0.1575px rgba(0, 0, 0, 0);"&gt;&lt;/span&gt;&lt;span style="display: inline-block;"&gt;, Ltd&lt;/span&gt;&lt;span style="word-spacing: -0.0315px; letter-spacing: 0.0315px; display: inline-block; margin-left: 0px; width: 53.0741px; font-size: 10.5px; font-family: ff75; -webkit-text-stroke: 0.1575px rgba(0, 0, 0, 0);"&gt;&lt;span style="display: inline-block;"&gt; &lt;/span&gt;&lt;/span&gt;&lt;span class="pp-font-color-override-1" style="word-spacing: 0.063px; letter-spacing: -0.063px; display: inline-block; margin-left: 0px; font-size: 10.5px; font-family: ff76; -webkit-text-stroke: 0.1575px rgba(0, 0, 0, 0);"&gt;&lt;span style="display: inline-block;"&gt;571&lt;/span&gt;&lt;span style="word-spacing: 0.063px; letter-spacing: -0.063px; display: inline-block; margin-left: 0px; width: 29.5723px; font-size: 10.5px; font-family: ff76;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ff76; -webkit-text-stroke: 0.1575px rgba(0, 0, 0, 0);"&gt;&lt;span style="display: inline-block;"&gt;1&lt;/span&gt;&lt;span style="word-spacing: 0.273px; letter-spacing: -0.273px; display: inline-block; margin-left: 0px; width: 0.410156px; font-size: 10.5px; font-family: ff76; -webkit-text-stroke: 0.1575px rgba(0, 0, 0, 0);"&gt;&lt;/span&gt;&lt;span style="display: inline-block;"&gt;,78&lt;/span&gt;&lt;span style="word-spacing: 0.273px; letter-spacing: -0.273px; display: inline-block; margin-left: 0px; width: 0.410156px; font-size: 10.5px; font-family: ff76; -webkit-text-stroke: 0.1575px rgba(0, 0, 0, 0);"&gt;&lt;/span&gt;&lt;span style="display: inline-block;"&gt;3&lt;/span&gt;&lt;/span&gt;&lt;/span&gt;&lt;/span&gt;&lt;span class="pp-font-color-override-1" style="position: absolute; display: inline-block; left: 0px; top: 71.2441px; width: 316.605px; white-space: pre; word-spacing: 0px; letter-spacing: 0.0315px; margin-left: 0px; font-size: 10.5px; font-family: ff70; -webkit-text-stroke: 0.1575px rgba(0, 0, 0, 0);"&gt;&lt;span style="display: inline-block;"&gt;Joi&lt;/span&gt;&lt;span style="word-spacing: 0px; letter-spacing: 0.0315px; display: inline-block; margin-left: 0px; width: 0.410156px; font-size: 10.5px; font-family: ff70; -webkit-text-stroke: 0.1575px rgba(0, 0, 0, 0);"&gt;&lt;/span&gt;&lt;span style="display: inline-block;"&gt;nt ve&lt;/span&gt;&lt;span style="word-spacing: 0px; letter-spacing: 0.0315px; display: inline-block; margin-left: 0px; width: 0.410156px; font-size: 10.5px; font-family: ff70; -webkit-text-stroke: 0.1575px rgba(0, 0, 0, 0);"&gt;&lt;/span&gt;&lt;span style="display: inline-block;"&gt;ntur&lt;/span&gt;&lt;span style="word-spacing: 0px; letter-spacing: 0.0315px; display: inline-block; margin-left: 0px; width: 0.410156px; font-size: 10.5px; font-family: ff70; -webkit-text-stroke: 0.1575px rgba(0, 0, 0, 0);"&gt;&lt;/span&gt;&lt;span style="display: inline-block;"&gt;es a&lt;/span&gt;&lt;span style="word-spacing: 0px; letter-spacing: 0.0315px; display: inline-block; margin-left: 0px; width: 0.410156px; font-size: 10.5px; font-family: ff70; -webkit-</t>
  </si>
  <si>
    <t>f1__s8__6__52</t>
  </si>
  <si>
    <t>ifrs-full:DescriptionOfAccountingPolicyForTransactionsWithRelatedPartiesExplanatory</t>
  </si>
  <si>
    <t>&lt;span style="display:inherit;clear:left;"&gt;ACCOUNTING&lt;span class="_ _2"&gt;&lt;/span&gt; POLICIES&lt;/span&gt;&lt;span style="display:inherit;clear:left;"&gt;Volvo Ca&lt;span class="_ _7"&gt;&lt;/span&gt;r Gro&lt;span class="_ _7"&gt;&lt;/span&gt;up h&lt;span class="_ _7"&gt;&lt;/span&gt;as a c&lt;span class="_ _7"&gt;&lt;/span&gt;los&lt;span class="_ _7"&gt;&lt;/span&gt;e c&lt;span class="_ _7"&gt;&lt;/span&gt;oll&lt;span class="_ _7"&gt;&lt;/span&gt;ab&lt;span class="_ _7"&gt;&lt;/span&gt;or&lt;span class="_ _7"&gt;&lt;/span&gt;at&lt;span class="_ _7"&gt;&lt;/span&gt;ion w&lt;span class="_ _7"&gt;&lt;/span&gt;it&lt;span class="_ _7"&gt;&lt;/span&gt;h it&lt;span class="_ _7"&gt;&lt;/span&gt;s re&lt;span class="_ _7"&gt;&lt;/span&gt;la&lt;span class="_ _7"&gt;&lt;/span&gt;ted p&lt;span class="_ _7"&gt;&lt;/span&gt;ar&lt;span class="_ _7"&gt;&lt;/span&gt;t&lt;span class="_ _7"&gt;&lt;/span&gt;ie&lt;span class="_ _7"&gt;&lt;/span&gt;s. &lt;/span&gt;&lt;span style="display:inherit;clear:left;"&gt;Th&lt;span class="_ _7"&gt;&lt;/span&gt;e mai&lt;span class="_ _7"&gt;&lt;/span&gt;n pa&lt;span class="_ _7"&gt;&lt;/span&gt;r&lt;span class="_ _7"&gt;&lt;/span&gt;t of th&lt;span class="_ _7"&gt;&lt;/span&gt;e tr&lt;span class="_ _7"&gt;&lt;/span&gt;an&lt;span class="_ _7"&gt;&lt;/span&gt;s&lt;span class="_ _7"&gt;&lt;/span&gt;ac&lt;span class="_ _7"&gt;&lt;/span&gt;tio&lt;span class="_ _7"&gt;&lt;/span&gt;ns i&lt;span class="_ _7"&gt;&lt;/span&gt;s re&lt;span class="_ _7"&gt;&lt;/span&gt;la&lt;span class="_ _7"&gt;&lt;/span&gt;ted t&lt;span class="_ _7"&gt;&lt;/span&gt;o sa&lt;span class="_ _7"&gt;&lt;/span&gt;le&lt;span class="_ _7"&gt;&lt;/span&gt;s an&lt;span class="_ _7"&gt;&lt;/span&gt;d pur&lt;span class="_ _7"&gt;&lt;/span&gt;ch&lt;span class="_ _7"&gt;&lt;/span&gt;as&lt;span class="_ _7"&gt;&lt;/span&gt;es &lt;/span&gt;&lt;span style="display:inherit;clear:left;"&gt;of c&lt;span class="_ _7"&gt;&lt;/span&gt;ar&lt;span class="_ _7"&gt;&lt;/span&gt;s&lt;span class="_ _7"&gt;&lt;/span&gt;, lic&lt;span class="_ _7"&gt;&lt;/span&gt;en&lt;span class="_ _7"&gt;&lt;/span&gt;ce&lt;span class="_ _7"&gt;&lt;/span&gt;s of t&lt;span class="_ _7"&gt;&lt;/span&gt;ech&lt;span class="_ _7"&gt;&lt;/span&gt;no&lt;span class="_ _7"&gt;&lt;/span&gt;log&lt;span class="_ _9"&gt;&lt;/span&gt;y and p&lt;span class="_ _7"&gt;&lt;/span&gt;urc&lt;span class="_ _7"&gt;&lt;/span&gt;ha&lt;span class="_ _7"&gt;&lt;/span&gt;se&lt;span class="_ _7"&gt;&lt;/span&gt;s o&lt;span class="_ _7"&gt;&lt;/span&gt;f co&lt;span class="_ _7"&gt;&lt;/span&gt;mpo&lt;span class="_ _7"&gt;&lt;/span&gt;ne&lt;span class="_ _7"&gt;&lt;/span&gt;nt&lt;span class="_ _7"&gt;&lt;/span&gt;s&lt;span class="_ _7"&gt;&lt;/span&gt;. &lt;/span&gt;&lt;span style="display:inherit;clear:left;"&gt;Rel&lt;span class="_ _7"&gt;&lt;/span&gt;ate&lt;span class="_ _7"&gt;&lt;/span&gt;d p&lt;span class="_ _7"&gt;&lt;/span&gt;ar&lt;span class="_ _7"&gt;&lt;/span&gt;ti&lt;span class="_ _7"&gt;&lt;/span&gt;es i&lt;span class="_ _7"&gt;&lt;/span&gt;nc&lt;span class="_ _7"&gt;&lt;/span&gt;lud&lt;span class="_ _7"&gt;&lt;/span&gt;e com&lt;span class="_ _7"&gt;&lt;/span&gt;pa&lt;span class="_ _7"&gt;&lt;/span&gt;ni&lt;span class="_ _7"&gt;&lt;/span&gt;es o&lt;span class="_ _7"&gt;&lt;/span&gt;ut&lt;span class="_ _7"&gt;&lt;/span&gt;si&lt;span class="_ _7"&gt;&lt;/span&gt;de th&lt;span class="_ _7"&gt;&lt;/span&gt;e Volvo C&lt;span class="_ _7"&gt;&lt;/span&gt;ar Gr&lt;span class="_ _7"&gt;&lt;/span&gt;ou&lt;span class="_ _7"&gt;&lt;/span&gt;p, bu&lt;span class="_ _7"&gt;&lt;/span&gt;t &lt;/span&gt;&lt;span style="display:inherit;clear:left;"&gt;wit&lt;span class="_ _7"&gt;&lt;/span&gt;hin t&lt;span class="_ _7"&gt;&lt;/span&gt;he G&lt;span class="_ _7"&gt;&lt;/span&gt;ee&lt;span class="_ _7"&gt;&lt;/span&gt;ly sp&lt;span class="_ _7"&gt;&lt;/span&gt;he&lt;span class="_ _7"&gt;&lt;/span&gt;re o&lt;span class="_ _7"&gt;&lt;/span&gt;f com&lt;span class="_ _7"&gt;&lt;/span&gt;pa&lt;span class="_ _7"&gt;&lt;/span&gt;ni&lt;span class="_ _7"&gt;&lt;/span&gt;es a&lt;span class="_ _7"&gt;&lt;/span&gt;s wel&lt;span class="_ _7"&gt;&lt;/span&gt;l as o&lt;span class="_ _7"&gt;&lt;/span&gt;the&lt;span class="_ _7"&gt;&lt;/span&gt;r co&lt;span class="_ _7"&gt;&lt;/span&gt;mp&lt;span class="_ _7"&gt;&lt;/span&gt;ani&lt;span class="_ _7"&gt;&lt;/span&gt;es&lt;span class="_ _7"&gt;&lt;/span&gt;, &lt;/span&gt;&lt;span style="display:inherit;clear:left;"&gt;su&lt;span class="_ _7"&gt;&lt;/span&gt;ch as j&lt;span class="_ _7"&gt;&lt;/span&gt;oi&lt;span class="_ _7"&gt;&lt;/span&gt;nt ven&lt;span class="_ _7"&gt;&lt;/span&gt;tur&lt;span class="_ _7"&gt;&lt;/span&gt;e&lt;span class="_ _7"&gt;&lt;/span&gt;s and a&lt;span class="_ _7"&gt;&lt;/span&gt;s&lt;span class="_ _7"&gt;&lt;/span&gt;s&lt;span class="_ _7"&gt;&lt;/span&gt;oci&lt;span class="_ _7"&gt;&lt;/span&gt;ate&lt;span class="_ _7"&gt;&lt;/span&gt;s&lt;span class="_ _7"&gt;&lt;/span&gt;. All t&lt;span class="_ _7"&gt;&lt;/span&gt;ra&lt;span class="_ _7"&gt;&lt;/span&gt;ns&lt;span class="_ _7"&gt;&lt;/span&gt;ac&lt;span class="_ _7"&gt;&lt;/span&gt;ti&lt;span class="_ _7"&gt;&lt;/span&gt;on&lt;span class="_ _7"&gt;&lt;/span&gt;s wit&lt;span class="_ _7"&gt;&lt;/span&gt;h re&lt;span class="_ _7"&gt;&lt;/span&gt;la&lt;span class="_ _7"&gt;&lt;/span&gt;ted &lt;/span&gt;&lt;span style="display:inherit;clear:left;"&gt;pa&lt;span class="_ _7"&gt;&lt;/span&gt;r&lt;span class="_ _7"&gt;&lt;/span&gt;tie&lt;span class="_ _7"&gt;&lt;/span&gt;s ar&lt;span class="_ _7"&gt;&lt;/span&gt;e pe&lt;span class="_ _7"&gt;&lt;/span&gt;r&lt;span class="_ _7"&gt;&lt;/span&gt;fo&lt;span class="_ _7"&gt;&lt;/span&gt;rm&lt;span class="_ _7"&gt;&lt;/span&gt;ed a&lt;span class="_ _7"&gt;&lt;/span&gt;t ar&lt;span class="_ _7"&gt;&lt;/span&gt;m’s leng&lt;span class="_ _7"&gt;&lt;/span&gt;th&lt;span class="_ _7"&gt;&lt;/span&gt;.&lt;/span&gt;</t>
  </si>
  <si>
    <t>f1__s8__6__53-1</t>
  </si>
  <si>
    <t>ifrs-full:DisclosureOfInterestsInOtherEntitiesExplanatory</t>
  </si>
  <si>
    <t xml:space="preserve">&lt;span style="display:inherit;clear:left;"&gt; &lt;/span&gt;&lt;span style="display:inherit;clear:left;"&gt;Significant events and a&lt;span class="_ _2"&gt;&lt;/span&gt;greement&lt;span class="_ _7"&gt;&lt;/span&gt;s with relat&lt;span class="_ _2"&gt;&lt;/span&gt;ed par&lt;span class="_ _7"&gt;&lt;/span&gt;ties &lt;/span&gt;&lt;span style="display:inherit;clear:left;"&gt;duri&lt;span class="_ _7"&gt;&lt;/span&gt;ng the rep&lt;span class="_ _7"&gt;&lt;/span&gt;or&lt;span class="_ _7"&gt;&lt;/span&gt;ti&lt;span class="_ _7"&gt;&lt;/span&gt;ng peri&lt;span class="_ _7"&gt;&lt;/span&gt;od&lt;/span&gt;&lt;span style="display:inherit;clear:left;"&gt;• &lt;span class="_ _17"&gt; &lt;/span&gt;O&lt;span class="_ _7"&gt;&lt;/span&gt;n 14 Febr&lt;span class="_ _7"&gt;&lt;/span&gt;ua&lt;span class="_ _7"&gt;&lt;/span&gt;r&lt;span class="_ _7"&gt;&lt;/span&gt;y 2025, Volvo Ca&lt;span class="_ _7"&gt;&lt;/span&gt;r&lt;span class="_ _7"&gt;&lt;/span&gt;s di&lt;span class="_ _7"&gt;&lt;/span&gt;ves&lt;span class="_ _7"&gt;&lt;/span&gt;te&lt;span class="_ _7"&gt;&lt;/span&gt;d it&lt;span class="_ _7"&gt;&lt;/span&gt;s 30 p&lt;span class="_ _7"&gt;&lt;/span&gt;er c&lt;span class="_ _7"&gt;&lt;/span&gt;ent s&lt;span class="_ _7"&gt;&lt;/span&gt;ha&lt;span class="_ _7"&gt;&lt;/span&gt;re-&lt;/span&gt;&lt;span style="display:inherit;clear:left;"&gt;ho&lt;span class="_ _7"&gt;&lt;/span&gt;ldi&lt;span class="_ _7"&gt;&lt;/span&gt;ng in Lynk &amp;amp; C&lt;span class="_ _7"&gt;&lt;/span&gt;o Aut&lt;span class="_ _7"&gt;&lt;/span&gt;omo&lt;span class="_ _7"&gt;&lt;/span&gt;ti&lt;span class="_ _7"&gt;&lt;/span&gt;ve T&lt;span class="_ _2"&gt;&lt;/span&gt;ec&lt;span class="_ _7"&gt;&lt;/span&gt;hno&lt;span class="_ _7"&gt;&lt;/span&gt;log&lt;span class="_ _9"&gt;&lt;/span&gt;y Co.&lt;span class="_ _7"&gt;&lt;/span&gt;, Ltd to Zh&lt;span class="_ _7"&gt;&lt;/span&gt;ej&lt;span class="_ _7"&gt;&lt;/span&gt;ian&lt;span class="_ _7"&gt;&lt;/span&gt;g &lt;/span&gt;&lt;span style="display:inherit;clear:left;"&gt;Zee&lt;span class="_ _7"&gt;&lt;/span&gt;kr I&lt;span class="_ _7"&gt;&lt;/span&gt;nte&lt;span class="_ _7"&gt;&lt;/span&gt;lli&lt;span class="_ _7"&gt;&lt;/span&gt;gen&lt;span class="_ _7"&gt;&lt;/span&gt;t T&lt;span class="_ _2"&gt;&lt;/span&gt;ech&lt;span class="_ _7"&gt;&lt;/span&gt;no&lt;span class="_ _7"&gt;&lt;/span&gt;log&lt;span class="_ _9"&gt;&lt;/span&gt;y Co.&lt;span class="_ _7"&gt;&lt;/span&gt;, Ltd.&lt;span class="_ _7"&gt;&lt;/span&gt;, af&lt;span class="_ _9"&gt;&lt;/span&gt;ter ap&lt;span class="_ _7"&gt;&lt;/span&gt;pr&lt;span class="_ _7"&gt;&lt;/span&gt;ova&lt;span class="_ _7"&gt;&lt;/span&gt;l at an &lt;/span&gt;&lt;span style="display:inherit;clear:left;"&gt;Ex&lt;span class="_ _7"&gt;&lt;/span&gt;t&lt;span class="_ _7"&gt;&lt;/span&gt;ra&lt;span class="_ _7"&gt;&lt;/span&gt;or&lt;span class="_ _7"&gt;&lt;/span&gt;din&lt;span class="_ _7"&gt;&lt;/span&gt;ar&lt;span class="_ _7"&gt;&lt;/span&gt;y G&lt;span class="_ _7"&gt;&lt;/span&gt;en&lt;span class="_ _7"&gt;&lt;/span&gt;er&lt;span class="_ _7"&gt;&lt;/span&gt;al M&lt;span class="_ _7"&gt;&lt;/span&gt;ee&lt;span class="_ _7"&gt;&lt;/span&gt;ting o&lt;span class="_ _7"&gt;&lt;/span&gt;f Volvo C&lt;span class="_ _7"&gt;&lt;/span&gt;ar&lt;span class="_ _7"&gt;&lt;/span&gt;s’ sh&lt;span class="_ _7"&gt;&lt;/span&gt;ar&lt;span class="_ _7"&gt;&lt;/span&gt;eh&lt;span class="_ _7"&gt;&lt;/span&gt;old&lt;span class="_ _7"&gt;&lt;/span&gt;er&lt;span class="_ _7"&gt;&lt;/span&gt;s on 6 &lt;/span&gt;&lt;span style="display:inherit;clear:left;"&gt;February as well&lt;span class="_ _2"&gt;&lt;/span&gt; as other regulat&lt;span class="_ _2"&gt;&lt;/span&gt;or&lt;span class="_ _7"&gt;&lt;/span&gt;y approvals. Cash considera&lt;span class="_ _2"&gt;&lt;/span&gt;&lt;span class="ls3 ws3"&gt;-&lt;/span&gt;&lt;/span&gt;&lt;span style="display:inherit;clear:left;"&gt;tio&lt;span class="_ _7"&gt;&lt;/span&gt;n, i&lt;span class="_ _7"&gt;&lt;/span&gt;nc&lt;span class="_ _7"&gt;&lt;/span&gt;lud&lt;span class="_ _7"&gt;&lt;/span&gt;ing i&lt;span class="_ _7"&gt;&lt;/span&gt;nter&lt;span class="_ _7"&gt;&lt;/span&gt;es&lt;span class="_ _7"&gt;&lt;/span&gt;t&lt;span class="_ _7"&gt;&lt;/span&gt;, am&lt;span class="_ _7"&gt;&lt;/span&gt;oun&lt;span class="_ _7"&gt;&lt;/span&gt;ted t&lt;span class="_ _7"&gt;&lt;/span&gt;o RMB 5,&lt;span class="_ _7"&gt;&lt;/span&gt;46&lt;span class="_ _7"&gt;&lt;/span&gt;3 m. T&lt;span class="_ _7"&gt;&lt;/span&gt;he c&lt;span class="_ _7"&gt;&lt;/span&gt;ap&lt;span class="_ _7"&gt;&lt;/span&gt;it&lt;span class="_ _7"&gt;&lt;/span&gt;al &lt;/span&gt;&lt;span style="display:inherit;clear:left;"&gt;ga&lt;span class="_ _7"&gt;&lt;/span&gt;in&lt;span class="_ _7"&gt;&lt;/span&gt;, re&lt;span class="_ _7"&gt;&lt;/span&gt;cog&lt;span class="_ _7"&gt;&lt;/span&gt;ni&lt;span class="_ _7"&gt;&lt;/span&gt;se&lt;span class="_ _7"&gt;&lt;/span&gt;d di&lt;span class="_ _7"&gt;&lt;/span&gt;re&lt;span class="_ _7"&gt;&lt;/span&gt;ct&lt;span class="_ _7"&gt;&lt;/span&gt;ly in e&lt;span class="_ _7"&gt;&lt;/span&gt;qui&lt;span class="_ _7"&gt;&lt;/span&gt;t&lt;span class="_ _7"&gt;&lt;/span&gt;y du&lt;span class="_ _7"&gt;&lt;/span&gt;e to di&lt;span class="_ _7"&gt;&lt;/span&gt;ve&lt;span class="_ _7"&gt;&lt;/span&gt;st&lt;span class="_ _7"&gt;&lt;/span&gt;men&lt;span class="_ _7"&gt;&lt;/span&gt;t un&lt;span class="_ _7"&gt;&lt;/span&gt;de&lt;span class="_ _7"&gt;&lt;/span&gt;r com-&lt;/span&gt;&lt;span style="display:inherit;clear:left;"&gt;mo&lt;span class="_ _7"&gt;&lt;/span&gt;n con&lt;span class="_ _7"&gt;&lt;/span&gt;tro&lt;span class="_ _7"&gt;&lt;/span&gt;l&lt;span class="_ _7"&gt;&lt;/span&gt;, amo&lt;span class="_ _7"&gt;&lt;/span&gt;un&lt;span class="_ _7"&gt;&lt;/span&gt;ted to R&lt;span class="_ _7"&gt;&lt;/span&gt;MB 3,144 m (SEK 4,6&lt;span class="_ _7"&gt;&lt;/span&gt;56 m), inclu&lt;span class="_ _7"&gt;&lt;/span&gt;di&lt;span class="_ _7"&gt;&lt;/span&gt;ng &lt;/span&gt;&lt;span style="display:inherit;clear:left;"&gt;ta&lt;span class="_ _7"&gt;&lt;/span&gt;x co&lt;span class="_ _7"&gt;&lt;/span&gt;s&lt;span class="_ _7"&gt;&lt;/span&gt;t re&lt;span class="_ _7"&gt;&lt;/span&gt;la&lt;span class="_ _7"&gt;&lt;/span&gt;tin&lt;span class="_ _7"&gt;&lt;/span&gt;g to the t&lt;span class="_ _7"&gt;&lt;/span&gt;ra&lt;span class="_ _7"&gt;&lt;/span&gt;ns&lt;span class="_ _7"&gt;&lt;/span&gt;ac&lt;span class="_ _7"&gt;&lt;/span&gt;ti&lt;span class="_ _7"&gt;&lt;/span&gt;on w&lt;span class="_ _7"&gt;&lt;/span&gt;hic&lt;span class="_ _7"&gt;&lt;/span&gt;h am&lt;span class="_ _7"&gt;&lt;/span&gt;oun&lt;span class="_ _7"&gt;&lt;/span&gt;ts to R&lt;span class="_ _7"&gt;&lt;/span&gt;MB 803 m&lt;span class="_ _7"&gt;&lt;/span&gt;.&lt;/span&gt;&lt;span style="display:inherit;clear:left;"&gt;• &lt;span class="_ _17"&gt; &lt;/span&gt;In M&lt;span class="_ _7"&gt;&lt;/span&gt;ay, V&lt;span class="_ _2"&gt;&lt;/span&gt;o&lt;span class="_ _7"&gt;&lt;/span&gt;lvo C&lt;span class="_ _7"&gt;&lt;/span&gt;ar&lt;span class="_ _7"&gt;&lt;/span&gt;s so&lt;span class="_ _7"&gt;&lt;/span&gt;ld a s&lt;span class="_ _7"&gt;&lt;/span&gt;ign&lt;span class="_ _7"&gt;&lt;/span&gt;if&lt;span class="_ _7"&gt;&lt;/span&gt;i&lt;span class="_ _7"&gt;&lt;/span&gt;ca&lt;span class="_ _7"&gt;&lt;/span&gt;nt nu&lt;span class="_ _7"&gt;&lt;/span&gt;mb&lt;span class="_ _7"&gt;&lt;/span&gt;er o&lt;span class="_ _7"&gt;&lt;/span&gt;f the ow&lt;span class="_ _7"&gt;&lt;/span&gt;ne&lt;span class="_ _7"&gt;&lt;/span&gt;d s&lt;span class="_ _7"&gt;&lt;/span&gt;ub-&lt;/span&gt;&lt;span style="display:inherit;clear:left;"&gt;sc&lt;span class="_ _7"&gt;&lt;/span&gt;rip&lt;span class="_ _7"&gt;&lt;/span&gt;tio&lt;span class="_ _7"&gt;&lt;/span&gt;n c&lt;span class="_ _7"&gt;&lt;/span&gt;ar&lt;span class="_ _7"&gt;&lt;/span&gt;s in th&lt;span class="_ _7"&gt;&lt;/span&gt;e UK to Volvo C&lt;span class="_ _7"&gt;&lt;/span&gt;ar F&lt;span class="_ _7"&gt;&lt;/span&gt;in&lt;span class="_ _7"&gt;&lt;/span&gt;anc&lt;span class="_ _7"&gt;&lt;/span&gt;ial S&lt;span class="_ _7"&gt;&lt;/span&gt;er&lt;span class="_ _9"&gt;&lt;/span&gt;vic&lt;span class="_ _7"&gt;&lt;/span&gt;e&lt;span class="_ _7"&gt;&lt;/span&gt;s UK Ltd&lt;span class="_ _7"&gt;&lt;/span&gt;. &lt;/span&gt;&lt;span style="display:inherit;clear:left;"&gt;Th&lt;span class="_ _7"&gt;&lt;/span&gt;e one-tim&lt;span class="_ _7"&gt;&lt;/span&gt;e tr&lt;span class="_ _7"&gt;&lt;/span&gt;an&lt;span class="_ _7"&gt;&lt;/span&gt;sa&lt;span class="_ _7"&gt;&lt;/span&gt;ct&lt;span class="_ _7"&gt;&lt;/span&gt;io&lt;span class="_ _7"&gt;&lt;/span&gt;n amo&lt;span class="_ _7"&gt;&lt;/span&gt;unt&lt;span class="_ _7"&gt;&lt;/span&gt;ed to a r&lt;span class="_ _7"&gt;&lt;/span&gt;eve&lt;span class="_ _7"&gt;&lt;/span&gt;nue o&lt;span class="_ _7"&gt;&lt;/span&gt;f SEK 3&lt;span class="_ _7"&gt;&lt;/span&gt;,28&lt;span class="_ _7"&gt;&lt;/span&gt;8 m, &lt;/span&gt;&lt;span style="display:inherit;clear:left;"&gt;wit&lt;span class="_ _7"&gt;&lt;/span&gt;h lim&lt;span class="_ _7"&gt;&lt;/span&gt;ite&lt;span class="_ _7"&gt;&lt;/span&gt;d ef&lt;span class="_ _9"&gt;&lt;/span&gt;fec&lt;span class="_ _7"&gt;&lt;/span&gt;t on p&lt;span class="_ _7"&gt;&lt;/span&gt;ro&lt;span class="_ _7"&gt;&lt;/span&gt;fi&lt;span class="_ _7"&gt;&lt;/span&gt;t. T&lt;span class="_ _7"&gt;&lt;/span&gt;he t&lt;span class="_ _7"&gt;&lt;/span&gt;ra&lt;span class="_ _7"&gt;&lt;/span&gt;ns&lt;span class="_ _7"&gt;&lt;/span&gt;ac&lt;span class="_ _7"&gt;&lt;/span&gt;ti&lt;span class="_ _7"&gt;&lt;/span&gt;on is p&lt;span class="_ _7"&gt;&lt;/span&gt;ar&lt;span class="_ _7"&gt;&lt;/span&gt;t o&lt;span class="_ _7"&gt;&lt;/span&gt;f th&lt;span class="_ _7"&gt;&lt;/span&gt;e &lt;/span&gt;&lt;span style="display:inherit;clear:left;"&gt;updated commerc&lt;span class="_ _2"&gt;&lt;/span&gt;ial strategy.&lt;span class="ls3 ws3"&gt; &lt;/span&gt;&lt;/span&gt;&lt;span style="display:inherit;clear:left;"&gt;T&lt;span class="_ _6"&gt;&lt;/span&gt;ransactions with related parties&lt;/span&gt;&lt;span style="display:inherit;clear:left;"&gt;Sig&lt;span class="_ _7"&gt;&lt;/span&gt;ni&lt;span class="_ _7"&gt;&lt;/span&gt;fi&lt;span class="_ _7"&gt;&lt;/span&gt;c&lt;span class="_ _7"&gt;&lt;/span&gt;ant tr&lt;span class="_ _7"&gt;&lt;/span&gt;an&lt;span class="_ _7"&gt;&lt;/span&gt;s&lt;span class="_ _7"&gt;&lt;/span&gt;ac&lt;span class="_ _7"&gt;&lt;/span&gt;tio&lt;span class="_ _7"&gt;&lt;/span&gt;ns w&lt;span class="_ _7"&gt;&lt;/span&gt;it&lt;span class="_ _7"&gt;&lt;/span&gt;h rel&lt;span class="_ _7"&gt;&lt;/span&gt;at&lt;span class="_ _7"&gt;&lt;/span&gt;ed p&lt;span class="_ _7"&gt;&lt;/span&gt;ar&lt;span class="_ _7"&gt;&lt;/span&gt;ti&lt;span class="_ _7"&gt;&lt;/span&gt;e&lt;span class="_ _7"&gt;&lt;/span&gt;s and t&lt;span class="_ _7"&gt;&lt;/span&gt;he n&lt;span class="_ _7"&gt;&lt;/span&gt;atu&lt;span class="_ _7"&gt;&lt;/span&gt;re o&lt;span class="_ _7"&gt;&lt;/span&gt;f the&lt;span class="_ _7"&gt;&lt;/span&gt;s&lt;span class="_ _7"&gt;&lt;/span&gt;e &lt;/span&gt;&lt;span style="display:inherit;clear:left;"&gt;are s&lt;span class="_ _7"&gt;&lt;/span&gt;pe&lt;span class="_ _7"&gt;&lt;/span&gt;ci&lt;span class="_ _7"&gt;&lt;/span&gt;f&lt;span class="_ _7"&gt;&lt;/span&gt;ie&lt;span class="_ _7"&gt;&lt;/span&gt;d in th&lt;span class="_ _7"&gt;&lt;/span&gt;e be&lt;span class="_ _7"&gt;&lt;/span&gt;low t&lt;span class="_ _7"&gt;&lt;/span&gt;ab&lt;span class="_ _7"&gt;&lt;/span&gt;le&lt;span class="_ _7"&gt;&lt;/span&gt;s and t&lt;span class="_ _7"&gt;&lt;/span&gt;ex&lt;span class="_ _7"&gt;&lt;/span&gt;t. &lt;/span&gt;&lt;span style="display:inherit;clear:left;position:relative;height:99.556640625px;"&gt;&lt;span class="pp-font-color-override-1" style="position: absolute; display: inline-block; left: 0px; top: 0.0039062px; width: 304.266px; white-space: pre; word-spacing: 0px; letter-spacing: 0px; margin-left: 0px; font-size: 9.6px; font-family: ff6f; -webkit-text-stroke: 0.144px rgba(0, 0, 0, 0);"&gt;&lt;span style="display: inline-block;"&gt;Sa&lt;/span&gt;&lt;span style="word-spacing: 0px; letter-spacing: 0px; display: inline-block; margin-left: 0px; width: 0.410156px; font-size: 9.6px; font-family: ff6f; -webkit-text-stroke: 0.144px rgba(0, 0, 0, 0);"&gt;&lt;/span&gt;&lt;span style="display: inline-block;"&gt;le&lt;/span&gt;&lt;span style="word-spacing: 0px; letter-spacing: 0px; display: inline-block; margin-left: 0px; width: 0.410156px; font-size: 9.6px; font-family: ff6f; -webkit-text-stroke: 0.144px rgba(0, 0, 0, 0);"&gt;&lt;/span&gt;&lt;span style="display: inline-block;"&gt;s of g&lt;/span&gt;&lt;span style="word-spacing: 0px; letter-spacing: 0px; display: inline-block; margin-left: 0px; width: 0.410156px; font-size: 9.6px; font-family: ff6f; -webkit-text-stroke: 0.144px rgba(0, 0, 0, 0);"&gt;&lt;/span&gt;&lt;span style="display: inline-block;"&gt;oo&lt;/span&gt;&lt;span style="word-spacing: 0px; letter-spacing: 0px; display: inline-block; margin-left: 0px; width: 0.410156px; font-size: 9.6px; font-family: ff6f; -webkit-text-stroke: 0.144px rgba(0, 0, 0, 0);"&gt;&lt;/span&gt;&lt;span style="display: inline-block;"&gt;ds&lt;/span&gt;&lt;span style="word-spacing: 0px; letter-spacing: 0px; display: inline-block; margin-left: 0px; width: 0.410156px; font-size: 9.6px; font-family: ff6f; -webkit-text-stroke: 0.144px rgba(0, 0, 0, 0);"&gt;&lt;/span&gt;&lt;span style="display: inline-block;"&gt;, s&lt;/span&gt;&lt;span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0.410156px; font-size: 9.6px; font-family: ff6f; -webkit-text-stroke: 0.144px rgba(0, 0, 0, 0);"&gt;&lt;/span&gt;&lt;span style="display: inline-block;"&gt;v&lt;/span&gt;&lt;span style="word-spacing: 0px; letter-spacing: 0px; display: inline-block; margin-left: 0px; width: 0.410156px; font-size: 9.6px; font-family: ff6f; -webkit-text-stroke: 0.144px rgba(0, 0, 0, 0);"&gt;&lt;/span&gt;&lt;span style="display: inline-block;"&gt;ic&lt;/span&gt;&lt;span style="word-spacing: 0px; letter-spacing: 0px; display: inline-block; margin-left: 0px; width: 0.410156px; font-size: 9.6px; font-family: ff6f; -webkit-text-stroke: 0.144px rgba(0, 0, 0, 0);"&gt;&lt;/span&gt;&lt;span style="display: inline-block;"&gt;e&lt;/span&gt;&lt;span style="word-spacing: 0px; letter-spacing: 0px; display: inline-block; margin-left: 0px; width: 0.410156px; font-size: 9.6px; font-family: ff6f; -webkit-text-stroke: 0.144px rgba(0, 0, 0, 0);"&gt;&lt;/span&gt;&lt;span style="display: inline-block;"&gt;s an&lt;/span&gt;&lt;span style="word-spacing: 0px; letter-spacing: 0px; display: inline-block; margin-left: 0px; width: 0.410156px; font-size: 9.6px; font-family: ff6f; -webkit-text-stroke: 0.144px rgba(0, 0, 0, 0);"&gt;&lt;/span&gt;&lt;span style="display: inline-block;"&gt;d oth&lt;/span&gt;&lt;span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100.248px;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75.4688px; top: 22.4805px; width: 10.0254px; white-space: pre; word-spacing: 0.0428505px; letter-spacing: -0.0428505px; margin-left: 0px; font-size: 6.1215px; font-family: ff70; -webkit-text-stroke: 0.0918225px rgba(0, 0, 0, 0);"&gt;&lt;span style="display: inline-block;"&gt;1)2)&lt;/span&gt;&lt;/span&gt;&lt;span class="pp-font-color-override-1" style="position: absolute; display: inline-block; left: 0px; top: 22.6348px; width: 65.2207px; white-space: pre; word-spacing: 0px; letter-spacing: 0.0315px; margin-left: 0px; font-size: 10.5px; font-family: ff70; -webkit-text-stroke: 0.1575px rgba(0, 0, 0, 0);"&gt;&lt;span style="display: inline-block;"&gt;Rel&lt;/span&gt;&lt;span style="word-spacing: 0px; letter-spacing: 0.0315px; display: inline-block; margin-left: 0px; width: 0.410156px; font-size: 10.5px; font-family: ff70; -webkit-text-stroke: 0.1575px rgba(0, 0, 0, 0);"&gt;&lt;/span&gt;&lt;span style="display: inline-block;"&gt;ate&lt;/span&gt;&lt;span style="word-spacing: 0px; letter-spacing: 0.0315px; display: inline-block; margin-left: 0px; width: 0.410156px; font-size: 10.5px; font-family: ff70; -webkit-text-stroke: 0.1575px rgba(0, 0, 0, 0);"&gt;&lt;/span&gt;&lt;span style="display: inline-block;"&gt;d pa&lt;/span&gt;&lt;span style="word-spacing: 0px; letter-spacing: 0.0315px; display: inline-block; margin-left: 0px; width: 0.410156px; font-size: 10.5px; font-family: ff70; -webkit-text-stroke: 0.1575px rgba(0, 0, 0, 0);"&gt;&lt;/span&gt;&lt;span style="display: inline-block;"&gt;r&lt;/span&gt;&lt;span style="word-spacing: 0px; letter-spacing: 0.0315px; display: inline-block; margin-left: 0px; width: 0.410156px; font-size: 10.5px; font-family: ff70; -webkit-text-stroke: 0.1575px rgba(0, 0, 0, 0);"&gt;&lt;/span&gt;&lt;span style="display: inline-block;"&gt;tie&lt;/span&gt;&lt;span style="word-spacing: 0px; letter-spacing: 0.0315px; display: inline-block; margin-left: 0px; width: 0.410156px; font-size: 10.5px; font-family: ff70; -webkit-text-stroke: 0.1575px rgba(0, 0, 0, 0);"&gt;&lt;/span&gt;&lt;span style="display: inline-block;"&gt;s&lt;/span&gt;&lt;/span&gt;&lt;span class="pp-font-color-override-1" style="position: absolute; display: inline-block; left: 257.891px; top: 22.6348px; width: 81.5625px; white-space: pre; word-spacing: 0.273px; letter-spacing: -0.273px; margin-left: 0px; font-size: 10.5px; font-family: ff70; -webkit-text-stroke: 0.1575px rgba(0, 0, 0, 0);"&gt;&lt;span style="display: inline-block;"&gt;15&lt;/span&gt;&lt;span style="word-spacing: 0.273px; letter-spacing: -0.273px; display: inline-block; margin-left: 0px; width: 0.410156px; font-size: 10.5px; font-family: ff70; -webkit-text-stroke: 0.1575px rgba(0, 0, 0, 0);"&gt;&lt;/span&gt;&lt;span style="display: inline-block;"&gt;,7&lt;/span&gt;&lt;span style="word-spacing: 0.273px; letter-spacing: -0.273px; display: inline-block; margin-left: 0px; width: 0.410156px; font-size: 10.5px; font-family: ff70; -webkit-text-stroke: 0.1575px rgba(0, 0, 0, 0);"&gt;&lt;/span&gt;&lt;span style="display: inline-block;"&gt;9&lt;/span&gt;&lt;span style="word-spacing: 0.273px; letter-spacing: -0.273px; display: inline-block; margin-left: 0px; width: 0.410156px; font-size: 10.5px; font-family: ff70; -webkit-text-stroke: 0.1575px rgba(0, 0, 0, 0);"&gt;&lt;/span&gt;&lt;span style="display: inline-block;"&gt;2&lt;/span&gt;&lt;span style="word-spacing: 0.273px; letter-spacing: -0.273px; display: inline-block; margin-left: 0px; width: 25.3242px; font-size: 10.5px; font-family: ff70; -webkit-text-stroke: 0.1575px rgba(0, 0, 0, 0);"&gt;&lt;span style="display: inline-block;"&gt;&lt;span style="width: 2.625px; display: inline-block;"&gt; &lt;/span&gt;&lt;/span&gt;&lt;/span&gt;&lt;span class="pp-font-color-override-1" style="word-spacing: 0.546px; letter-spacing: -0.546px; display: inline-block; margin-left: 0px; font-size: 10.5px; font-family: ff70; -webkit-text-stroke: 0.1575px rgba(0, 0, 0, 0);"&gt;&lt;span style="display: inline-block;"&gt;1&lt;/span&gt;&lt;span style="word-spacing: 0.546px; letter-spacing: -0.546px; display: inline-block; margin-left: 0px; width: 0.410156px; font-size: 10.5px; font-family: ff70; -webkit-text-stroke: 0.1575px rgba(0, 0, 0, 0);"&gt;&lt;/span&gt;&lt;span style="display: inline-block;"&gt;7,&lt;/span&gt;&lt;span style="word-spacing: 0.546px; letter-spacing: -0.546px; display: inline-block; margin-left: 0px; width: 0.925781px; font-size: 10.5px; font-family: ff70; -webkit-text-stroke: 0.1575px rgba(0, 0, 0, 0);"&gt;&lt;/span&gt;&lt;span style="display: inline-block;"&gt;9&lt;/span&gt;&lt;span style="word-spacing: 0.546px; letter-spacing: -0.546px; display: inline-block; margin-left: 0px; width: 0.410156px; font-size: 10.5px; font-family: ff70; -webkit-text-stroke: 0.1575px rgba(0, 0, 0, 0);"&gt;&lt;/span&gt;&lt;span style="display: inline-block;"&gt;1&lt;/span&gt;&lt;span style="word-spacing: 0.546px; letter-spacing: -0.546px; display: inline-block; margin-left: 0px; width: 0.410156px; font-size: 10.5px; font-family: ff70; -webkit-text-stroke: 0.1575px rgba(0, 0, 0, 0);"&gt;&lt;/span&gt;&lt;span style="display: inline-block;"&gt;8&lt;/span&gt;&lt;/span&gt;&lt;/span&gt;&lt;span class="pp-font-color-override-1" style="position: absolute; display: inline-block; left: 0px; top: 39.4512px; width: 318.129px;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Po&lt;/span&gt;&lt;span style="word-spacing: -0.0315px; letter-spacing: 0.0315px; display: inline-block; margin-left: 0px; width: 0.410156px; font-size: 10.5px; font-family: ff75; -webkit-text-stroke: 0.1575px rgba(0, 0, 0, 0);"&gt;&lt;/span&gt;&lt;span style="display: inline-block;"&gt;lest&lt;/span&gt;&lt;span style="word-spacing: -0.0315px; letter-spacing: 0.0315px; display: inline-block; margin-left: 0px; width: 0.410156px; font-size: 10.5px; font-family: ff75; -webkit-text-stroke: 0.1575px rgba(0, 0, 0, 0);"&gt;&lt;/span&gt;&lt;span style="display: inline-block;"&gt;ar Auto&lt;/span&gt;&lt;span style="word-spacing: -0.0315px; letter-spacing: 0.0315px; display: inline-block; margin-left: 0px; width: 0.410156px; font-size: 10.5px; font-family: ff75; -webkit-text-stroke: 0.1575px rgba(0, 0, 0, 0);"&gt;&lt;/span&gt;&lt;span style="display: inline-block;"&gt;motiv&lt;/span&gt;&lt;span style="word-spacing: -0.0315px; letter-spacing: 0.0315px; display: inline-block; margin-left: 0px; width: 0.410156px; font-size: 10.5px; font-family: ff75; -webkit-text-stroke: 0.1575px rgba(0, 0, 0, 0);"&gt;&lt;/span&gt;&lt;span style="display: inline-block;"&gt;e Hol&lt;/span&gt;&lt;span style="word-spacing: -0.0315px; letter-spacing: 0.0315px; display: inline-block; margin-left: 0px; width: 0.410156px; font-size: 10.5px; font-family: ff75; -webkit-text-stroke: 0.1575px rgba(0, 0, 0, 0);"&gt;&lt;/span&gt;&lt;span style="display: inline-block;"&gt;din&lt;/span&gt;&lt;span style="word-spacing: -0.0315px; letter-spacing: 0.0315px; display: inline-block; margin-left: 0px; width: 0.410156px; font-size: 10.5px; font-family: ff75; -webkit-text-stroke: 0.1575px rgba(0, 0, 0, 0);"&gt;&lt;/span&gt;&lt;span style="display: inline-block;"&gt;g UK Gro&lt;/span&gt;&lt;span style="word-spacing: -0.0315px; letter-spacing: 0.0315px; display: inline-block; margin-left: 0px; width: 0.410156px; font-size: 10.5px; font-family: ff75; -webkit-text-stroke: 0.1575px rgba(0, 0, 0, 0);"&gt;&lt;/span&gt;&lt;span style="display: inline-block;"&gt;up&lt;/span&gt;&lt;span style="word-spacing: -0.0315px; letter-spacing: 0.0315px; display: inline-block; margin-left: 0px; width: 16.5586px; font-size: 10.5px; font-family: ff75; -webkit-text-stroke: 0.1575px rgba(0, 0, 0, 0);"&gt;&lt;span style="display: inline-block;"&gt; &lt;/span&gt;&lt;/span&gt;&lt;span class="pp-font-color-override-1" style="word-spacing: 0.273px; letter-spacing: -0.273px; display: inline-block; margin-left: 0px; font-size: 10.5px; font-family: ff76; -webkit-text-stroke: 0.1575px rgba(0, 0, 0, 0);"&gt;&lt;span style="display: inline-block;"&gt;13&lt;/span&gt;&lt;span style="word-spacing: 0.273px; letter-spacing: -0.273px; display: inline-block; margin-left: 0px; width: 0.410156px; font-size: 10.5px; font-family: ff76; -webkit-text-stroke: 0.1575px rgba(0, 0, 0, 0);"&gt;&lt;/span&gt;&lt;span style="display: inline-block;"&gt;,7&lt;/span&gt;&lt;span style="word-spacing: 0.273px; letter-spacing: -0.273px; display: inline-block; margin-left: 0px; width: 0.410156px; font-size: 10.5px; font-family: ff76; -webkit-text-stroke: 0.1575px rgba(0, 0, 0, 0);"&gt;&lt;/span&gt;&lt;span style="display: inline-block;"&gt;3&lt;/span&gt;&lt;span style="word-spacing: 0.273px; letter-spacing: -0.273px; display: inline-block; margin-left: 0px; width: 0.410156px; font-size: 10.5px; font-family: ff76; -webkit-text-stroke: 0.1575px rgba(0, 0, 0, 0);"&gt;&lt;/span&gt;&lt;span style="display: inline-block;"&gt;0&lt;/span&gt;&lt;span style="word-spacing: 0.273px; letter-spacing: -0.273px; display: inline-block; margin-left: 0px; width: 21.8145px; font-size: 10.5px; font-family: ff76; -webkit-text-stroke: 0.1575px rgba(0, 0, 0, 0);"&gt;&lt;span style="display: inline-block;"&gt;&lt;span style="width: 2.625px; display: inline-block;"&gt; &lt;/span&gt;&lt;/span&gt;&lt;/span&gt;&lt;span class="pp-font-color-override-1" style="word-spacing: 0.0735px; letter-spacing: -0.0735px; display: inline-block; margin-left: 0px; font-size: 10.5px; font-family: ff76; -webkit-text-stroke: 0.1575px rgba(0, 0, 0, 0);"&gt;&lt;span style="display: inline-block;"&gt;15,&lt;/span&gt;&lt;span style="word-spacing: 0.0735px; letter-spacing: -0.0735px; display: inline-block; margin-left: 0px; width: 0.410156px; font-size: 10.5px; font-family: ff76; -webkit-text-stroke: 0.1575px rgba(0, 0, 0, 0);"&gt;&lt;/span&gt;&lt;span style="display: inline-block;"&gt;40&lt;/span&gt;&lt;span style="word-spacing: 0.0735px; letter-spacing: -0.0735px; display: inline-block; margin-left: 0px; width: 2.625px; font-size: 10.5px; font-family: ff76; -webkit-text-stroke: 0.1575px rgba(0, 0, 0, 0);"&gt;&lt;span style="display: inline-block;"&gt;&lt;span style="width: 2.625px; display: inline-block;"&gt; &lt;/span&gt;&lt;/span&gt;&lt;/span&gt;&lt;span style="display: inline-block;"&gt;2&lt;/span&gt;&lt;/span&gt;&lt;/span&gt;&lt;/span&gt;&lt;span class="pp-font-color-override-1" style="position: absolute; display: inline-block; left: 0px; top: 55.4199px; width: 322.031px;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Ni&lt;/span&gt;&lt;span style="word-spacing: -0.0315px; letter-spacing: 0.0315px; display: inline-block; margin-left: 0px; width: 0.410156px; font-size: 10.5px; font-family: ff75; -webkit-text-stroke: 0.1575px rgba(0, 0, 0, 0);"&gt;&lt;/span&gt;&lt;span style="display: inline-block;"&gt;ng&lt;/span&gt;&lt;span style="word-spacing: -0.0315px; letter-spacing: 0.0315px; display: inline-block; margin-left: 0px; width: 0.410156px; font-size: 10.5px; font-family: ff75; -webkit-text-stroke: 0.1575px rgba(0, 0, 0, 0);"&gt;&lt;/span&gt;&lt;span style="display: inline-block;"&gt;bo Fuh&lt;/span&gt;&lt;span style="word-spacing: -0.0315px; letter-spacing: 0.0315px; display: inline-block; margin-left: 0px; width: 0.410156px; font-size: 10.5px; font-family: ff75; -webkit-text-stroke: 0.1575px rgba(0, 0, 0, 0);"&gt;&lt;/span&gt;&lt;span style="display: inline-block;"&gt;on&lt;/span&gt;&lt;span style="word-spacing: -0.0315px; letter-spacing: 0.0315px; display: inline-block; margin-left: 0px; width: 0.410156px; font-size: 10.5px; font-family: ff75; -webkit-text-stroke: 0.1575px rgba(0, 0, 0, 0);"&gt;&lt;/span&gt;&lt;span style="display: inline-block;"&gt;g Auto Sa&lt;/span&gt;&lt;span style="word-spacing: -0.0315px; letter-spacing: 0.0315px; display: inline-block; margin-left: 0px; width: 0.410156px; font-size: 10.5px; font-family: ff75; -webkit-text-stroke: 0.1575px rgba(0, 0, 0, 0);"&gt;&lt;/span&gt;&lt;span style="display: inline-block;"&gt;les &lt;/span&gt;&lt;span style="word-spacing: -0.0315px; letter-spacing: 0.0315px; display: inline-block; margin-left: 0px; width: 0.410156px; font-size: 10.5px; font-family: ff75; -webkit-text-stroke: 0.1575px rgba(0, 0, 0, 0);"&gt;&lt;/span&gt;&lt;span style="display: inline-block;"&gt;Co.&lt;/span&gt;&lt;span style="word-spacing: -0.0315px; letter-spacing: 0.0315px; display: inline-block; margin-left: 0px; width: 0.410156px; font-size: 10.5px; font-family: ff75; -webkit-text-stroke: 0.1575px rgba(0, 0, 0, 0);"&gt;&lt;/span&gt;&lt;span style="display: inline-block;"&gt;, Ltd&lt;/span&gt;&lt;span style="word-spacing: -0.0315px; letter-spacing: 0.0315px; display: inline-block; margin-left: 0px; width: 53.0741px; font-size: 10.5px; font-family: ff75; -webkit-text-stroke: 0.1575px rgba(0, 0, 0, 0);"&gt;&lt;span style="display: inline-block;"&gt; &lt;/span&gt;&lt;/span&gt;&lt;span class="pp-font-color-override-1" style="word-spacing: 0.063px; letter-spacing: -0.063px; display: inline-block; margin-left: 0px; font-size: 10.5px; font-family: ff76; -webkit-text-stroke: 0.1575px rgba(0, 0, 0, 0);"&gt;&lt;span style="display: inline-block;"&gt;571&lt;/span&gt;&lt;span style="word-spacing: 0.063px; letter-spacing: -0.063px; display: inline-block; margin-left: 0px; width: 29.5723px; font-size: 10.5px; font-family: ff76;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ff76; -webkit-text-stroke: 0.1575px rgba(0, 0, 0, 0);"&gt;&lt;span style="display: inline-block;"&gt;1&lt;/span&gt;&lt;span style="word-spacing: 0.273px; letter-spacing: -0.273px; display: inline-block; margin-left: 0px; width: 0.410156px; font-size: 10.5px; font-family: ff76; -webkit-text-stroke: 0.1575px rgba(0, 0, 0, 0);"&gt;&lt;/span&gt;&lt;span style="display: inline-block;"&gt;,78&lt;/span&gt;&lt;span style="word-spacing: 0.273px; letter-spacing: -0.273px; display: inline-block; margin-left: 0px; width: 0.410156px; font-size: 10.5px; font-family: ff76; -webkit-text-stroke: 0.1575px rgba(0, 0, 0, 0);"&gt;&lt;/span&gt;&lt;span style="display: inline-block;"&gt;3&lt;/span&gt;&lt;/span&gt;&lt;/span&gt;&lt;/span&gt;&lt;span class="pp-font-color-override-1" style="position: absolute; display: inline-block; left: 0px; top: 71.2441px; width: 316.605px; white-space: pre; word-spacing: 0px; letter-spacing: 0.0315px; margin-left: 0px; font-size: 10.5px; font-family: ff70; -webkit-text-stroke: 0.1575px rgba(0, 0, 0, 0);"&gt;&lt;span style="display: inline-block;"&gt;Joi&lt;/span&gt;&lt;span style="word-spacing: 0px; letter-spacing: 0.0315px; display: inline-block; margin-left: 0px; width: 0.410156px; font-size: 10.5px; font-family: ff70; -webkit-text-stroke: 0.1575px rgba(0, 0, 0, 0);"&gt;&lt;/span&gt;&lt;span style="display: inline-block;"&gt;nt ve&lt;/span&gt;&lt;span style="word-spacing: 0px; letter-spacing: 0.0315px; display: inline-block; margin-left: 0px; width: 0.410156px; font-size: 10.5px; font-family: ff70; -webkit-text-stroke: 0.1575px rgba(0, 0, 0, 0);"&gt;&lt;/span&gt;&lt;span style="display: inline-block;"&gt;ntur&lt;/span&gt;&lt;span style="word-spacing: 0px; letter-spacing: 0.0315px; display: inline-block; margin-left: 0px; width: 0.410156px; font-size: 10.5px; font-family: ff70; -webkit-text-stroke: 0.1575px rgba(0, 0, 0, 0);"&gt;&lt;/span&gt;&lt;span style="display: inline-block;"&gt;es a&lt;/span&gt;&lt;span style="word-spacing: 0px; letter-spacing: 0.0315px; display: inline-block; margin-left: 0px; width: 0.410156px; font-size: 10.5px; font-family: ff70; -webkit-text-stroke: 0.1575px rgba(0, 0, 0, 0);"&gt;&lt;/span&gt;&lt;span style="display: inline-block;"&gt;nd a&lt;/span&gt;&lt;span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inline-block;"&gt;so&lt;/span&gt;&lt;span style="word-spacing: 0px; letter-spacing: 0.0315px; display: inline-block; margin-left: 0px; width: 0.410156px; font-size: 10.5px; font-family: ff70; -webkit-text-stroke: 0.1575px rgba(0, 0, 0, 0);"&gt;&lt;/span&gt;&lt;span style="display: inline-block;"&gt;cia&lt;/span&gt;&lt;span style="word-spacing: 0px; letter-spacing: 0.0315px; display: inline-block; margin-left: 0px; width: 0.410156px; font-size: 10.5px; font-family: ff70; -webkit-text-stroke: 0.1575px rgba(0, 0, 0, 0);"&gt;&lt;/span&gt;&lt;span style="display: inline-block;"&gt;ted c&lt;/span&gt;&lt;span style="word-spacing: 0px; letter-spacing: 0.0315px; display: inline-block; margin-left: 0px; width: 0.410156px; font-size: 10.5px; font-family: ff70; -webkit-text-stroke: 0.1575px rgba(0, 0, 0, 0);"&gt;&lt;/span&gt;&lt;span style="display: inline-block;"&gt;omp&lt;/span&gt;&lt;span style="word-spacing: 0px; letter-spacing: 0.0315px; display: inline-block; margin-left: 0px; width: 0.410156px; font-size: 10.5px; font-family: ff70; -webkit-text-stroke: 0.1575px rgba(0, 0, 0, 0);"&gt;&lt;/span&gt;&lt;span style="display: inline-block;"&gt;an&lt;/span&gt;&lt;span style="word-spacing: 0px; letter-spacing: 0.0315px; display: inline-block; margin-left: 0px; width: 0.410156px; font-size: 10.5px; font-family: ff70; -webkit-text-stroke: 0.1575px rgba(0, 0, 0, 0);"&gt;&lt;/span&gt;&lt;span style="display: inline-block;"&gt;ie&lt;/span&gt;&lt;span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58.1779px; font-size: 10.5px; font-family: ff70; -webkit-text-stroke: 0.1575px rgba(0, 0, 0, 0);"&gt;&lt;span style="display: inline-block;"&gt; &lt;/span&gt;&lt;/span&gt;&lt;span class="pp-font-color-override-1" style="word-spacing: 0.3885px; letter-spacing: -0.3885px; display: inline-block; margin-left: 0px; font-size: 10.5px; font-family: ff70; -webkit-text-stroke: 0.1575px rgba(0, 0, 0, 0);"&gt;&lt;span style="display: inline-block;"&gt;13&lt;/span&gt;&lt;span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0.410156px; font-size: 10.5px; font-family: ff70; -webkit-text-stroke: 0.1575px rgba(0, 0, 0, 0);"&gt;&lt;/span&gt;&lt;span style="display: inline-block;"&gt;2&lt;/span&gt;&lt;span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26.4668px; font-size: 10.5px; font-family: ff70; -webkit-text-stroke: 0.1575px rgba(0, 0, 0, 0);"&gt;&lt;span style="display: inline-block;"&gt;&lt;span style="width: 2.625px; display: inline-block;"&gt; &lt;/span&gt;&lt;/span&gt;&lt;/span&gt;&lt;span class="pp-font-color-override-1" style="word-spacing: 0.2415px; letter-spacing: -0.2415px; display: inline-block; margin-left: 0px; font-size: 10.5px; font-family: ff70; -webkit-text-stroke: 0.1575px rgba(0, 0, 0, 0);"&gt;&lt;span style="display: inline-block;"&gt;11&lt;/span&gt;&lt;span style="word-spacing: 0.2415px; letter-spacing: -0.2415px; display: inline-block; margin-left: 0px; width: 0.410156px; font-size: 10.5px; font-family: ff70; -webkit-text-stroke: 0.1575px rgba(0, 0, 0, 0);"&gt;&lt;/span&gt;&lt;span style="display: inline-block;"&gt;,&lt;/span&gt;&lt;span style="word-spacing: 0.2415px; letter-spacing: -0.2415px; display: inline-block; margin-left: 0px; width: 0.410156px; font-size: 10.5px; font-family: ff70; -webkit-text-stroke: 0.1575px rgba(0, </t>
  </si>
  <si>
    <t>f1__s8__6__54</t>
  </si>
  <si>
    <t>ifrs-full:DisclosureOfTradeAndOtherPayablesExplanatory</t>
  </si>
  <si>
    <t>&lt;span style="display:inherit;clear:left;position:relative;height:99.556640625px;"&gt;&lt;span class="pp-font-color-override-1" style="position: absolute; display: inline-block; left: 0px; top: 0.0039062px; width: 304.266px; white-space: pre; word-spacing: 0px; letter-spacing: 0px; margin-left: 0px; font-size: 9.6px; font-family: ff6f; -webkit-text-stroke: 0.144px rgba(0, 0, 0, 0);"&gt;&lt;span style="display: inline-block;"&gt;Sa&lt;/span&gt;&lt;span style="word-spacing: 0px; letter-spacing: 0px; display: inline-block; margin-left: 0px; width: 0.410156px; font-size: 9.6px; font-family: ff6f; -webkit-text-stroke: 0.144px rgba(0, 0, 0, 0);"&gt;&lt;/span&gt;&lt;span style="display: inline-block;"&gt;le&lt;/span&gt;&lt;span style="word-spacing: 0px; letter-spacing: 0px; display: inline-block; margin-left: 0px; width: 0.410156px; font-size: 9.6px; font-family: ff6f; -webkit-text-stroke: 0.144px rgba(0, 0, 0, 0);"&gt;&lt;/span&gt;&lt;span style="display: inline-block;"&gt;s of g&lt;/span&gt;&lt;span style="word-spacing: 0px; letter-spacing: 0px; display: inline-block; margin-left: 0px; width: 0.410156px; font-size: 9.6px; font-family: ff6f; -webkit-text-stroke: 0.144px rgba(0, 0, 0, 0);"&gt;&lt;/span&gt;&lt;span style="display: inline-block;"&gt;oo&lt;/span&gt;&lt;span style="word-spacing: 0px; letter-spacing: 0px; display: inline-block; margin-left: 0px; width: 0.410156px; font-size: 9.6px; font-family: ff6f; -webkit-text-stroke: 0.144px rgba(0, 0, 0, 0);"&gt;&lt;/span&gt;&lt;span style="display: inline-block;"&gt;ds&lt;/span&gt;&lt;span style="word-spacing: 0px; letter-spacing: 0px; display: inline-block; margin-left: 0px; width: 0.410156px; font-size: 9.6px; font-family: ff6f; -webkit-text-stroke: 0.144px rgba(0, 0, 0, 0);"&gt;&lt;/span&gt;&lt;span style="display: inline-block;"&gt;, s&lt;/span&gt;&lt;span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0.410156px; font-size: 9.6px; font-family: ff6f; -webkit-text-stroke: 0.144px rgba(0, 0, 0, 0);"&gt;&lt;/span&gt;&lt;span style="display: inline-block;"&gt;v&lt;/span&gt;&lt;span style="word-spacing: 0px; letter-spacing: 0px; display: inline-block; margin-left: 0px; width: 0.410156px; font-size: 9.6px; font-family: ff6f; -webkit-text-stroke: 0.144px rgba(0, 0, 0, 0);"&gt;&lt;/span&gt;&lt;span style="display: inline-block;"&gt;ic&lt;/span&gt;&lt;span style="word-spacing: 0px; letter-spacing: 0px; display: inline-block; margin-left: 0px; width: 0.410156px; font-size: 9.6px; font-family: ff6f; -webkit-text-stroke: 0.144px rgba(0, 0, 0, 0);"&gt;&lt;/span&gt;&lt;span style="display: inline-block;"&gt;e&lt;/span&gt;&lt;span style="word-spacing: 0px; letter-spacing: 0px; display: inline-block; margin-left: 0px; width: 0.410156px; font-size: 9.6px; font-family: ff6f; -webkit-text-stroke: 0.144px rgba(0, 0, 0, 0);"&gt;&lt;/span&gt;&lt;span style="display: inline-block;"&gt;s an&lt;/span&gt;&lt;span style="word-spacing: 0px; letter-spacing: 0px; display: inline-block; margin-left: 0px; width: 0.410156px; font-size: 9.6px; font-family: ff6f; -webkit-text-stroke: 0.144px rgba(0, 0, 0, 0);"&gt;&lt;/span&gt;&lt;span style="display: inline-block;"&gt;d oth&lt;/span&gt;&lt;span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100.248px; font-size: 9.6px; font-family: ff6f; -webkit-text-stroke: 0.144px rgba(0, 0, 0, 0);"&gt;&lt;span style="display: inline-block;"&gt; &lt;/span&gt;&lt;/span&gt;&lt;span class="pp-font-color-override-1" style="word-spacing: -0.0384px; letter-spacing: 0.0384px; display: inline-block;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inline-block;"&gt;2024&lt;/span&gt;&lt;/span&gt;&lt;/span&gt;&lt;/span&gt;&lt;span class="pp-font-color-override-1" style="position: absolute; display: inline-block; left: 75.4688px; top: 22.4805px; width: 10.0254px; white-space: pre; word-spacing: 0.0428505px; letter-spacing: -0.0428505px; margin-left: 0px; font-size: 6.1215px; font-family: ff70; -webkit-text-stroke: 0.0918225px rgba(0, 0, 0, 0);"&gt;&lt;span style="display: inline-block;"&gt;1)2)&lt;/span&gt;&lt;/span&gt;&lt;span class="pp-font-color-override-1" style="position: absolute; display: inline-block; left: 0px; top: 22.6348px; width: 65.2207px; white-space: pre; word-spacing: 0px; letter-spacing: 0.0315px; margin-left: 0px; font-size: 10.5px; font-family: ff70; -webkit-text-stroke: 0.1575px rgba(0, 0, 0, 0);"&gt;&lt;span style="display: inline-block;"&gt;Rel&lt;/span&gt;&lt;span style="word-spacing: 0px; letter-spacing: 0.0315px; display: inline-block; margin-left: 0px; width: 0.410156px; font-size: 10.5px; font-family: ff70; -webkit-text-stroke: 0.1575px rgba(0, 0, 0, 0);"&gt;&lt;/span&gt;&lt;span style="display: inline-block;"&gt;ate&lt;/span&gt;&lt;span style="word-spacing: 0px; letter-spacing: 0.0315px; display: inline-block; margin-left: 0px; width: 0.410156px; font-size: 10.5px; font-family: ff70; -webkit-text-stroke: 0.1575px rgba(0, 0, 0, 0);"&gt;&lt;/span&gt;&lt;span style="display: inline-block;"&gt;d pa&lt;/span&gt;&lt;span style="word-spacing: 0px; letter-spacing: 0.0315px; display: inline-block; margin-left: 0px; width: 0.410156px; font-size: 10.5px; font-family: ff70; -webkit-text-stroke: 0.1575px rgba(0, 0, 0, 0);"&gt;&lt;/span&gt;&lt;span style="display: inline-block;"&gt;r&lt;/span&gt;&lt;span style="word-spacing: 0px; letter-spacing: 0.0315px; display: inline-block; margin-left: 0px; width: 0.410156px; font-size: 10.5px; font-family: ff70; -webkit-text-stroke: 0.1575px rgba(0, 0, 0, 0);"&gt;&lt;/span&gt;&lt;span style="display: inline-block;"&gt;tie&lt;/span&gt;&lt;span style="word-spacing: 0px; letter-spacing: 0.0315px; display: inline-block; margin-left: 0px; width: 0.410156px; font-size: 10.5px; font-family: ff70; -webkit-text-stroke: 0.1575px rgba(0, 0, 0, 0);"&gt;&lt;/span&gt;&lt;span style="display: inline-block;"&gt;s&lt;/span&gt;&lt;/span&gt;&lt;span class="pp-font-color-override-1" style="position: absolute; display: inline-block; left: 257.891px; top: 22.6348px; width: 81.5625px; white-space: pre; word-spacing: 0.273px; letter-spacing: -0.273px; margin-left: 0px; font-size: 10.5px; font-family: ff70; -webkit-text-stroke: 0.1575px rgba(0, 0, 0, 0);"&gt;&lt;span style="display: inline-block;"&gt;15&lt;/span&gt;&lt;span style="word-spacing: 0.273px; letter-spacing: -0.273px; display: inline-block; margin-left: 0px; width: 0.410156px; font-size: 10.5px; font-family: ff70; -webkit-text-stroke: 0.1575px rgba(0, 0, 0, 0);"&gt;&lt;/span&gt;&lt;span style="display: inline-block;"&gt;,7&lt;/span&gt;&lt;span style="word-spacing: 0.273px; letter-spacing: -0.273px; display: inline-block; margin-left: 0px; width: 0.410156px; font-size: 10.5px; font-family: ff70; -webkit-text-stroke: 0.1575px rgba(0, 0, 0, 0);"&gt;&lt;/span&gt;&lt;span style="display: inline-block;"&gt;9&lt;/span&gt;&lt;span style="word-spacing: 0.273px; letter-spacing: -0.273px; display: inline-block; margin-left: 0px; width: 0.410156px; font-size: 10.5px; font-family: ff70; -webkit-text-stroke: 0.1575px rgba(0, 0, 0, 0);"&gt;&lt;/span&gt;&lt;span style="display: inline-block;"&gt;2&lt;/span&gt;&lt;span style="word-spacing: 0.273px; letter-spacing: -0.273px; display: inline-block; margin-left: 0px; width: 25.3242px; font-size: 10.5px; font-family: ff70; -webkit-text-stroke: 0.1575px rgba(0, 0, 0, 0);"&gt;&lt;span style="display: inline-block;"&gt;&lt;span style="width: 2.625px; display: inline-block;"&gt; &lt;/span&gt;&lt;/span&gt;&lt;/span&gt;&lt;span class="pp-font-color-override-1" style="word-spacing: 0.546px; letter-spacing: -0.546px; display: inline-block; margin-left: 0px; font-size: 10.5px; font-family: ff70; -webkit-text-stroke: 0.1575px rgba(0, 0, 0, 0);"&gt;&lt;span style="display: inline-block;"&gt;1&lt;/span&gt;&lt;span style="word-spacing: 0.546px; letter-spacing: -0.546px; display: inline-block; margin-left: 0px; width: 0.410156px; font-size: 10.5px; font-family: ff70; -webkit-text-stroke: 0.1575px rgba(0, 0, 0, 0);"&gt;&lt;/span&gt;&lt;span style="display: inline-block;"&gt;7,&lt;/span&gt;&lt;span style="word-spacing: 0.546px; letter-spacing: -0.546px; display: inline-block; margin-left: 0px; width: 0.925781px; font-size: 10.5px; font-family: ff70; -webkit-text-stroke: 0.1575px rgba(0, 0, 0, 0);"&gt;&lt;/span&gt;&lt;span style="display: inline-block;"&gt;9&lt;/span&gt;&lt;span style="word-spacing: 0.546px; letter-spacing: -0.546px; display: inline-block; margin-left: 0px; width: 0.410156px; font-size: 10.5px; font-family: ff70; -webkit-text-stroke: 0.1575px rgba(0, 0, 0, 0);"&gt;&lt;/span&gt;&lt;span style="display: inline-block;"&gt;1&lt;/span&gt;&lt;span style="word-spacing: 0.546px; letter-spacing: -0.546px; display: inline-block; margin-left: 0px; width: 0.410156px; font-size: 10.5px; font-family: ff70; -webkit-text-stroke: 0.1575px rgba(0, 0, 0, 0);"&gt;&lt;/span&gt;&lt;span style="display: inline-block;"&gt;8&lt;/span&gt;&lt;/span&gt;&lt;/span&gt;&lt;span class="pp-font-color-override-1" style="position: absolute; display: inline-block; left: 0px; top: 39.4512px; width: 318.129px;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Po&lt;/span&gt;&lt;span style="word-spacing: -0.0315px; letter-spacing: 0.0315px; display: inline-block; margin-left: 0px; width: 0.410156px; font-size: 10.5px; font-family: ff75; -webkit-text-stroke: 0.1575px rgba(0, 0, 0, 0);"&gt;&lt;/span&gt;&lt;span style="display: inline-block;"&gt;lest&lt;/span&gt;&lt;span style="word-spacing: -0.0315px; letter-spacing: 0.0315px; display: inline-block; margin-left: 0px; width: 0.410156px; font-size: 10.5px; font-family: ff75; -webkit-text-stroke: 0.1575px rgba(0, 0, 0, 0);"&gt;&lt;/span&gt;&lt;span style="display: inline-block;"&gt;ar Auto&lt;/span&gt;&lt;span style="word-spacing: -0.0315px; letter-spacing: 0.0315px; display: inline-block; margin-left: 0px; width: 0.410156px; font-size: 10.5px; font-family: ff75; -webkit-text-stroke: 0.1575px rgba(0, 0, 0, 0);"&gt;&lt;/span&gt;&lt;span style="display: inline-block;"&gt;motiv&lt;/span&gt;&lt;span style="word-spacing: -0.0315px; letter-spacing: 0.0315px; display: inline-block; margin-left: 0px; width: 0.410156px; font-size: 10.5px; font-family: ff75; -webkit-text-stroke: 0.1575px rgba(0, 0, 0, 0);"&gt;&lt;/span&gt;&lt;span style="display: inline-block;"&gt;e Hol&lt;/span&gt;&lt;span style="word-spacing: -0.0315px; letter-spacing: 0.0315px; display: inline-block; margin-left: 0px; width: 0.410156px; font-size: 10.5px; font-family: ff75; -webkit-text-stroke: 0.1575px rgba(0, 0, 0, 0);"&gt;&lt;/span&gt;&lt;span style="display: inline-block;"&gt;din&lt;/span&gt;&lt;span style="word-spacing: -0.0315px; letter-spacing: 0.0315px; display: inline-block; margin-left: 0px; width: 0.410156px; font-size: 10.5px; font-family: ff75; -webkit-text-stroke: 0.1575px rgba(0, 0, 0, 0);"&gt;&lt;/span&gt;&lt;span style="display: inline-block;"&gt;g UK Gro&lt;/span&gt;&lt;span style="word-spacing: -0.0315px; letter-spacing: 0.0315px; display: inline-block; margin-left: 0px; width: 0.410156px; font-size: 10.5px; font-family: ff75; -webkit-text-stroke: 0.1575px rgba(0, 0, 0, 0);"&gt;&lt;/span&gt;&lt;span style="display: inline-block;"&gt;up&lt;/span&gt;&lt;span style="word-spacing: -0.0315px; letter-spacing: 0.0315px; display: inline-block; margin-left: 0px; width: 16.5586px; font-size: 10.5px; font-family: ff75; -webkit-text-stroke: 0.1575px rgba(0, 0, 0, 0);"&gt;&lt;span style="display: inline-block;"&gt; &lt;/span&gt;&lt;/span&gt;&lt;span class="pp-font-color-override-1" style="word-spacing: 0.273px; letter-spacing: -0.273px; display: inline-block; margin-left: 0px; font-size: 10.5px; font-family: ff76; -webkit-text-stroke: 0.1575px rgba(0, 0, 0, 0);"&gt;&lt;span style="display: inline-block;"&gt;13&lt;/span&gt;&lt;span style="word-spacing: 0.273px; letter-spacing: -0.273px; display: inline-block; margin-left: 0px; width: 0.410156px; font-size: 10.5px; font-family: ff76; -webkit-text-stroke: 0.1575px rgba(0, 0, 0, 0);"&gt;&lt;/span&gt;&lt;span style="display: inline-block;"&gt;,7&lt;/span&gt;&lt;span style="word-spacing: 0.273px; letter-spacing: -0.273px; display: inline-block; margin-left: 0px; width: 0.410156px; font-size: 10.5px; font-family: ff76; -webkit-text-stroke: 0.1575px rgba(0, 0, 0, 0);"&gt;&lt;/span&gt;&lt;span style="display: inline-block;"&gt;3&lt;/span&gt;&lt;span style="word-spacing: 0.273px; letter-spacing: -0.273px; display: inline-block; margin-left: 0px; width: 0.410156px; font-size: 10.5px; font-family: ff76; -webkit-text-stroke: 0.1575px rgba(0, 0, 0, 0);"&gt;&lt;/span&gt;&lt;span style="display: inline-block;"&gt;0&lt;/span&gt;&lt;span style="word-spacing: 0.273px; letter-spacing: -0.273px; display: inline-block; margin-left: 0px; width: 21.8145px; font-size: 10.5px; font-family: ff76; -webkit-text-stroke: 0.1575px rgba(0, 0, 0, 0);"&gt;&lt;span style="display: inline-block;"&gt;&lt;span style="width: 2.625px; display: inline-block;"&gt; &lt;/span&gt;&lt;/span&gt;&lt;/span&gt;&lt;span class="pp-font-color-override-1" style="word-spacing: 0.0735px; letter-spacing: -0.0735px; display: inline-block; margin-left: 0px; font-size: 10.5px; font-family: ff76; -webkit-text-stroke: 0.1575px rgba(0, 0, 0, 0);"&gt;&lt;span style="display: inline-block;"&gt;15,&lt;/span&gt;&lt;span style="word-spacing: 0.0735px; letter-spacing: -0.0735px; display: inline-block; margin-left: 0px; width: 0.410156px; font-size: 10.5px; font-family: ff76; -webkit-text-stroke: 0.1575px rgba(0, 0, 0, 0);"&gt;&lt;/span&gt;&lt;span style="display: inline-block;"&gt;40&lt;/span&gt;&lt;span style="word-spacing: 0.0735px; letter-spacing: -0.0735px; display: inline-block; margin-left: 0px; width: 2.625px; font-size: 10.5px; font-family: ff76; -webkit-text-stroke: 0.1575px rgba(0, 0, 0, 0);"&gt;&lt;span style="display: inline-block;"&gt;&lt;span style="width: 2.625px; display: inline-block;"&gt; &lt;/span&gt;&lt;/span&gt;&lt;/span&gt;&lt;span style="display: inline-block;"&gt;2&lt;/span&gt;&lt;/span&gt;&lt;/span&gt;&lt;/span&gt;&lt;span class="pp-font-color-override-1" style="position: absolute; display: inline-block; left: 0px; top: 55.4199px; width: 322.031px;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Ni&lt;/span&gt;&lt;span style="word-spacing: -0.0315px; letter-spacing: 0.0315px; display: inline-block; margin-left: 0px; width: 0.410156px; font-size: 10.5px; font-family: ff75; -webkit-text-stroke: 0.1575px rgba(0, 0, 0, 0);"&gt;&lt;/span&gt;&lt;span style="display: inline-block;"&gt;ng&lt;/span&gt;&lt;span style="word-spacing: -0.0315px; letter-spacing: 0.0315px; display: inline-block; margin-left: 0px; width: 0.410156px; font-size: 10.5px; font-family: ff75; -webkit-text-stroke: 0.1575px rgba(0, 0, 0, 0);"&gt;&lt;/span&gt;&lt;span style="display: inline-block;"&gt;bo Fuh&lt;/span&gt;&lt;span style="word-spacing: -0.0315px; letter-spacing: 0.0315px; display: inline-block; margin-left: 0px; width: 0.410156px; font-size: 10.5px; font-family: ff75; -webkit-text-stroke: 0.1575px rgba(0, 0, 0, 0);"&gt;&lt;/span&gt;&lt;span style="display: inline-block;"&gt;on&lt;/span&gt;&lt;span style="word-spacing: -0.0315px; letter-spacing: 0.0315px; display: inline-block; margin-left: 0px; width: 0.410156px; font-size: 10.5px; font-family: ff75; -webkit-text-stroke: 0.1575px rgba(0, 0, 0, 0);"&gt;&lt;/span&gt;&lt;span style="display: inline-block;"&gt;g Auto Sa&lt;/span&gt;&lt;span style="word-spacing: -0.0315px; letter-spacing: 0.0315px; display: inline-block; margin-left: 0px; width: 0.410156px; font-size: 10.5px; font-family: ff75; -webkit-text-stroke: 0.1575px rgba(0, 0, 0, 0);"&gt;&lt;/span&gt;&lt;span style="display: inline-block;"&gt;les &lt;/span&gt;&lt;span style="word-spacing: -0.0315px; letter-spacing: 0.0315px; display: inline-block; margin-left: 0px; width: 0.410156px; font-size: 10.5px; font-family: ff75; -webkit-text-stroke: 0.1575px rgba(0, 0, 0, 0);"&gt;&lt;/span&gt;&lt;span style="display: inline-block;"&gt;Co.&lt;/span&gt;&lt;span style="word-spacing: -0.0315px; letter-spacing: 0.0315px; display: inline-block; margin-left: 0px; width: 0.410156px; font-size: 10.5px; font-family: ff75; -webkit-text-stroke: 0.1575px rgba(0, 0, 0, 0);"&gt;&lt;/span&gt;&lt;span style="display: inline-block;"&gt;, Ltd&lt;/span&gt;&lt;span style="word-spacing: -0.0315px; letter-spacing: 0.0315px; display: inline-block; margin-left: 0px; width: 53.0741px; font-size: 10.5px; font-family: ff75; -webkit-text-stroke: 0.1575px rgba(0, 0, 0, 0);"&gt;&lt;span style="display: inline-block;"&gt; &lt;/span&gt;&lt;/span&gt;&lt;span class="pp-font-color-override-1" style="word-spacing: 0.063px; letter-spacing: -0.063px; display: inline-block; margin-left: 0px; font-size: 10.5px; font-family: ff76; -webkit-text-stroke: 0.1575px rgba(0, 0, 0, 0);"&gt;&lt;span style="display: inline-block;"&gt;571&lt;/span&gt;&lt;span style="word-spacing: 0.063px; letter-spacing: -0.063px; display: inline-block; margin-left: 0px; width: 29.5723px; font-size: 10.5px; font-family: ff76; -webkit-text-stroke: 0.1575px rgba(0, 0, 0, 0);"&gt;&lt;span style="display: inline-block;"&gt;&lt;span style="width: 2.625px; display: inline-block;"&gt; &lt;/span&gt;&lt;/span&gt;&lt;/span&gt;&lt;span class="pp-font-color-override-1" style="word-spacing: 0.273px; letter-spacing: -0.273px; display: inline-block; margin-left: 0px; font-size: 10.5px; font-family: ff76; -webkit-text-stroke: 0.1575px rgba(0, 0, 0, 0);"&gt;&lt;span style="display: inline-block;"&gt;1&lt;/span&gt;&lt;span style="word-spacing: 0.273px; letter-spacing: -0.273px; display: inline-block; margin-left: 0px; width: 0.410156px; font-size: 10.5px; font-family: ff76; -webkit-text-stroke: 0.1575px rgba(0, 0, 0, 0);"&gt;&lt;/span&gt;&lt;span style="display: inline-block;"&gt;,78&lt;/span&gt;&lt;span style="word-spacing: 0.273px; letter-spacing: -0.273px; display: inline-block; margin-left: 0px; width: 0.410156px; font-size: 10.5px; font-family: ff76; -webkit-text-stroke: 0.1575px rgba(0, 0, 0, 0);"&gt;&lt;/span&gt;&lt;span style="display: inline-block;"&gt;3&lt;/span&gt;&lt;/span&gt;&lt;/span&gt;&lt;/span&gt;&lt;span class="pp-font-color-override-1" style="position: absolute; display: inline-block; left: 0px; top: 71.2441px; width: 316.605px; white-space: pre; word-spacing: 0px; letter-spacing: 0.0315px; margin-left: 0px; font-size: 10.5px; font-family: ff70; -webkit-text-stroke: 0.1575px rgba(0, 0, 0, 0);"&gt;&lt;span style="display: inline-block;"&gt;Joi&lt;/span&gt;&lt;span style="word-spacing: 0px; letter-spacing: 0.0315px; display: inline-block; margin-left: 0px; width: 0.410156px; font-size: 10.5px; font-family: ff70; -webkit-text-stroke: 0.1575px rgba(0, 0, 0, 0);"&gt;&lt;/span&gt;&lt;span style="display: inline-block;"&gt;nt ve&lt;/span&gt;&lt;span style="word-spacing: 0px; letter-spacing: 0.0315px; display: inline-block; margin-left: 0px; width: 0.410156px; font-size: 10.5px; font-family: ff70; -webkit-text-stroke: 0.1575px rgba(0, 0, 0, 0);"&gt;&lt;/span&gt;&lt;span style="display: inline-block;"&gt;ntur&lt;/span&gt;&lt;span style="word-spacing: 0px; letter-spacing: 0.0315px; display: inline-block; margin-left: 0px; width: 0.410156px; font-size: 10.5px; font-family: ff70; -webkit-text-stroke: 0.1575px rgba(0, 0, 0, 0);"&gt;&lt;/span&gt;&lt;span style="display: inline-block;"&gt;es a&lt;/span&gt;&lt;span style="word-spacing: 0px; letter-spacing: 0.0315px; display: inline-block; margin-left: 0px; width: 0.410156px; font-size: 10.5px; font-family: ff70; -webkit-text-stroke: 0.1575px rgba(0, 0, 0, 0);"&gt;&lt;/span&gt;&lt;span style="display: inline-block;"&gt;nd a&lt;/span&gt;&lt;span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inline-block;"&gt;so&lt;/span&gt;&lt;span style="word-spacing: 0px; letter-spacing: 0.0315px; display: inline-block; margin-left: 0px; width: 0.410156px; font-size: 10.5px; font-family: ff70; -webkit-text-stroke: 0.1575px rgba(0, 0, 0, 0);"&gt;&lt;/span&gt;&lt;span style="display: inline-block;"&gt;cia&lt;/span&gt;&lt;span style="word-spacing: 0px; letter-spacing: 0.0315px; display: inline-block; margin-left: 0px; width: 0.410156px; font-size: 10.5px; font-family: ff70; -webkit-text-stroke: 0.1575px rgba(0, 0, 0, 0);"&gt;&lt;/span&gt;&lt;span style="display: inline-block;"&gt;ted c&lt;/span&gt;&lt;span style="word-spacing: 0px; letter-spacing: 0.0315px; display: inline-block; margin-left: 0px; width: 0.410156px; font-size: 10.5px; font-family: ff70; -webkit-text-stroke: 0.1575px rgba(0, 0, 0, 0);"&gt;&lt;/span&gt;&lt;span style="display: inline-block;"&gt;omp&lt;/span&gt;&lt;span style="word-spacing: 0px; letter-spacing: 0.0315px; display: inline-block; margin-left: 0px; width: 0.410156px; font-size: 10.5px; font-family: ff70; -webkit-text-stroke: 0.1575px rgba(0, 0, 0, 0);"&gt;&lt;/span&gt;&lt;span style="display: inline-block;"&gt;an&lt;/span&gt;&lt;span style="word-spacing: 0px; letter-spacing: 0.0315px; display: inline-block; margin-left: 0px; width: 0.410156px; font-size: 10.5px; font-family: ff70; -webkit-text-stroke: 0.1575px rgba(0, 0, 0, 0);"&gt;&lt;/span&gt;&lt;span style="display: inline-block;"&gt;ie&lt;/span&gt;&lt;span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58.1779px; font-size: 10.5px; font-family: ff70; -webkit-text-stroke: 0.1575px rgba(0, 0, 0, 0);"&gt;&lt;span style="display: inline-block;"&gt; &lt;/span&gt;&lt;/span&gt;&lt;span class="pp-font-color-override-1" style="word-spacing: 0.3885px; letter-spacing: -0.3885px; display: inline-block; margin-left: 0px; font-size: 10.5px; font-family: ff70; -webkit-text-stroke: 0.1575px rgba(0, 0, 0, 0);"&gt;&lt;span style="display: inline-block;"&gt;13&lt;/span&gt;&lt;span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0.410156px; font-size: 10.5px; font-family: ff70; -webkit-text-stroke: 0.1575px rgba(0, 0, 0, 0);"&gt;&lt;/span&gt;&lt;span style="display: inline-block;"&gt;2&lt;/span&gt;&lt;span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26.4668px; font-size: 10.5px; font-family: ff70; -webkit-text-stroke: 0.1575px rgba(0, 0, 0, 0);"&gt;&lt;span style="display: inline-block;"&gt;&lt;span style="width: 2.625px; display: inline-block;"&gt; &lt;/span&gt;&lt;/span&gt;&lt;/span&gt;&lt;span class="pp-font-color-override-1" style="word-spacing: 0.2415px; letter-spacing: -0.2415px; display: inline-block; margin-left: 0px; font-size: 10.5px; font-family: ff70; -webkit-text-stroke: 0.1575px rgba(0, 0, 0, 0);"&gt;&lt;span style="display: inline-block;"&gt;11&lt;/span&gt;&lt;span style="word-spacing: 0.2415px; letter-spacing: -0.2415px; display: inline-block; margin-left: 0px; width: 0.410156px; font-size: 10.5px; font-family: ff70; -webkit-text-stroke: 0.1575px rgba(0, 0, 0, 0);"&gt;&lt;/span&gt;&lt;span style="display: inline-block;"&gt;,&lt;/span&gt;&lt;span style="word-spacing: 0.2415px; letter-spacing: -0.2415px; display: inline-block; margin-left: 0px; width: 0.410156px; font-size: 10.5px; font-family: ff70; -webkit-text-stroke: 0.1575px rgba(0, 0, 0, 0);"&gt;&lt;/span&gt;&lt;span style="display: inline-block;"&gt;82&lt;/span&gt;&lt;span style="word-spacing: 0.2415px; letter-spacing: -0.2415px; display: inline-block; margin-left: 0px; width: 0.410156px; font-size: 10.5px; font-family: ff70; -webkit-text-stroke: 0.1575px rgba(0, 0, 0, 0);"&gt;&lt;/span&gt;&lt;span style="display: inline-block;"&gt;1&lt;/span&gt;&lt;/span&gt;&lt;/span&gt;&lt;/span&gt;&lt;span class="pp-font-color-override-1" style="position: absolute; display: inline-block; left: 0px; top: 87.9355px; width: 324.475px;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Volvo Ca&lt;/span&gt;&lt;span style="word-spacing: -0.0315px; letter-spacing: 0.0315px; display: inline-block; margin-left: 0px; width: 0.410156px; font-size: 10.5px; font-family: ff75; -webkit-text-stroke: 0.1575px rgba(0, 0, 0, 0);"&gt;&lt;/span&gt;&lt;span style="display: inline-block;"&gt;r Fin&lt;/span&gt;&lt;span style="word-spacing: -0.0315px; letter-spacing: 0.0315px; display: inline-block; margin-left: 0px; width: 0.410156px; font-size: 10.5px; font-family: ff75; -webkit-text-stroke: 0.1575px rgba(0, 0, 0, 0);"&gt;&lt;/span&gt;&lt;span style="display: inline-block;"&gt;an&lt;/span&gt;&lt;span style="word-spacing: -0.0315px; letter-spacing: 0.0315px; display: inline-block; margin-left: 0px; width: 0.410156px; font-size: 10.5px; font-family: ff75; -webkit-text-stroke: 0.1575px rgba(0, 0, 0, 0);"&gt;&lt;/span&gt;&lt;span style="display: inline-block;"&gt;cia&lt;/span&gt;&lt;span style="word-spacing: -0.0315px; letter-spacing: 0.0315px; display: inline-block; margin-left: 0px; width: 0.410156px; font-size: 10.5px; font-family: ff75; -webkit-text-stroke: 0.1575px rgba(0, 0, 0, 0);"&gt;&lt;/span&gt;&lt;span style="display: inline-block;"&gt;l Se&lt;/span&gt;&lt;span style="word-spacing: -0.0315px; letter-spacing: 0.0315px; display: inline-block; margin-left: 0px; width: 0.410156px; font-size: 10.5px; font-family: ff75; -webkit-text-stroke: 0.1575px rgba(0, 0, 0, 0);"&gt;&lt;/span&gt;&lt;span style="display: inline-block;"&gt;r&lt;/span&gt;&lt;span style="word-spacing: -0.0315px; letter-spacing: 0.0315px; display: inline-block; margin-left: 0px; width: 0.410156px; font-size: 10.5px; font-family: ff75; -webkit-text-stroke: 0.1575px rgba(0, 0, 0, 0);"&gt;&lt;/span&gt;&lt;span style="display: inline-block;"&gt;vic&lt;/span&gt;&lt;span style="word-spacing: -0.0315px; letter-spacing: 0.0315px; display: inline-block; margin-left: 0px; width: 0.410156px; font-size: 10.5px; font-family: ff75; -webkit-text-stroke: 0.1575px rgba(0, 0, 0, 0);"&gt;&lt;/span&gt;&lt;span style="display: inline-block;"&gt;es U&lt;/span&gt;&lt;span style="word-spacing: -0.0315px; letter-spacing: 0.0315px; display: inline-block; margin-left: 0px; width: 0.410156px; font-size: 10.5px; font-family: ff75; -webkit-text-stroke: 0.1575px rgba(0, 0, 0, 0);"&gt;&lt;/span&gt;&lt;span style="display: inline-block;"&gt;K Ltd&lt;/span&gt;&lt;span style="word-spacing: -0.0315px; letter-spacing: 0.0315px; display: inline-block; margin-left: 0px; width: 36.498px; font-size: 10.5px; font-family: ff75; -webkit-text-stroke: 0.1575px rgba(0, 0, 0, 0);"&gt;&lt;span style="display: inline-block;"&gt; &lt;/span&gt;&lt;/span&gt;&lt;span class="pp-font-color-override-1" style="word-spacing: 0.336px; letter-spacing: -0.336px; display: inline-block; margin-left: 0px; font-size: 10.5px; font-family: ff76; -webkit-text-stroke: 0.1575px rgba(0, 0, 0, 0);"&gt;&lt;span style="display: inline-block;"&gt;11&lt;/span&gt;&lt;span style="word-spacing: 0.336px; letter-spacing: -0.336px; display: inline-block; margin-left: 0px; width: 0.410156px; font-size: 10.5px; font-family: ff76; -webkit-text-stroke: 0.1575px rgba(0, 0, 0, 0);"&gt;&lt;/span&gt;&lt;span style="display: inline-block;"&gt;,&lt;/span&gt;&lt;span style="word-spacing: 0.336px; letter-spacing: -0.336px; display: inline-block; margin-left: 0px; width: 0.410156px; font-size: 10.5px; font-family: ff76; -webkit-text-stroke: 0.1575px rgba(0, 0, 0, 0);"&gt;&lt;/span&gt;&lt;span style="display: inline-block;"&gt;2&lt;/span&gt;&lt;span style="word-spacing: 0.336px; letter-spacing: -0.336px; display: inline-block; margin-left: 0px; width: 2.625px; font-size: 10.5px; font-family: ff76; -webkit-text-stroke: 0.1575px rgba(0, 0, 0, 0);"&gt;&lt;span style="display: inline-block;"&gt;&lt;span style="width: 2.625px; display: inline-block;"&gt; &lt;/span&gt;&lt;/span&gt;&lt;/span&gt;&lt;span style="display: inline-block;"&gt;7&lt;/span&gt;&lt;span style="word-spacing: 0.336px; letter-spacing: -0.336px; display: inline-block; margin-left: 0px; width: 0.410156px; font-size: 10.5px; font-family: ff76; -webkit-text-stroke: 0.1575px rgba(0, 0, 0, 0);"&gt;&lt;/span&gt;&lt;span style="display: inline-block;"&gt;6&lt;/span&gt;&lt;span style="word-spacing: 0.336px; letter-spacing: -0.336px; display: inline-block; margin-left: 0px; width: 27.6035px; font-size: 10.5px; font-family: ff76; -webkit-text-stroke: 0.1575px rgba(0, 0, 0, 0);"&gt;&lt;span style="display: inline-block;"&gt;&lt;span style="width: 2.625px; display: inline-block;"&gt; &lt;/span&gt;&lt;/span&gt;&lt;/span&gt;&lt;span class="pp-font-color-override-1" style="word-spacing: 0.5145px; letter-spacing: -0.5145px; display: inline-block; margin-left: 0px; font-size: 10.5px; font-family: ff76; -webkit-text-stroke: 0.1575px rgba(0, 0, 0, 0);"&gt;&lt;span style="display: inline-block;"&gt;7,&lt;/span&gt;&lt;span style="word-spacing: 0.5145px; letter-spacing: -0.5145px; display: inline-block; margin-left: 0px; width: 0.410156px; font-size: 10.5px; font-family: ff76; -webkit-text-stroke: 0.1575px rgba(0, 0, 0, 0);"&gt;&lt;/span&gt;&lt;span style="display: inline-block;"&gt;6&lt;/span&gt;&lt;span style="word-spacing: 0.5145px; letter-spacing: -0.5145px; display: inline-block; margin-left: 0px; width: 0.410156px; font-size: 10.5px; font-family: ff76; -webkit-text-stroke: 0.1575px rgba(0, 0, 0, 0);"&gt;&lt;/span&gt;&lt;span style="display: inline-block;"&gt;8&lt;/span&gt;&lt;span style="word-spacing: 0.5145px; letter-spacing: -0.5145px; display: inline-block; margin-left: 0px; width: 0.925781px; font-size: 10.5px; font-family: ff76; -webkit-text-stroke: 0.1575px rgba(0, 0, 0, 0);"&gt;&lt;/span&gt;&lt;span style="display: inline-block;"&gt;6&lt;/span&gt;&lt;/span&gt;&lt;/span&gt;&lt;/span&gt;&lt;/span&gt;&lt;span style="display:inherit;clear:left;position:relative;height:234.521484375px;"&gt;&lt;span class="pp-font-color-override-1" style="position: absolute; display: inline-block; left: 0px; top: 0.0039062px; width: 299.402px; white-space: pre; word-spacing: 0px; letter-spacing: 0px; margin-left: 0px; font-size: 9.6px; font-family: ff6f; -webkit-text-stroke: 0.144px rgba(0, 0, 0, 0);"&gt;&lt;span style="display: inline-block;"&gt;Pur&lt;/span&gt;&lt;span style="word-spacing: 0px; letter-spacing: 0px; display: inline-block; margin-left: 0px; width: 0.410156px; font-size: 9.6px; font-family: ff6f; -webkit-text-stroke: 0.144px rgba(0, 0, 0, 0);"&gt;&lt;/span&gt;&lt;span style="display: inline-block;"&gt;ch&lt;/span&gt;&lt;span style="word-spacing: 0px; letter-spacing: 0px; display: inline-block; margin-left: 0px; width: 0.410156px; font-size: 9.6px; font-family: ff6f; -webkit-text-stroke: 0.144px rgba(0, 0, 0, 0);"&gt;&lt;/span&gt;&lt;span style="display: inline-block;"&gt;as&lt;/span&gt;&lt;span style="word-spacing: 0px; letter-spacing: 0px; display: inline-block; margin-left: 0px; width: 0.410156px; font-size: 9.6px; font-family: ff6f; -webkit-text-stroke: 0.144px rgba(0, 0, 0, 0);"&gt;&lt;/span&gt;&lt;span style="display: inline-block;"&gt;e&lt;/span&gt;&lt;span style="word-spacing: 0px; letter-spacing: 0px; display: inline-block; margin-left: 0px; width: 0.410156px; font-size: 9.6px; font-family: ff6f; -webkit-text-stroke: 0.144px rgba(0, 0, 0, 0);"&gt;&lt;/span&gt;&lt;span style="display: inline-block;"&gt;s of g&lt;/span&gt;&lt;span style="word-spacing: 0px; letter-spacing: 0px; display: inline-block; margin-left: 0px; width: 0.410156px; font-size: 9.6px; font-family: ff6f; -webkit-text-stroke: 0.144px rgba(0, 0, 0, 0);"&gt;&lt;/span&gt;&lt;span style="display: inline-block;"&gt;oo&lt;/span&gt;&lt;span style="word-spacing: 0px; letter-spacing: 0px; display: inline-block; margin-left: 0px; width: 0.410156px; font-size: 9.6px; font-family: ff6f; -webkit-text-stroke: 0.144px rgba(0, 0, 0, 0);"&gt;&lt;/span&gt;&lt;span style="display: inline-block;"&gt;ds&lt;/span&gt;&lt;span style="word-spacing: 0px; letter-spacing: 0px; display: inline-block; margin-left: 0px; width: 0.410156px; font-size: 9.6px; font-family: ff6f; -webkit-text-stroke: 0.144px rgba(0, 0, 0, 0);"&gt;&lt;/span&gt;&lt;span style="display: inline-block;"&gt;, s&lt;/span&gt;&lt;span style="word-s</t>
  </si>
  <si>
    <t>f1__s8__6__56</t>
  </si>
  <si>
    <t>ifrs-full:DisclosureOfAuditorsRemunerationExplanatory</t>
  </si>
  <si>
    <t>&lt;span style="display:inherit;clear:left;"&gt;NOT&lt;span class="_ _7"&gt;&lt;/span&gt;E 5&lt;/span&gt;&lt;span style="display:inherit;clear:left;"&gt;AUDI&lt;span class="_ _7"&gt;&lt;/span&gt;T FEES&lt;/span&gt;&lt;span style="display:inherit;clear:left;position:relative;height:114.51953125px;"&gt;&lt;span class="pp-font-color-override-1" style="position: absolute; display: inline-block; left: 262.906px; top: 0.0039062px; width: 68.9941px;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 class="pp-font-color-override-1" style="position: absolute; display: inline-block; left: 0px; top: 22.3828px; width: 35.9238px; white-space: pre; word-spacing: -0.2625px; letter-spacing: 0.2625px; margin-left: 0px; font-size: 10.5px; font-family: ff6f; -webkit-text-stroke: 0.1575px rgba(0, 0, 0, 0);"&gt;&lt;span style="display: inline-block;"&gt;Deloitte&lt;/span&gt;&lt;/span&gt;&lt;span class="pp-font-color-override-1" style="position: absolute; display: inline-block; left: 0px; top: 38.5879px; width: 332.139px; white-space: pre; word-spacing: 0px; letter-spacing: 0.0315px; margin-left: 0px; font-size: 10.5px; font-family: ff70; -webkit-text-stroke: 0.1575px rgba(0, 0, 0, 0);"&gt;&lt;span style="display: inline-block;"&gt;Audi&lt;/span&gt;&lt;span style="word-spacing: 0px; letter-spacing: 0.0315px; display: inline-block; margin-left: 0px; width: 0.410156px; font-size: 10.5px; font-family: ff70; -webkit-text-stroke: 0.1575px rgba(0, 0, 0, 0);"&gt;&lt;/span&gt;&lt;span style="display: inline-block;"&gt;t fe&lt;/span&gt;&lt;span style="word-spacing: 0px; letter-spacing: 0.0315px; display: inline-block; margin-left: 0px; width: 0.410156px; font-size: 10.5px; font-family: ff70; -webkit-text-stroke: 0.1575px rgba(0, 0, 0, 0);"&gt;&lt;/span&gt;&lt;span style="display: inline-block;"&gt;es&lt;/span&gt;&lt;span style="word-spacing: 0px; letter-spacing: 0.0315px; display: inline-block; margin-left: 0px; width: 219.065px; font-size: 10.5px; font-family: ff70; -webkit-text-stroke: 0.1575px rgba(0, 0, 0, 0);"&gt;&lt;span style="display: inline-block;"&gt; &lt;/span&gt;&lt;/span&gt;&lt;span class="pp-font-color-override-1" style="word-spacing: -0.1785px; letter-spacing: 0.1785px; display: inline-block; margin-left: 0px; font-size: 10.5px; font-family: ff70; -webkit-text-stroke: 0.1575px rgba(0, 0, 0, 0);"&gt;&lt;span style="display: inline-block;"&gt;–60&lt;/span&gt;&lt;span style="word-spacing: -0.1785px; letter-spacing: 0.1785px; display: inline-block; margin-left: 0px; width: 35.4961px; font-size: 10.5px; font-family: ff70; -webkit-text-stroke: 0.1575px rgba(0, 0, 0, 0);"&gt;&lt;span style="display: inline-block;"&gt; &lt;/span&gt;&lt;/span&gt;&lt;span class="pp-font-color-override-1" style="word-spacing: -0.315px; letter-spacing: 0.315px; display: inline-block; margin-left: 0px; font-size: 10.5px; font-family: ff70; -webkit-text-stroke: 0.1575px rgba(0, 0, 0, 0);"&gt;&lt;span style="display: inline-block;"&gt;–64&lt;/span&gt;&lt;/span&gt;&lt;/span&gt;&lt;/span&gt;&lt;span class="pp-font-color-override-1" style="position: absolute; display: inline-block; left: 0px; top: 54.541px; width: 329.936px; white-space: pre; word-spacing: -0.0105px; letter-spacing: 0.042px; margin-left: 0px; font-size: 10.5px; font-family: ff70; -webkit-text-stroke: 0.1575px rgba(0, 0, 0, 0);"&gt;&lt;span style="display: inline-block;"&gt;Audi&lt;/span&gt;&lt;span style="word-spacing: -0.0105px; letter-spacing: 0.042px; display: inline-block; margin-left: 0px; width: 0.410156px; font-size: 10.5px; font-family: ff70; -webkit-text-stroke: 0.1575px rgba(0, 0, 0, 0);"&gt;&lt;/span&gt;&lt;span style="display: inline-block;"&gt;t&lt;/span&gt;&lt;span style="word-spacing: -0.0105px; letter-spacing: 0.042px; display: inline-block; margin-left: -0.684px; width: 0px; font-size: 10.5px; font-family: ff70; -webkit-text-stroke: 0.1575px rgba(0, 0, 0, 0);"&gt;&lt;/span&gt;&lt;span style="display: inline-block;"&gt;-rel&lt;/span&gt;&lt;span style="word-spacing: -0.0105px; letter-spacing: 0.042px; display: inline-block; margin-left: 0px; width: 0.410156px; font-size: 10.5px; font-family: ff70; -webkit-text-stroke: 0.1575px rgba(0, 0, 0, 0);"&gt;&lt;/span&gt;&lt;span style="display: inline-block;"&gt;ated f&lt;/span&gt;&lt;span style="word-spacing: -0.0105px; letter-spacing: 0.042px; display: inline-block; margin-left: 0px; width: 0.410156px; font-size: 10.5px; font-family: ff70; -webkit-text-stroke: 0.1575px rgba(0, 0, 0, 0);"&gt;&lt;/span&gt;&lt;span style="display: inline-block;"&gt;ee&lt;/span&gt;&lt;span style="word-spacing: -0.0105px; letter-spacing: 0.042px; display: inline-block; margin-left: 0px; width: 0.410156px; font-size: 10.5px; font-family: ff70; -webkit-text-stroke: 0.1575px rgba(0, 0, 0, 0);"&gt;&lt;/span&gt;&lt;span style="display: inline-block;"&gt;s&lt;/span&gt;&lt;span style="word-spacing: -0.0105px; letter-spacing: 0.042px; display: inline-block; margin-left: 0px; width: 188.578px; font-size: 10.5px; font-family: ff70; -webkit-text-stroke: 0.1575px rgba(0, 0, 0, 0);"&gt;&lt;span style="display: inline-block;"&gt; &lt;/span&gt;&lt;/span&gt;&lt;span class="pp-font-color-override-1" style="word-spacing: 0.672px; letter-spacing: -0.672px; display: inline-block; margin-left: 0px; font-size: 10.5px; font-family: ff70; -webkit-text-stroke: 0.1575px rgba(0, 0, 0, 0);"&gt;&lt;span style="display: inline-block;"&gt;–7&lt;/span&gt;&lt;span style="word-spacing: 0.672px; letter-spacing: -0.672px; display: inline-block; margin-left: 0px; width: 43.4355px; font-size: 10.5px; font-family: ff70; -webkit-text-stroke: 0.1575px rgba(0, 0, 0, 0);"&gt;&lt;span style="display: inline-block;"&gt;&lt;span style="width: 2.625px; display: inline-block;"&gt; &lt;/span&gt;&lt;/span&gt;&lt;/span&gt;&lt;span class="pp-font-color-override-1" style="word-spacing: -0.5145px; letter-spacing: 0.5145px; display: inline-block; margin-left: 0px; font-size: 10.5px; font-family: ff70; -webkit-text-stroke: 0.1575px rgba(0, 0, 0, 0);"&gt;&lt;span style="display: inline-block;"&gt;–6&lt;/span&gt;&lt;/span&gt;&lt;/span&gt;&lt;/span&gt;&lt;span class="pp-font-color-override-1" style="position: absolute; display: inline-block; left: 0px; top: 70.5098px; width: 335.988px; white-space: pre; word-spacing: -0.1995px; letter-spacing: 0.231px; margin-left: 0px; font-size: 10.5px; font-family: ff70; -webkit-text-stroke: 0.1575px rgba(0, 0, 0, 0);"&gt;&lt;span style="display: inline-block;"&gt;T&lt;/span&gt;&lt;span style="word-spacing: -0.1995px; letter-spacing: 0.231px; display: inline-block; margin-left: -1.13625px; width: 0px; font-size: 10.5px; font-family: ff70; -webkit-text-stroke: 0.1575px rgba(0, 0, 0, 0);"&gt;&lt;/span&gt;&lt;span style="display: inline-block;"&gt;a&lt;/span&gt;&lt;span style="word-spacing: -0.1995px; letter-spacing: 0.231px; display: inline-block; margin-left: 0px; width: 0.410156px; font-size: 10.5px; font-family: ff70; -webkit-text-stroke: 0.1575px rgba(0, 0, 0, 0);"&gt;&lt;/span&gt;&lt;span style="display: inline-block;"&gt;x services&lt;/span&gt;&lt;span style="word-spacing: -0.1995px; letter-spacing: 0.231px; display: inline-block; margin-left: 0px; width: 217.025px; font-size: 10.5px; font-family: ff70; -webkit-text-stroke: 0.1575px rgba(0, 0, 0, 0);"&gt;&lt;span style="display: inline-block;"&gt; &lt;/span&gt;&lt;/span&gt;&lt;span class="pp-font-color-override-1" style="word-spacing: 0.231px; letter-spacing: -0.231px; display: inline-block; margin-left: 0px; font-size: 10.5px; font-family: ff70; -webkit-text-stroke: 0.1575px rgba(0, 0, 0, 0);"&gt;&lt;span style="display: inline-block;"&gt;–2&lt;/span&gt;&lt;span style="word-spacing: 0.231px; letter-spacing: -0.231px; display: inline-block; margin-left: 0px; width: 43.4355px; font-size: 10.5px; font-family: ff70; -webkit-text-stroke: 0.1575px rgba(0, 0, 0, 0);"&gt;&lt;span style="display: inline-block;"&gt;&lt;span style="width: 2.625px; display: inline-block;"&gt; &lt;/span&gt;&lt;/span&gt;&lt;/span&gt;&lt;span class="pp-font-color-override-1" style="word-spacing: -0.1785px; letter-spacing: 0.1785px; display: inline-block; margin-left: 0px; font-size: 10.5px; font-family: ff70; -webkit-text-stroke: 0.1575px rgba(0, 0, 0, 0);"&gt;&lt;span style="display: inline-block;"&gt;–3&lt;/span&gt;&lt;/span&gt;&lt;/span&gt;&lt;/span&gt;&lt;span class="pp-font-color-override-1" style="position: absolute; display: inline-block; left: 0px; top: 86.4629px; width: 332.625px; white-space: pre; word-spacing: -0.168px; letter-spacing: 0.1995px; margin-left: 0px; font-size: 10.5px; font-family: ff70; -webkit-text-stroke: 0.1575px rgba(0, 0, 0, 0);"&gt;&lt;span style="display: inline-block;"&gt;Other ser&lt;/span&gt;&lt;span style="word-spacing: -0.168px; letter-spacing: 0.1995px; display: inline-block; margin-left: 0px; width: 0.410156px; font-size: 10.5px; font-family: ff70; -webkit-text-stroke: 0.1575px rgba(0, 0, 0, 0);"&gt;&lt;/span&gt;&lt;span style="display: inline-block;"&gt;vices&lt;/span&gt;&lt;span style="word-spacing: -0.168px; letter-spacing: 0.1995px; display: inline-block; margin-left: 0px; width: 199.699px; font-size: 10.5px; font-family: ff70; -webkit-text-stroke: 0.1575px rgba(0, 0, 0, 0);"&gt;&lt;span style="display: inline-block;"&gt; &lt;/span&gt;&lt;/span&gt;&lt;span class="pp-font-color-override-1" style="word-spacing: 0.273px; letter-spacing: -0.273px; display: inline-block; margin-left: 0px; font-size: 10.5px; font-family: ff70; -webkit-text-stroke: 0.1575px rgba(0, 0, 0, 0);"&gt;&lt;span style="display: inline-block;"&gt;–1&lt;/span&gt;&lt;span style="word-spacing: 0.273px; letter-spacing: -0.273px; display: inline-block; margin-left: 0px; width: 0.410156px; font-size: 10.5px; font-family: ff70; -webkit-text-stroke: 0.1575px rgba(0, 0, 0, 0);"&gt;&lt;/span&gt;&lt;span style="display: inline-block;"&gt;0&lt;/span&gt;&lt;span style="word-spacing: 0.273px; letter-spacing: -0.273px; display: inline-block; margin-left: 0px; width: 43.0545px; font-size: 10.5px; font-family: ff70; -webkit-text-stroke: 0.1575px rgba(0, 0, 0, 0);"&gt;&lt;span style="display: inline-block;"&gt;&lt;span style="width: 2.625px; display: inline-block;"&gt; &lt;/span&gt;&lt;/span&gt;&lt;/span&gt;&lt;span class="pp-font-color-override-1" style="word-spacing: -0.315px; letter-spacing: 0.315px; display: inline-block; margin-left: 0px; font-size: 10.5px; font-family: ff70; -webkit-text-stroke: 0.1575px rgba(0, 0, 0, 0);"&gt;&lt;span style="display: inline-block;"&gt;–8&lt;/span&gt;&lt;/span&gt;&lt;/span&gt;&lt;/span&gt;&lt;span class="pp-font-color-override-1" style="position: absolute; display: inline-block; left: 0px; top: 102.898px; width: 335.262px; white-space: pre; word-spacing: -0.1995px; letter-spacing: 0.1995px; margin-left: 0px; font-size: 10.5px; font-family: ff6f; -webkit-text-stroke: 0.1575px rgba(0, 0, 0, 0);"&gt;&lt;span style="display: inline-block;"&gt;T&lt;/span&gt;&lt;span style="word-spacing: -0.1995px; letter-spacing: 0.1995px; display: inline-block; margin-left: -1.13625px; width: 0px; font-size: 10.5px; font-family: ff6f; -webkit-text-stroke: 0.1575px rgba(0, 0, 0, 0);"&gt;&lt;/span&gt;&lt;span style="display: inline-block;"&gt;ot&lt;/span&gt;&lt;span style="word-spacing: -0.1995px; letter-spacing: 0.1995px; display: inline-block; margin-left: 0px; width: 0.410156px; font-size: 10.5px; font-family: ff6f; -webkit-text-stroke: 0.1575px rgba(0, 0, 0, 0);"&gt;&lt;/span&gt;&lt;span style="display: inline-block;"&gt;al&lt;/span&gt;&lt;span style="word-spacing: -0.1995px; letter-spacing: 0.1995px; display: inline-block; margin-left: 0px; width: 243.844px; font-size: 10.5px; font-family: ff6f; -webkit-text-stroke: 0.1575px rgba(0, 0, 0, 0);"&gt;&lt;span style="display: inline-block;"&gt; &lt;/span&gt;&lt;/span&gt;&lt;span class="pp-font-color-override-1" style="word-spacing: 0.483px; letter-spacing: -0.483px; display: inline-block; margin-left: 0px; font-size: 10.5px; font-family: ff6f; -webkit-text-stroke: 0.1575px rgba(0, 0, 0, 0);"&gt;&lt;span style="display: inline-block;"&gt;–7&lt;/span&gt;&lt;span style="word-spacing: 0.483px; letter-spacing: -0.483px; display: inline-block; margin-left: 0px; width: 0.410156px; font-size: 10.5px; font-family: ff6f; -webkit-text-stroke: 0.1575px rgba(0, 0, 0, 0);"&gt;&lt;/span&gt;&lt;span style="display: inline-block;"&gt;9&lt;/span&gt;&lt;span style="word-spacing: 0.483px; letter-spacing: -0.483px; display: inline-block; margin-left: 0px; width: 38.1855px; font-size: 10.5px; font-family: ff6f; -webkit-text-stroke: 0.1575px rgba(0, 0, 0, 0);"&gt;&lt;span style="display: inline-block;"&gt;&lt;span style="width: 2.625px; display: inline-block;"&gt; &lt;/span&gt;&lt;/span&gt;&lt;/span&gt;&lt;span class="pp-font-color-override-1" style="word-spacing: 0.0315px; letter-spacing: -0.0315px; display: inline-block; margin-left: 0px; font-size: 10.5px; font-family: ff6f; -webkit-text-stroke: 0.1575px rgba(0, 0, 0, 0);"&gt;&lt;span style="display: inline-block;"&gt;–&lt;/span&gt;&lt;span style="word-spacing: 0.0315px; letter-spacing: -0.0315px; display: inline-block; margin-left: 0px; width: 0.410156px; font-size: 10.5px; font-family: ff6f; -webkit-text-stroke: 0.1575px rgba(0, 0, 0, 0);"&gt;&lt;/span&gt;&lt;span style="display: inline-block;"&gt;81&lt;/span&gt;&lt;/span&gt;&lt;/span&gt;&lt;/span&gt;&lt;/span&gt;&lt;span style="display:inherit;clear:left;"&gt;Audit fees&lt;span class="ff6c ls3 ws3"&gt; involve au&lt;span class="_ _7"&gt;&lt;/span&gt;di&lt;span class="_ _7"&gt;&lt;/span&gt;t of t&lt;span class="_ _7"&gt;&lt;/span&gt;he An&lt;span class="_ _7"&gt;&lt;/span&gt;nu&lt;span class="_ _7"&gt;&lt;/span&gt;al Re&lt;span class="_ _7"&gt;&lt;/span&gt;po&lt;span class="_ _7"&gt;&lt;/span&gt;r&lt;span class="_ _7"&gt;&lt;/span&gt;t, i&lt;span class="_ _7"&gt;&lt;/span&gt;nte&lt;span class="_ _7"&gt;&lt;/span&gt;rim r&lt;span class="_ _7"&gt;&lt;/span&gt;ep&lt;span class="_ _7"&gt;&lt;/span&gt;or&lt;span class="_ _7"&gt;&lt;/span&gt;t a&lt;span class="_ _7"&gt;&lt;/span&gt;nd &lt;/span&gt;&lt;/span&gt;&lt;span style="display:inherit;clear:left;"&gt;the a&lt;span class="_ _7"&gt;&lt;/span&gt;dm&lt;span class="_ _7"&gt;&lt;/span&gt;ini&lt;span class="_ _7"&gt;&lt;/span&gt;st&lt;span class="_ _7"&gt;&lt;/span&gt;ra&lt;span class="_ _7"&gt;&lt;/span&gt;tio&lt;span class="_ _7"&gt;&lt;/span&gt;n by th&lt;span class="_ _7"&gt;&lt;/span&gt;e Bo&lt;span class="_ _7"&gt;&lt;/span&gt;ar&lt;span class="_ _7"&gt;&lt;/span&gt;d of D&lt;span class="_ _7"&gt;&lt;/span&gt;ire&lt;span class="_ _7"&gt;&lt;/span&gt;c&lt;span class="_ _7"&gt;&lt;/span&gt;tor&lt;span class="_ _7"&gt;&lt;/span&gt;s an&lt;span class="_ _7"&gt;&lt;/span&gt;d th&lt;span class="_ _7"&gt;&lt;/span&gt;e Man&lt;span class="_ _7"&gt;&lt;/span&gt;ag&lt;span class="_ _7"&gt;&lt;/span&gt;ing &lt;/span&gt;&lt;span style="display:inherit;clear:left;"&gt;Dir&lt;span class="_ _7"&gt;&lt;/span&gt;ec&lt;span class="_ _7"&gt;&lt;/span&gt;to&lt;span class="_ _7"&gt;&lt;/span&gt;rs&lt;span class="_ _7"&gt;&lt;/span&gt;. T&lt;span class="_ _7"&gt;&lt;/span&gt;he au&lt;span class="_ _7"&gt;&lt;/span&gt;di&lt;span class="_ _7"&gt;&lt;/span&gt;t al&lt;span class="_ _7"&gt;&lt;/span&gt;so i&lt;span class="_ _7"&gt;&lt;/span&gt;nc&lt;span class="_ _7"&gt;&lt;/span&gt;lud&lt;span class="_ _7"&gt;&lt;/span&gt;es a&lt;span class="_ _7"&gt;&lt;/span&gt;dv&lt;span class="_ _7"&gt;&lt;/span&gt;ic&lt;span class="_ _7"&gt;&lt;/span&gt;e an&lt;span class="_ _7"&gt;&lt;/span&gt;d as&lt;span class="_ _7"&gt;&lt;/span&gt;s&lt;span class="_ _7"&gt;&lt;/span&gt;is&lt;span class="_ _7"&gt;&lt;/span&gt;ta&lt;span class="_ _7"&gt;&lt;/span&gt;nc&lt;span class="_ _7"&gt;&lt;/span&gt;e as a r&lt;span class="_ _7"&gt;&lt;/span&gt;es&lt;span class="_ _7"&gt;&lt;/span&gt;ult &lt;/span&gt;&lt;span style="display:inherit;clear:left;"&gt;of the&lt;span class="_ _2"&gt;&lt;/span&gt; obs&lt;span class="_ _7"&gt;&lt;/span&gt;ervations made in con&lt;span class="_ _2"&gt;&lt;/span&gt;nec&lt;span class="_ _7"&gt;&lt;/span&gt;tion wit&lt;span class="_ _2"&gt;&lt;/span&gt;h the audit.&lt;/span&gt;&lt;span style="display:inherit;clear:left;"&gt;Aud&lt;span class="_ _7"&gt;&lt;/span&gt;it-rel&lt;span class="_ _7"&gt;&lt;/span&gt;ate&lt;span class="_ _7"&gt;&lt;/span&gt;d fe&lt;span class="_ _7"&gt;&lt;/span&gt;es&lt;span class="ff6c"&gt; r&lt;span class="_ _7"&gt;&lt;/span&gt;ef&lt;span class="_ _7"&gt;&lt;/span&gt;er to ot&lt;span class="_ _7"&gt;&lt;/span&gt;he&lt;span class="_ _7"&gt;&lt;/span&gt;r as&lt;span class="_ _7"&gt;&lt;/span&gt;s&lt;span class="_ _7"&gt;&lt;/span&gt;ign&lt;span class="_ _7"&gt;&lt;/span&gt;me&lt;span class="_ _7"&gt;&lt;/span&gt;nt&lt;span class="_ _7"&gt;&lt;/span&gt;s to en&lt;span class="_ _7"&gt;&lt;/span&gt;su&lt;span class="_ _7"&gt;&lt;/span&gt;re qu&lt;span class="_ _7"&gt;&lt;/span&gt;al&lt;span class="_ _7"&gt;&lt;/span&gt;it&lt;span class="_ _7"&gt;&lt;/span&gt;y in &lt;/span&gt;&lt;/span&gt;&lt;span style="display:inherit;clear:left;"&gt;the financial&lt;span class="_ _2"&gt;&lt;/span&gt; st&lt;span class="_ _7"&gt;&lt;/span&gt;atements&lt;span class="_ _2"&gt;&lt;/span&gt; including consultat&lt;span class="_ _2"&gt;&lt;/span&gt;ions on reporting &lt;/span&gt;&lt;span style="display:inherit;clear:left;"&gt;requirements and&lt;span class="_ _2"&gt;&lt;/span&gt; internal control.&lt;/span&gt;&lt;span style="display:inherit;clear:left;"&gt;T&lt;span class="_ _2"&gt;&lt;/span&gt;ax s&lt;span class="_ _7"&gt;&lt;/span&gt;er&lt;span class="_ _9"&gt;&lt;/span&gt;vic&lt;span class="_ _7"&gt;&lt;/span&gt;es &lt;span class="ff6c lsc7 wsed"&gt;include tax&lt;span class="_ _2"&gt;&lt;/span&gt;-related advisory.&lt;/span&gt;&lt;/span&gt;&lt;span style="display:inherit;clear:left;"&gt;All ot&lt;span class="_ _7"&gt;&lt;/span&gt;he&lt;span class="_ _7"&gt;&lt;/span&gt;r wor&lt;span class="_ _7"&gt;&lt;/span&gt;k pe&lt;span class="_ _7"&gt;&lt;/span&gt;r&lt;span class="_ _7"&gt;&lt;/span&gt;fo&lt;span class="_ _7"&gt;&lt;/span&gt;rm&lt;span class="_ _7"&gt;&lt;/span&gt;ed b&lt;span class="_ _7"&gt;&lt;/span&gt;y the a&lt;span class="_ _7"&gt;&lt;/span&gt;udi&lt;span class="_ _7"&gt;&lt;/span&gt;tor i&lt;span class="_ _7"&gt;&lt;/span&gt;s de&lt;span class="_ _7"&gt;&lt;/span&gt;f&lt;span class="_ _7"&gt;&lt;/span&gt;ine&lt;span class="_ _7"&gt;&lt;/span&gt;d as &lt;span class="ff6f"&gt;o&lt;span class="_ _7"&gt;&lt;/span&gt;th&lt;span class="_ _7"&gt;&lt;/span&gt;er  &lt;/span&gt;&lt;/span&gt;&lt;span style="display:inherit;clear:left;"&gt;services&lt;span class="ff6c ls3 ws3"&gt;.&lt;/span&gt;&lt;/span&gt;</t>
  </si>
  <si>
    <t>f1__s8__6__59</t>
  </si>
  <si>
    <t>ifrs-full:DisclosureOfOtherOperatingIncomeExpenseExplanatory</t>
  </si>
  <si>
    <t>&lt;span style="display:inherit;clear:left;"&gt;NOT&lt;span class="_ _7"&gt;&lt;/span&gt;E 6&lt;/span&gt;&lt;span style="display:inherit;clear:left;"&gt;OTHE&lt;span class="_ _7"&gt;&lt;/span&gt;R OPE&lt;span class="_ _7"&gt;&lt;/span&gt;RATING I&lt;span class="_ _7"&gt;&lt;/span&gt;NC&lt;span class="_ _7"&gt;&lt;/span&gt;OM&lt;span class="_ _7"&gt;&lt;/span&gt;E AN&lt;span class="_ _7"&gt;&lt;/span&gt;D EX&lt;span class="_ _7"&gt;&lt;/span&gt;PENS&lt;span class="_ _7"&gt;&lt;/span&gt;ES&lt;/span&gt;&lt;span style="display:inherit;clear:left;"&gt;ACCOUNTING&lt;span class="_ _2"&gt;&lt;/span&gt; POLICIES&lt;/span&gt;&lt;span style="display:inherit;clear:left;"&gt;For&lt;span class="_ _7"&gt;&lt;/span&gt;eig&lt;span class="_ _7"&gt;&lt;/span&gt;n exch&lt;span class="_ _7"&gt;&lt;/span&gt;ang&lt;span class="_ _7"&gt;&lt;/span&gt;e ra&lt;span class="_ _7"&gt;&lt;/span&gt;te ga&lt;span class="_ _7"&gt;&lt;/span&gt;in&lt;span class="_ _7"&gt;&lt;/span&gt;s and l&lt;span class="_ _7"&gt;&lt;/span&gt;os&lt;span class="_ _7"&gt;&lt;/span&gt;s&lt;span class="_ _7"&gt;&lt;/span&gt;e&lt;span class="_ _7"&gt;&lt;/span&gt;s on o&lt;span class="_ _7"&gt;&lt;/span&gt;pe&lt;span class="_ _7"&gt;&lt;/span&gt;rat&lt;span class="_ _7"&gt;&lt;/span&gt;ing t&lt;span class="_ _7"&gt;&lt;/span&gt;ra&lt;span class="_ _7"&gt;&lt;/span&gt;ns&lt;span class="_ _7"&gt;&lt;/span&gt;ac&lt;span class="_ _7"&gt;&lt;/span&gt;ti&lt;span class="_ _7"&gt;&lt;/span&gt;on&lt;span class="_ _7"&gt;&lt;/span&gt;s &lt;/span&gt;&lt;span style="display:inherit;clear:left;"&gt;are p&lt;span class="_ _7"&gt;&lt;/span&gt;re&lt;span class="_ _7"&gt;&lt;/span&gt;s&lt;span class="_ _7"&gt;&lt;/span&gt;ente&lt;span class="_ _7"&gt;&lt;/span&gt;d n&lt;span class="_ _7"&gt;&lt;/span&gt;et in o&lt;span class="_ _7"&gt;&lt;/span&gt;the&lt;span class="_ _7"&gt;&lt;/span&gt;r op&lt;span class="_ _7"&gt;&lt;/span&gt;er&lt;span class="_ _7"&gt;&lt;/span&gt;ati&lt;span class="_ _7"&gt;&lt;/span&gt;ng in&lt;span class="_ _7"&gt;&lt;/span&gt;co&lt;span class="_ _7"&gt;&lt;/span&gt;me an&lt;span class="_ _7"&gt;&lt;/span&gt;d ex&lt;span class="_ _7"&gt;&lt;/span&gt;pe&lt;span class="_ _7"&gt;&lt;/span&gt;ns&lt;span class="_ _7"&gt;&lt;/span&gt;e&lt;span class="_ _7"&gt;&lt;/span&gt;s. A&lt;span class="_ _7"&gt;&lt;/span&gt;ls&lt;span class="_ _7"&gt;&lt;/span&gt;o &lt;/span&gt;&lt;span style="display:inherit;clear:left;"&gt;pre&lt;span class="_ _7"&gt;&lt;/span&gt;s&lt;span class="_ _7"&gt;&lt;/span&gt;en&lt;span class="_ _7"&gt;&lt;/span&gt;ted n&lt;span class="_ _7"&gt;&lt;/span&gt;et ar&lt;span class="_ _7"&gt;&lt;/span&gt;e fl&lt;span class="_ _7"&gt;&lt;/span&gt;uc&lt;span class="_ _7"&gt;&lt;/span&gt;tua&lt;span class="_ _7"&gt;&lt;/span&gt;tio&lt;span class="_ _7"&gt;&lt;/span&gt;ns i&lt;span class="_ _7"&gt;&lt;/span&gt;n the f&lt;span class="_ _7"&gt;&lt;/span&gt;ai&lt;span class="_ _7"&gt;&lt;/span&gt;r va&lt;span class="_ _7"&gt;&lt;/span&gt;lue o&lt;span class="_ _7"&gt;&lt;/span&gt;f der&lt;span class="_ _7"&gt;&lt;/span&gt;iv&lt;span class="_ _7"&gt;&lt;/span&gt;ati&lt;span class="_ _7"&gt;&lt;/span&gt;ve&lt;span class="_ _7"&gt;&lt;/span&gt;s he&lt;span class="_ _7"&gt;&lt;/span&gt;dg-&lt;/span&gt;&lt;span style="display:inherit;clear:left;"&gt;ing o&lt;span class="_ _7"&gt;&lt;/span&gt;pe&lt;span class="_ _7"&gt;&lt;/span&gt;ra&lt;span class="_ _7"&gt;&lt;/span&gt;ting t&lt;span class="_ _7"&gt;&lt;/span&gt;ra&lt;span class="_ _7"&gt;&lt;/span&gt;ns&lt;span class="_ _7"&gt;&lt;/span&gt;a&lt;span class="_ _7"&gt;&lt;/span&gt;cti&lt;span class="_ _7"&gt;&lt;/span&gt;on&lt;span class="_ _7"&gt;&lt;/span&gt;s wh&lt;span class="_ _7"&gt;&lt;/span&gt;ere t&lt;span class="_ _7"&gt;&lt;/span&gt;he&lt;span class="_ _7"&gt;&lt;/span&gt;re i&lt;span class="_ _7"&gt;&lt;/span&gt;s ine&lt;span class="_ _7"&gt;&lt;/span&gt;f&lt;span class="_ _7"&gt;&lt;/span&gt;f&lt;span class="_ _7"&gt;&lt;/span&gt;ec&lt;span class="_ _7"&gt;&lt;/span&gt;ti&lt;span class="_ _7"&gt;&lt;/span&gt;ven&lt;span class="_ _7"&gt;&lt;/span&gt;es&lt;span class="_ _7"&gt;&lt;/span&gt;s o&lt;span class="_ _7"&gt;&lt;/span&gt;n he&lt;span class="_ _7"&gt;&lt;/span&gt;dg&lt;span class="_ _7"&gt;&lt;/span&gt;ing &lt;/span&gt;&lt;span style="display:inherit;clear:left;"&gt;relationships relating&lt;span class="_ _2"&gt;&lt;/span&gt; to the operati&lt;span class="_ _2"&gt;&lt;/span&gt;ng transaction. Information of&lt;span class="_ _2"&gt;&lt;/span&gt; &lt;/span&gt;&lt;span style="display:inherit;clear:left;"&gt;the c&lt;span class="_ _7"&gt;&lt;/span&gt;la&lt;span class="_ _7"&gt;&lt;/span&gt;s&lt;span class="_ _7"&gt;&lt;/span&gt;si&lt;span class="_ _7"&gt;&lt;/span&gt;f&lt;span class="_ _7"&gt;&lt;/span&gt;ic&lt;span class="_ _7"&gt;&lt;/span&gt;ati&lt;span class="_ _7"&gt;&lt;/span&gt;on o&lt;span class="_ _7"&gt;&lt;/span&gt;f fi&lt;span class="_ _7"&gt;&lt;/span&gt;nan&lt;span class="_ _7"&gt;&lt;/span&gt;ci&lt;span class="_ _7"&gt;&lt;/span&gt;al in&lt;span class="_ _7"&gt;&lt;/span&gt;s&lt;span class="_ _7"&gt;&lt;/span&gt;tr&lt;span class="_ _7"&gt;&lt;/span&gt;ume&lt;span class="_ _7"&gt;&lt;/span&gt;nt&lt;span class="_ _7"&gt;&lt;/span&gt;s&lt;span class="_ _7"&gt;&lt;/span&gt;, se&lt;span class="_ _7"&gt;&lt;/span&gt;e No&lt;span class="_ _7"&gt;&lt;/span&gt;te 19 – Fin&lt;span class="_ _7"&gt;&lt;/span&gt;an&lt;span class="_ _7"&gt;&lt;/span&gt;ci&lt;span class="_ _7"&gt;&lt;/span&gt;al &lt;/span&gt;&lt;span style="display:inherit;clear:left;"&gt;instruments&lt;span class="_ _2"&gt;&lt;/span&gt; and Financ&lt;span class="_ _2"&gt;&lt;/span&gt;ial risks.&lt;/span&gt;&lt;span style="display:inherit;clear:left;position:relative;height:163.12890625px;"&gt;&lt;span class="pp-font-color-override-1" style="position: absolute; display: inline-block; left: 279.438px; top: 0.0039062px; width: 68.9941px;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 class="pp-font-color-override-1" style="position: absolute; display: inline-block; left: 0px; top: 22.3672px; width: 103.512px; white-space: pre; word-spacing: -0.189px; letter-spacing: 0.2205px; margin-left: 0px; font-size: 10.5px; font-family: ff6f; -webkit-text-stroke: 0.1575px rgba(0, 0, 0, 0);"&gt;&lt;span style="display: inline-block;"&gt;Other operating&lt;/span&gt;&lt;span style="word-spacing: -0.189px; letter-spacing: 0.2205px; display: inline-block; margin-left: -0.684px; width: 0px; font-size: 10.5px; font-family: ff6f; -webkit-text-stroke: 0.1575px rgba(0, 0, 0, 0);"&gt;&lt;/span&gt;&lt;span style="display: inline-block;"&gt; income&lt;/span&gt;&lt;/span&gt;&lt;span class="pp-font-color-override-1" style="position: absolute; display: inline-block; left: 0px; top: 38.791px; width: 332.895px; white-space: pre; word-spacing: 0px; letter-spacing: 0.0315px; margin-left: 0px; font-size: 10.5px; font-family: ff70; -webkit-text-stroke: 0.1575px rgba(0, 0, 0, 0);"&gt;&lt;span style="display: inline-block;"&gt;Net f&lt;/span&gt;&lt;span style="word-spacing: 0px; letter-spacing: 0.0315px; display: inline-block; margin-left: 0px; width: 0.410156px; font-size: 10.5px; font-family: ff70; -webkit-text-stroke: 0.1575px rgba(0, 0, 0, 0);"&gt;&lt;/span&gt;&lt;span style="display: inline-block;"&gt;orei&lt;/span&gt;&lt;span style="word-spacing: 0px; letter-spacing: 0.0315px; display: inline-block; margin-left: 0px; width: 0.410156px; font-size: 10.5px; font-family: ff70; -webkit-text-stroke: 0.1575px rgba(0, 0, 0, 0);"&gt;&lt;/span&gt;&lt;span style="display: inline-block;"&gt;gn exc&lt;/span&gt;&lt;span style="word-spacing: 0px; letter-spacing: 0.0315px; display: inline-block; margin-left: 0px; width: 0.410156px; font-size: 10.5px; font-family: ff70; -webkit-text-stroke: 0.1575px rgba(0, 0, 0, 0);"&gt;&lt;/span&gt;&lt;span style="display: inline-block;"&gt;han&lt;/span&gt;&lt;span style="word-spacing: 0px; letter-spacing: 0.0315px; display: inline-block; margin-left: 0px; width: 0.410156px; font-size: 10.5px; font-family: ff70; -webkit-text-stroke: 0.1575px rgba(0, 0, 0, 0);"&gt;&lt;/span&gt;&lt;span style="display: inline-block;"&gt;ge ra&lt;/span&gt;&lt;span style="word-spacing: 0px; letter-spacing: 0.0315px; display: inline-block; margin-left: 0px; width: 0.410156px; font-size: 10.5px; font-family: ff70; -webkit-text-stroke: 0.1575px rgba(0, 0, 0, 0);"&gt;&lt;/span&gt;&lt;span style="display: inline-block;"&gt;te di&lt;/span&gt;&lt;span style="word-spacing: 0px; letter-spacing: 0.0315px; display: inline-block; margin-left: 0px; width: 0.410156px; font-size: 10.5px; font-family: ff70; -webkit-text-stroke: 0.1575px rgba(0, 0, 0, 0);"&gt;&lt;/span&gt;&lt;span style="display: inline-block;"&gt;f&lt;/span&gt;&lt;span style="word-spacing: 0px; letter-spacing: 0.0315px; display: inline-block; margin-left: 0px; width: 0.410156px; font-size: 10.5px; font-family: ff70; -webkit-text-stroke: 0.1575px rgba(0, 0, 0, 0);"&gt;&lt;/span&gt;&lt;span style="display: inline-block;"&gt;fer&lt;/span&gt;&lt;span style="word-spacing: 0px; letter-spacing: 0.0315px; display: inline-block; margin-left: 0px; width: 0.410156px; font-size: 10.5px; font-family: ff70; -webkit-text-stroke: 0.1575px rgba(0, 0, 0, 0);"&gt;&lt;/span&gt;&lt;span style="display: inline-block;"&gt;en&lt;/span&gt;&lt;span style="word-spacing: 0px; letter-spacing: 0.0315px; display: inline-block; margin-left: 0px; width: 0.410156px; font-size: 10.5px; font-family: ff70; -webkit-text-stroke: 0.1575px rgba(0, 0, 0, 0);"&gt;&lt;/span&gt;&lt;span style="display: inline-block;"&gt;ce&lt;/span&gt;&lt;span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108.738px; font-size: 10.5px; font-family: ff70; -webkit-text-stroke: 0.1575px rgba(0, 0, 0, 0);"&gt;&lt;span style="display: inline-block;"&gt; &lt;/span&gt;&lt;/span&gt;&lt;span class="pp-font-color-override-1" style="word-spacing: 0px; letter-spacing: 0px; display: inline-block; margin-left: 0px; font-size: 10.5px; font-family: ff70; -webkit-text-stroke: 0.1575px rgba(0, 0, 0, 0);"&gt;&lt;span style="display: inline-block;"&gt;—&lt;/span&gt;&lt;span style="word-spacing: 0px; letter-spacing: 0px; display: inline-block; margin-left: 0px; width: 34.4707px; font-size: 10.5px; font-family: ff70; -webkit-text-stroke: 0.1575px rgba(0, 0, 0, 0);"&gt;&lt;span style="display: inline-block;"&gt; &lt;/span&gt;&lt;/span&gt;&lt;span class="pp-font-color-override-1" style="word-spacing: -0.042px; letter-spacing: 0.042px; display: inline-block; margin-left: 0px; font-size: 10.5px; font-family: ff70; -webkit-text-stroke: 0.1575px rgba(0, 0, 0, 0);"&gt;&lt;span style="display: inline-block;"&gt;403&lt;/span&gt;&lt;/span&gt;&lt;/span&gt;&lt;/span&gt;&lt;span class="pp-font-color-override-1" style="position: absolute; display: inline-block; left: 0px; top: 55.0918px; width: 338.473px;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fo&lt;/span&gt;&lt;span style="word-spacing: -0.0315px; letter-spacing: 0.0315px; display: inline-block; margin-left: 0px; width: 0.410156px; font-size: 10.5px; font-family: ff75; -webkit-text-stroke: 0.1575px rgba(0, 0, 0, 0);"&gt;&lt;/span&gt;&lt;span style="display: inline-block;"&gt;reig&lt;/span&gt;&lt;span style="word-spacing: -0.0315px; letter-spacing: 0.0315px; display: inline-block; margin-left: 0px; width: 0.410156px; font-size: 10.5px; font-family: ff75; -webkit-text-stroke: 0.1575px rgba(0, 0, 0, 0);"&gt;&lt;/span&gt;&lt;span style="display: inline-block;"&gt;n exc&lt;/span&gt;&lt;span style="word-spacing: -0.0315px; letter-spacing: 0.0315px; display: inline-block; margin-left: 0px; width: 0.410156px; font-size: 10.5px; font-family: ff75; -webkit-text-stroke: 0.1575px rgba(0, 0, 0, 0);"&gt;&lt;/span&gt;&lt;span style="display: inline-block;"&gt;ha&lt;/span&gt;&lt;span style="word-spacing: -0.0315px; letter-spacing: 0.0315px; display: inline-block; margin-left: 0px; width: 0.410156px; font-size: 10.5px; font-family: ff75; -webkit-text-stroke: 0.1575px rgba(0, 0, 0, 0);"&gt;&lt;/span&gt;&lt;span style="display: inline-block;"&gt;nge r&lt;/span&gt;&lt;span style="word-spacing: -0.0315px; letter-spacing: 0.0315px; display: inline-block; margin-left: 0px; width: 0.410156px; font-size: 10.5px; font-family: ff75; -webkit-text-stroke: 0.1575px rgba(0, 0, 0, 0);"&gt;&lt;/span&gt;&lt;span style="display: inline-block;"&gt;ate gai&lt;/span&gt;&lt;span style="word-spacing: -0.0315px; letter-spacing: 0.0315px; display: inline-block; margin-left: 0px; width: 0.410156px; font-size: 10.5px; font-family: ff75; -webkit-text-stroke: 0.1575px rgba(0, 0, 0, 0);"&gt;&lt;/span&gt;&lt;span style="display: inline-block;"&gt;ns&lt;/span&gt;&lt;span style="word-spacing: -0.0315px; letter-spacing: 0.0315px; display: inline-block; margin-left: 0px; width: 105.92px; font-size: 10.5px; font-family: ff75; -webkit-text-stroke: 0.1575px rgba(0, 0, 0, 0);"&gt;&lt;span style="display: inline-block;"&gt; &lt;/span&gt;&lt;/span&gt;&lt;span class="pp-font-color-override-1" style="word-spacing: 0px; letter-spacing: 0px; display: inline-block; margin-left: 0px; font-size: 10.5px; font-family: ff76; -webkit-text-stroke: 0.1575px rgba(0, 0, 0, 0);"&gt;&lt;span style="display: inline-block;"&gt;—&lt;/span&gt;&lt;span style="word-spacing: 0px; letter-spacing: 0px; display: inline-block; margin-left: 0px; width: 28.1074px; font-size: 10.5px; font-family: ff76; -webkit-text-stroke: 0.1575px rgba(0, 0, 0, 0);"&gt;&lt;span style="display: inline-block;"&gt; &lt;/span&gt;&lt;/span&gt;&lt;span class="pp-font-color-override-1" style="word-spacing: 0.063px; letter-spacing: -0.063px; display: inline-block; margin-left: 0px; font-size: 10.5px; font-family: ff76; -webkit-text-stroke: 0.1575px rgba(0, 0, 0, 0);"&gt;&lt;span style="display: inline-block;"&gt;2,&lt;/span&gt;&lt;span style="word-spacing: 0.063px; letter-spacing: -0.063px; display: inline-block; margin-left: 0px; width: 0.410156px; font-size: 10.5px; font-family: ff76; -webkit-text-stroke: 0.1575px rgba(0, 0, 0, 0);"&gt;&lt;/span&gt;&lt;span style="display: inline-block;"&gt;57&lt;/span&gt;&lt;span style="word-spacing: 0.063px; letter-spacing: -0.063px; display: inline-block; margin-left: 0px; width: 0.410156px; font-size: 10.5px; font-family: ff76; -webkit-text-stroke: 0.1575px rgba(0, 0, 0, 0);"&gt;&lt;/span&gt;&lt;span style="display: inline-block;"&gt;7&lt;/span&gt;&lt;/span&gt;&lt;/span&gt;&lt;/span&gt;&lt;span class="pp-font-color-override-1" style="position: absolute; display: inline-block; left: 0px; top: 71.2637px; width: 337.172px; white-space: pre; word-spacing: -0.0315px; letter-spacing: 0.0315px; margin-left: 0px; font-size: 10.5px; font-family: ff75; -webkit-text-stroke: 0.1575px rgba(0, 0, 0, 0);"&gt;&lt;span style="display: inline-block;"&gt; of whi&lt;/span&gt;&lt;span style="word-spacing: -0.0315px; letter-spacing: 0.0315px; display: inline-block; margin-left: 0px; width: 0.410156px; font-size: 10.5px; font-family: ff75; -webkit-text-stroke: 0.1575px rgba(0, 0, 0, 0);"&gt;&lt;/span&gt;&lt;span style="display: inline-block;"&gt;ch fo&lt;/span&gt;&lt;span style="word-spacing: -0.0315px; letter-spacing: 0.0315px; display: inline-block; margin-left: 0px; width: 0.410156px; font-size: 10.5px; font-family: ff75; -webkit-text-stroke: 0.1575px rgba(0, 0, 0, 0);"&gt;&lt;/span&gt;&lt;span style="display: inline-block;"&gt;reig&lt;/span&gt;&lt;span style="word-spacing: -0.0315px; letter-spacing: 0.0315px; display: inline-block; margin-left: 0px; width: 0.410156px; font-size: 10.5px; font-family: ff75; -webkit-text-stroke: 0.1575px rgba(0, 0, 0, 0);"&gt;&lt;/span&gt;&lt;span style="display: inline-block;"&gt;n exc&lt;/span&gt;&lt;span style="word-spacing: -0.0315px; letter-spacing: 0.0315px; display: inline-block; margin-left: 0px; width: 0.410156px; font-size: 10.5px; font-family: ff75; -webkit-text-stroke: 0.1575px rgba(0, 0, 0, 0);"&gt;&lt;/span&gt;&lt;span style="display: inline-block;"&gt;ha&lt;/span&gt;&lt;span style="word-spacing: -0.0315px; letter-spacing: 0.0315px; display: inline-block; margin-left: 0px; width: 0.410156px; font-size: 10.5px; font-family: ff75; -webkit-text-stroke: 0.1575px rgba(0, 0, 0, 0);"&gt;&lt;/span&gt;&lt;span style="display: inline-block;"&gt;nge r&lt;/span&gt;&lt;span style="word-spacing: -0.0315px; letter-spacing: 0.0315px; display: inline-block; margin-left: 0px; width: 0.410156px; font-size: 10.5px; font-family: ff75; -webkit-text-stroke: 0.1575px rgba(0, 0, 0, 0);"&gt;&lt;/span&gt;&lt;span style="display: inline-block;"&gt;ate los&lt;/span&gt;&lt;span style="word-spacing: -0.0315px; letter-spacing: 0.0315px; display: inline-block; margin-left: 0px; width: 0.410156px; font-size: 10.5px; font-family: ff75; -webkit-text-stroke: 0.1575px rgba(0, 0, 0, 0);"&gt;&lt;/span&gt;&lt;span style="display: inline-block;"&gt;se&lt;/span&gt;&lt;span style="word-spacing: -0.0315px; letter-spacing: 0.0315px; display: inline-block; margin-left: 0px; width: 0.410156px; font-size: 10.5px; font-family: ff75; -webkit-text-stroke: 0.1575px rgba(0, 0, 0, 0);"&gt;&lt;/span&gt;&lt;span style="display: inline-block;"&gt;s&lt;/span&gt;&lt;span style="word-spacing: -0.0315px; letter-spacing: 0.0315px; display: inline-block; margin-left: 0px; width: 100.881px; font-size: 10.5px; font-family: ff75; -webkit-text-stroke: 0.1575px rgba(0, 0, 0, 0);"&gt;&lt;span style="display: inline-block;"&gt; &lt;/span&gt;&lt;/span&gt;&lt;span class="pp-font-color-override-1" style="word-spacing: 0px; letter-spacing: 0px; display: inline-block; margin-left: 0px; font-size: 10.5px; font-family: ff76; -webkit-text-stroke: 0.1575px rgba(0, 0, 0, 0);"&gt;&lt;span style="display: inline-block;"&gt;—&lt;/span&gt;&lt;span style="word-spacing: 0px; letter-spacing: 0px; display: inline-block; margin-left: 0px; width: 25.7227px; font-size: 10.5px; font-family: ff76; -webkit-text-stroke: 0.1575px rgba(0, 0, 0, 0);"&gt;&lt;span style="display: inline-block;"&gt; &lt;/span&gt;&lt;/span&gt;&lt;span class="pp-font-color-override-1" style="word-spacing: 0.5355px; letter-spacing: -0.5355px; display: inline-block; margin-left: 0px; font-size: 10.5px; font-family: ff76; -webkit-text-stroke: 0.1575px rgba(0, 0, 0, 0);"&gt;&lt;span style="display: inline-block;"&gt;–&lt;/span&gt;&lt;span style="word-spacing: 0.5355px; letter-spacing: -0.5355px; display: inline-block; margin-left: 0px; width: 0.410156px; font-size: 10.5px; font-family: ff76; -webkit-text-stroke: 0.1575px rgba(0, 0, 0, 0);"&gt;&lt;/span&gt;&lt;span style="display: inline-block;"&gt;2&lt;/span&gt;&lt;span style="word-spacing: 0.5355px; letter-spacing: -0.5355px; display: inline-block; margin-left: 0px; width: 0.410156px; font-size: 10.5px; font-family: ff76; -webkit-text-stroke: 0.1575px rgba(0, 0, 0, 0);"&gt;&lt;/span&gt;&lt;span style="display: inline-block;"&gt;,&lt;/span&gt;&lt;span style="word-spacing: 0.5355px; letter-spacing: -0.5355px; display: inline-block; margin-left: 0px; width: 0.410156px; font-size: 10.5px; font-family: ff76; -webkit-text-stroke: 0.1575px rgba(0, 0, 0, 0);"&gt;&lt;/span&gt;&lt;span style="display: inline-block;"&gt;174&lt;/span&gt;&lt;/span&gt;&lt;/span&gt;&lt;/span&gt;&lt;span class="pp-font-color-override-1" style="position: absolute; display: inline-block; left: 0px; top: 87.291px; width: 332.678px; white-space: pre; word-spacing: 0px; letter-spacing: 0.0315px; margin-left: 0px; font-size: 10.5px; font-family: ff70; -webkit-text-stroke: 0.1575px rgba(0, 0, 0, 0);"&gt;&lt;span style="display: inline-block;"&gt;Net c&lt;/span&gt;&lt;span style="word-spacing: 0px; letter-spacing: 0.0315px; display: inline-block; margin-left: 0px; width: 0.410156px; font-size: 10.5px; font-family: ff70; -webkit-text-stroke: 0.1575px rgba(0, 0, 0, 0);"&gt;&lt;/span&gt;&lt;span style="display: inline-block;"&gt;han&lt;/span&gt;&lt;span style="word-spacing: 0px; letter-spacing: 0.0315px; display: inline-block; margin-left: 0px; width: 0.410156px; font-size: 10.5px; font-family: ff70; -webkit-text-stroke: 0.1575px rgba(0, 0, 0, 0);"&gt;&lt;/span&gt;&lt;span style="display: inline-block;"&gt;ge in f&lt;/span&gt;&lt;span style="word-spacing: 0px; letter-spacing: 0.0315px; display: inline-block; margin-left: 0px; width: 0.410156px; font-size: 10.5px; font-family: ff70; -webkit-text-stroke: 0.1575px rgba(0, 0, 0, 0);"&gt;&lt;/span&gt;&lt;span style="display: inline-block;"&gt;air v&lt;/span&gt;&lt;span style="word-spacing: 0px; letter-spacing: 0.0315px; display: inline-block; margin-left: 0px; width: 0.410156px; font-size: 10.5px; font-family: ff70; -webkit-text-stroke: 0.1575px rgba(0, 0, 0, 0);"&gt;&lt;/span&gt;&lt;span style="display: inline-block;"&gt;alu&lt;/span&gt;&lt;span style="word-spacing: 0px; letter-spacing: 0.0315px; display: inline-block; margin-left: 0px; width: 0.410156px; font-size: 10.5px; font-family: ff70; -webkit-text-stroke: 0.1575px rgba(0, 0, 0, 0);"&gt;&lt;/span&gt;&lt;span style="display: inline-block;"&gt;e on f&lt;/span&gt;&lt;span style="word-spacing: 0px; letter-spacing: 0.0315px; display: inline-block; margin-left: 0px; width: 0.410156px; font-size: 10.5px; font-family: ff70; -webkit-text-stroke: 0.1575px rgba(0, 0, 0, 0);"&gt;&lt;/span&gt;&lt;span style="display: inline-block;"&gt;ina&lt;/span&gt;&lt;span style="word-spacing: 0px; letter-spacing: 0.0315px; display: inline-block; margin-left: 0px; width: 0.410156px; font-size: 10.5px; font-family: ff70; -webkit-text-stroke: 0.1575px rgba(0, 0, 0, 0);"&gt;&lt;/span&gt;&lt;span style="display: inline-block;"&gt;nci&lt;/span&gt;&lt;span style="word-spacing: 0px; letter-spacing: 0.0315px; display: inline-block; margin-left: 0px; width: 0.410156px; font-size: 10.5px; font-family: ff70; -webkit-text-stroke: 0.1575px rgba(0, 0, 0, 0);"&gt;&lt;/span&gt;&lt;span style="display: inline-block;"&gt;al in&lt;/span&gt;&lt;span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0.410156px; font-size: 10.5px; font-family: ff70; -webkit-text-stroke: 0.1575px rgba(0, 0, 0, 0);"&gt;&lt;/span&gt;&lt;span style="display: inline-block;"&gt;tr&lt;/span&gt;&lt;span style="word-spacing: 0px; letter-spacing: 0.0315px; display: inline-block; margin-left: 0px; width: 0.410156px; font-size: 10.5px; font-family: ff70; -webkit-text-stroke: 0.1575px rgba(0, 0, 0, 0);"&gt;&lt;/span&gt;&lt;span style="display: inline-block;"&gt;ume&lt;/span&gt;&lt;span style="word-spacing: 0px; letter-spacing: 0.0315px; display: inline-block; margin-left: 0px; width: 0.410156px; font-size: 10.5px; font-family: ff70; -webkit-text-stroke: 0.1575px rgba(0, 0, 0, 0);"&gt;&lt;/span&gt;&lt;span style="display: inline-block;"&gt;nt&lt;/span&gt;&lt;span style="word-spacing: 0px; letter-spacing: 0.0315px; display: inline-block; margin-left: 0px; width: 0.410156px; font-size: 10.5px; font-family: ff70; -webkit-text-stroke: 0.1575px rgba(0, 0, 0, 0);"&gt;&lt;/span&gt;&lt;span style="display: inline-block;"&gt;s&lt;/span&gt;&lt;span style="word-spacing: 0px; letter-spacing: 0.0315px; display: inline-block; margin-left: 0px; width: 50.4082px; font-size: 10.5px; font-family: ff70; -webkit-text-stroke: 0.1575px rgba(0, 0, 0, 0);"&gt;&lt;span style="display: inline-block;"&gt; &lt;/span&gt;&lt;/span&gt;&lt;span class="pp-font-color-override-1" style="word-spacing: 0.4515px; letter-spacing: -0.4515px; display: inline-block; margin-left: 0px; font-size: 10.5px; font-family: ff76; -webkit-text-stroke: 0.1575px rgba(0, 0, 0, 0);"&gt;&lt;span style="display: inline-block;"&gt;207&lt;/span&gt;&lt;span style="word-spacing: 0.4515px; letter-spacing: -0.4515px; display: inline-block; margin-left: 0px; width: 45.4864px; font-size: 10.5px; font-family: ff76; -webkit-text-stroke: 0.1575px rgba(0, 0, 0, 0);"&gt;&lt;span style="display: inline-block;"&gt;&lt;span style="width: 2.625px; display: inline-block;"&gt; &lt;/span&gt;&lt;/span&gt;&lt;/span&gt;&lt;span class="pp-font-color-override-1" style="word-spacing: 0px; letter-spacing: 0px; display: inline-block; margin-left: 0px; font-size: 10.5px; font-family: ff76; -webkit-text-stroke: 0.1575px rgba(0, 0, 0, 0);"&gt;&lt;span style="display: inline-block;"&gt;—&lt;/span&gt;&lt;/span&gt;&lt;/span&gt;&lt;/span&gt;&lt;span class="pp-font-color-override-1" style="position: absolute; display: inline-block; left: 0px; top: 103.463px; width: 346.494px; white-space: pre; word-spacing: -0.1995px; letter-spacing: 0.231px; margin-left: 0px; font-size: 10.5px; font-family: ff70; -webkit-text-stroke: 0.1575px rgba(0, 0, 0, 0);"&gt;&lt;span style="display: inline-block;"&gt;Sold services&lt;/span&gt;&lt;span style="word-spacing: -0.1995px; letter-spacing: 0.231px; display: inline-block; margin-left: 0px; width: 221.414px; font-size: 10.5px; font-family: ff70; -webkit-text-stroke: 0.1575px rgba(0, 0, 0, 0);"&gt;&lt;span style="display: inline-block;"&gt; &lt;/span&gt;&lt;/span&gt;&lt;span class="pp-font-color-override-1" style="word-spacing: 0px; letter-spacing: 0px; display: inline-block; margin-left: 0px; font-size: 10.5px; font-family: ff70; -webkit-text-stroke: 0.1575px rgba(0, 0, 0, 0);"&gt;&lt;span style="display: inline-block;"&gt;521&lt;/span&gt;&lt;span style="word-spacing: 0px; letter-spacing: 0px; display: inline-block; margin-left: 0px; width: 34.4707px; font-size: 10.5px; font-family: ff70; -webkit-text-stroke: 0.1575px rgba(0, 0, 0, 0);"&gt;&lt;span style="display: inline-block;"&gt; &lt;/span&gt;&lt;/span&gt;&lt;/span&gt;&lt;span class="pp-font-color-override-1" style="word-spacing: -0.1995px; letter-spacing: 0.1995px; display: inline-block; margin-left: 0px; font-size: 10.5px; font-family: ff70; -webkit-text-stroke: 0.1575px rgba(0, 0, 0, 0);"&gt;&lt;span style="display: inline-block;"&gt;684&lt;/span&gt;&lt;/span&gt;&lt;/span&gt;&lt;span class="pp-font-color-override-1" style="position: absolute; display: inline-block; left: 0px; top: 119.635px; width: 342.328px; white-space: pre; word-spacing: -0.0735px; letter-spacing: 0.105px; margin-left: 0px; font-size: 10.5px; font-family: ff70; -webkit-text-stroke: 0.1575px rgba(0, 0, 0, 0);"&gt;&lt;span style="display: inline-block;"&gt;Gover&lt;/span&gt;&lt;span style="word-spacing: -0.0735px; letter-spacing: 0.105px; display: inline-block; margin-left: 0px; width: 0.410156px; font-size: 10.5px; font-family: ff70; -webkit-text-stroke: 0.1575px rgba(0, 0, 0, 0);"&gt;&lt;/span&gt;&lt;span style="display: inline-block;"&gt;nment g&lt;/span&gt;&lt;span style="word-spacing: -0.0735px; letter-spacing: 0.105px; display: inline-block; margin-left: 0px; width: 0.410156px; font-size: 10.5px; font-family: ff70; -webkit-text-stroke: 0.1575px rgba(0, 0, 0, 0);"&gt;&lt;/span&gt;&lt;span style="display: inline-block;"&gt;rants&lt;/span&gt;&lt;span style="word-spacing: -0.0735px; letter-spacing: 0.105px; display: inline-block; margin-left: 0px; width: 196.429px; font-size: 10.5px; font-family: ff70; -webkit-text-stroke: 0.1575px rgba(0, 0, 0, 0);"&gt;&lt;span style="display: inline-block;"&gt; &lt;/span&gt;&lt;/span&gt;&lt;span class="pp-font-color-override-1" style="word-spacing: -0.021px; letter-spacing: 0.021px; display: inline-block; margin-left: 0px; font-size: 10.5px; font-family: ff70; -webkit-text-stroke: 0.1575px rgba(0, 0, 0, 0);"&gt;&lt;span style="display: inline-block;"&gt;26&lt;/span&gt;&lt;span style="word-spacing: -0.021px; letter-spacing: 0.021px; display: inline-block; margin-left: 0px; width: 41.244px; font-size: 10.5px; font-family: ff70; -webkit-text-stroke: 0.1575px rgba(0, 0, 0, 0);"&gt;&lt;span style="display: inline-block;"&gt; &lt;/span&gt;&lt;/span&gt;&lt;span class="pp-font-color-override-1" style="word-spacing: -0.147px; letter-spacing: 0.147px; display: inline-block; margin-left: 0px; font-size: 10.5px; font-family: ff70; -webkit-text-stroke: 0.1575px rgba(0, 0, 0, 0);"&gt;&lt;span style="display: inline-block;"&gt;30&lt;/span&gt;&lt;/span&gt;&lt;/span&gt;&lt;/span&gt;&lt;span class="pp-font-color-override-1" style="position: absolute; display: inline-block; left: 0px; top: 135.807px; width: 350.32px; white-space: pre; word-spacing: -0.147px; letter-spacing: 0.147px; margin-left: 0px; font-size: 10.5px; font-family: ff70; -webkit-text-stroke: 0.1575px rgba(0, 0, 0, 0);"&gt;&lt;span style="display: inline-block;"&gt;Other&lt;/span&gt;&lt;span style="word-spacing: -0.147px; letter-spacing: 0.147px; display: inline-block; margin-left: 0px; width: 256.969px; font-size: 10.5px; font-family: ff70; -webkit-text-stroke: 0.1575px rgba(0, 0, 0, 0);"&gt;&lt;span style="display: inline-block;"&gt; &lt;/span&gt;&lt;/span&gt;&lt;span class="pp-font-color-override-1" style="word-spacing: 0.147px; letter-spacing: -0.147px; display: inline-block; margin-left: 0px; font-size: 10.5px; font-family: ff70; -webkit-text-stroke: 0.1575px rgba(0, 0, 0, 0);"&gt;&lt;span style="display: inline-block;"&gt;976&lt;/span&gt;&lt;span style="word-spacing: 0.147px; letter-spacing: -0.147px; display: inline-block; margin-left: 0px; width: 29.1973px; font-size: 10.5px; font-family: ff70; -webkit-text-stroke: 0.1575px rgba(0, 0, 0, 0);"&gt;&lt;span style="display: inline-block;"&gt;&lt;span style="width: 2.625px; display: inline-block;"&gt; &lt;/span&gt;&lt;/span&gt;&lt;/span&gt;&lt;span class="pp-font-color-override-1" style="word-spacing: -0.0315px; letter-spacing: 0.0315px; display: inline-block; margin-left: 0px; font-size: 10.5px; font-family: ff70; -webkit-text-stroke: 0.1575px rgba(0, 0, 0, 0);"&gt;&lt;span style="display: inline-block;"&gt;2,&lt;/span&gt;&lt;span style="word-spacing: -0.0315px; letter-spacing: 0.0315px; display: inline-block; margin-left: 0px; width: 0.410156px; font-size: 10.5px; font-family: ff70; -webkit-text-stroke: 0.1575px rgba(0, 0, 0, 0);"&gt;&lt;/span&gt;&lt;span style="display: inline-block;"&gt;321&lt;/span&gt;&lt;/span&gt;&lt;/span&gt;&lt;/span&gt;&lt;span class="pp-font-color-override-1" style="position: absolute; display: inline-block; left: 0px; top: 151.508px; width: 344.021px; white-space: pre; word-spacing: -0.1995px; letter-spacing: 0.1995px; margin-left: 0px; font-size: 10.5px; font-family: ff6f; -webkit-text-stroke: 0.1575px rgba(0, 0, 0, 0);"&gt;&lt;span style="display: inline-block;"&gt;T&lt;/span&gt;&lt;span style="word-spacing: -0.1995px; letter-spacing: 0.1995px; display: inline-block; margin-left: -1.13625px; width: 0px; font-size: 10.5px; font-family: ff6f; -webkit-text-stroke: 0.1575px rgba(0, 0, 0, 0);"&gt;&lt;/span&gt;&lt;span style="display: inline-block;"&gt;ot&lt;/span&gt;&lt;span style="word-spacing: -0.1995px; letter-spacing: 0.1995px; display: inline-block; margin-left: 0px; width: 0.410156px; font-size: 10.5px; font-family: ff6f; -webkit-text-stroke: 0.1575px rgba(0, 0, 0, 0);"&gt;&lt;/span&gt;&lt;span style="display: inline-block;"&gt;al&lt;/span&gt;&lt;span style="word-spacing: -0.1995px; letter-spacing: 0.1995px; display: inline-block; margin-left: 0px; width: 249.199px; font-size: 10.5px; font-family: ff6f; -webkit-text-stroke: 0.1575px rgba(0, 0, 0, 0);"&gt;&lt;span style="display: inline-block;"&gt; &lt;/span&gt;&lt;/span&gt;&lt;span class="pp-font-color-override-1" style="word-spacing: 0.1365px; letter-spacing: -0.1365px; display: inline-block; margin-left: 0px; font-size: 10.5px; font-family: ff6f; -webkit-text-stroke: 0.1575px rgba(0, 0, 0, 0);"&gt;&lt;span style="display: inline-block;"&gt;1,7&lt;/span&gt;&lt;span style="word-spacing: 0.1365px; letter-spacing: -0.1365px; display: inline-block; margin-left: 0px; width: 0.410156px; font-size: 10.5px; font-family: ff6f; -webkit-text-stroke: 0.1575px rgba(0, 0, 0, 0);"&gt;&lt;/span&gt;&lt;span style="display: inline-block;"&gt;3&lt;/span&gt;&lt;span style="word-spacing: 0.1365px; letter-spacing: -0.1365px; display: inline-block; margin-left: 0px; width: 0.410156px; font-size: 10.5px; font-family: ff6f; -webkit-text-stroke: 0.1575px rgba(0, 0, 0, 0);"&gt;&lt;/span&gt;&lt;span style="display: inline-block;"&gt;0&lt;/span&gt;&lt;span style="word-spacing: 0.1365px; letter-spacing: -0.1365px; display: inline-block; margin-left: 0px; width: 23.7246px; font-size: 10.5px; font-family: ff6f; -webkit-text-stroke: 0.1575px rgba(0, 0, 0, 0);"&gt;&lt;span style="display: inline-block;"&gt;&lt;span style="width: 2.625px; display: inline-block;"&gt; &lt;/span&gt;&lt;/span&gt;&lt;/span&gt;&lt;span class="pp-font-color-override-1" style="word-spacing: -0.168px; letter-spacing: 0.168px; display: inline-block; margin-left: 0px; font-size: 10.5px; font-family: ff6f; -webkit-text-stroke: 0.1575px rgba(0, 0, 0, 0);"&gt;&lt;span style="display: inline-block;"&gt;3,&lt;/span&gt;&lt;span style="word-spacing: -0.168px; letter-spacing: 0.168px; display: inline-block; margin-left: 0px; width: 0.410156px; font-size: 10.5px; font-family: ff6f; -webkit-text-stroke: 0.1575px rgba(0, 0, 0, 0);"&gt;&lt;/span&gt;&lt;span style="display: inline-block;"&gt;438&lt;/span&gt;&lt;/span&gt;&lt;/span&gt;&lt;/span&gt;&lt;/span&gt;&lt;span style="display:inherit;clear:left;position:relative;height:173.66015625px;"&gt;&lt;span class="pp-font-color-override-1" style="position: absolute; display: inline-block; left: 278.375px; top: 0.0039062px; width: 68.9941px;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30.6738px;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 class="pp-font-color-override-1" style="position: absolute; display: inline-block; left: 0px; top: 22.3672px; width: 110.953px; white-space: pre; word-spacing: -0.189px; letter-spacing: 0.2205px; margin-left: 0px; font-size: 10.5px; font-family: ff6f; -webkit-text-stroke: 0.1575px rgba(0, 0, 0, 0);"&gt;&lt;span style="display: inline-block;"&gt;Other operating&lt;/span&gt;&lt;span style="word-spacing: -0.189px; letter-spacing: 0.2205px; display: inline-block; margin-left: -0.684px; width: 0px; font-size: 10.5px; font-family: ff6f; -webkit-text-stroke: 0.1575px rgba(0, 0, 0, 0);"&gt;&lt;/span&gt;&lt;span style="display: inline-block;"&gt; expenses&lt;/span&gt;&lt;/span&gt;&lt;span class="pp-font-color-override-1" style="position: absolute; display: inline-block; left: 0px; top: 38.5879px; width: 193.078px; white-space: pre; word-spacing: 0px; letter-spacing: 0.0315px; margin-left: 0px; font-size: 10.5px; font-family: ff70; -webkit-text-stroke: 0.1575px rgba(0, 0, 0, 0);"&gt;&lt;span style="display: inline-block;"&gt;Am&lt;/span&gt;&lt;span style="word-spacing: 0px; letter-spacing: 0.0315px; display: inline-block; margin-left: 0px; width: 0.410156px; font-si</t>
  </si>
  <si>
    <t>f1__s8__6__6</t>
  </si>
  <si>
    <t>ifrs-full:LegalFormOfEntity</t>
  </si>
  <si>
    <t>AB (publ.)</t>
  </si>
  <si>
    <t>f1__s8__6__60</t>
  </si>
  <si>
    <t>ifrs-full:DisclosureOfOtherOperatingIncomeExplanatory</t>
  </si>
  <si>
    <t>f1__s8__6__61</t>
  </si>
  <si>
    <t>ifrs-full:DisclosureOfOtherOperatingExpenseExplanatory</t>
  </si>
  <si>
    <t>f1__s8__6__65</t>
  </si>
  <si>
    <t>ifrs-full:DisclosureOfLeasesExplanatory</t>
  </si>
  <si>
    <t>&lt;span style="display:inherit;clear:left;"&gt;NOT&lt;span class="_ _7"&gt;&lt;/span&gt;E 7&lt;/span&gt;&lt;span style="display:inherit;clear:left;"&gt;LE&lt;span class="_ _7"&gt;&lt;/span&gt;ASES&lt;/span&gt;&lt;span style="display:inherit;clear:left;"&gt;ACCOUNTING&lt;span class="_ _2"&gt;&lt;/span&gt; POLICIES&lt;/span&gt;&lt;span style="display:inherit;clear:left;"&gt;V&lt;span class="_ _2"&gt;&lt;/span&gt;olvo Car G&lt;span class="_ _7"&gt;&lt;/span&gt;roup a&lt;span class="_ _7"&gt;&lt;/span&gt;s a les&lt;span class="_ _7"&gt;&lt;/span&gt;se&lt;span class="_ _7"&gt;&lt;/span&gt;e&lt;/span&gt;&lt;span style="display:inherit;clear:left;"&gt;Volvo Ca&lt;span class="_ _7"&gt;&lt;/span&gt;r Gro&lt;span class="_ _7"&gt;&lt;/span&gt;up le&lt;span class="_ _7"&gt;&lt;/span&gt;as&lt;span class="_ _7"&gt;&lt;/span&gt;e&lt;span class="_ _7"&gt;&lt;/span&gt;s pr&lt;span class="_ _7"&gt;&lt;/span&gt;im&lt;span class="_ _7"&gt;&lt;/span&gt;ari&lt;span class="_ _7"&gt;&lt;/span&gt;ly re&lt;span class="_ _7"&gt;&lt;/span&gt;al e&lt;span class="_ _7"&gt;&lt;/span&gt;s&lt;span class="_ _7"&gt;&lt;/span&gt;ta&lt;span class="_ _7"&gt;&lt;/span&gt;te as&lt;span class="_ _7"&gt;&lt;/span&gt;s&lt;span class="_ _7"&gt;&lt;/span&gt;et&lt;span class="_ _7"&gt;&lt;/span&gt;s (suc&lt;span class="_ _7"&gt;&lt;/span&gt;h as o&lt;span class="_ _7"&gt;&lt;/span&gt;f&lt;span class="_ _7"&gt;&lt;/span&gt;f&lt;span class="_ _7"&gt;&lt;/span&gt;ic&lt;span class="_ _7"&gt;&lt;/span&gt;e &lt;/span&gt;&lt;span style="display:inherit;clear:left;"&gt;bui&lt;span class="_ _7"&gt;&lt;/span&gt;ld&lt;span class="_ _7"&gt;&lt;/span&gt;ing&lt;span class="_ _7"&gt;&lt;/span&gt;s an&lt;span class="_ _7"&gt;&lt;/span&gt;d war&lt;span class="_ _7"&gt;&lt;/span&gt;eh&lt;span class="_ _7"&gt;&lt;/span&gt;ou&lt;span class="_ _7"&gt;&lt;/span&gt;se&lt;span class="_ _7"&gt;&lt;/span&gt;s) an&lt;span class="_ _7"&gt;&lt;/span&gt;d eq&lt;span class="_ _7"&gt;&lt;/span&gt;uip&lt;span class="_ _7"&gt;&lt;/span&gt;me&lt;span class="_ _7"&gt;&lt;/span&gt;nt (su&lt;span class="_ _7"&gt;&lt;/span&gt;ch as p&lt;span class="_ _7"&gt;&lt;/span&gt;ro&lt;span class="_ _7"&gt;&lt;/span&gt;du&lt;span class="_ _7"&gt;&lt;/span&gt;cti&lt;span class="_ _7"&gt;&lt;/span&gt;on to&lt;span class="_ _7"&gt;&lt;/span&gt;ol-&lt;/span&gt;&lt;span style="display:inherit;clear:left;"&gt;ing and IT&lt;span class="_ _2"&gt;&lt;/span&gt; har&lt;span class="_ _7"&gt;&lt;/span&gt;dware)&lt;span class="_ _2"&gt;&lt;/span&gt;.&lt;/span&gt;&lt;span style="display:inherit;clear:left;"&gt;At&lt;span class="_ _2"&gt;&lt;/span&gt; lease contract commencement&lt;span class="_ _2"&gt;&lt;/span&gt; date, V&lt;span class="_ _2"&gt;&lt;/span&gt;olvo&lt;span class="_ _2"&gt;&lt;/span&gt; Car Group recog&lt;span class="_ _2"&gt;&lt;/span&gt;&lt;span class="ls3 ws3"&gt;-&lt;/span&gt;&lt;/span&gt;&lt;span style="display:inherit;clear:left;"&gt;nis&lt;span class="_ _7"&gt;&lt;/span&gt;e&lt;span class="_ _7"&gt;&lt;/span&gt;s on t&lt;span class="_ _7"&gt;&lt;/span&gt;he b&lt;span class="_ _7"&gt;&lt;/span&gt;al&lt;span class="_ _7"&gt;&lt;/span&gt;an&lt;span class="_ _7"&gt;&lt;/span&gt;ce s&lt;span class="_ _7"&gt;&lt;/span&gt;he&lt;span class="_ _7"&gt;&lt;/span&gt;et a ri&lt;span class="_ _7"&gt;&lt;/span&gt;ght-of&lt;span class="_ _2"&gt;&lt;/span&gt;-us&lt;span class="_ _7"&gt;&lt;/span&gt;e (Ro&lt;span class="_ _7"&gt;&lt;/span&gt;U) a&lt;span class="_ _7"&gt;&lt;/span&gt;s&lt;span class="_ _7"&gt;&lt;/span&gt;se&lt;span class="_ _7"&gt;&lt;/span&gt;t an&lt;span class="_ _7"&gt;&lt;/span&gt;d lea&lt;span class="_ _7"&gt;&lt;/span&gt;se l&lt;span class="_ _7"&gt;&lt;/span&gt;ia-&lt;/span&gt;&lt;span style="display:inherit;clear:left;"&gt;bil&lt;span class="_ _7"&gt;&lt;/span&gt;it&lt;span class="_ _7"&gt;&lt;/span&gt;y. RoU a&lt;span class="_ _7"&gt;&lt;/span&gt;s&lt;span class="_ _7"&gt;&lt;/span&gt;se&lt;span class="_ _7"&gt;&lt;/span&gt;ts a&lt;span class="_ _7"&gt;&lt;/span&gt;re me&lt;span class="_ _7"&gt;&lt;/span&gt;as&lt;span class="_ _7"&gt;&lt;/span&gt;ur&lt;span class="_ _7"&gt;&lt;/span&gt;ed a&lt;span class="_ _7"&gt;&lt;/span&gt;t co&lt;span class="_ _7"&gt;&lt;/span&gt;st l&lt;span class="_ _7"&gt;&lt;/span&gt;es&lt;span class="_ _7"&gt;&lt;/span&gt;s a&lt;span class="_ _7"&gt;&lt;/span&gt;ccu&lt;span class="_ _7"&gt;&lt;/span&gt;mu&lt;span class="_ _7"&gt;&lt;/span&gt;la&lt;span class="_ _7"&gt;&lt;/span&gt;ted d&lt;span class="_ _7"&gt;&lt;/span&gt;ep&lt;span class="_ _7"&gt;&lt;/span&gt;re&lt;span class="_ _7"&gt;&lt;/span&gt;cia-&lt;/span&gt;&lt;span style="display:inherit;clear:left;"&gt;tio&lt;span class="_ _7"&gt;&lt;/span&gt;n an&lt;span class="_ _7"&gt;&lt;/span&gt;d imp&lt;span class="_ _7"&gt;&lt;/span&gt;ai&lt;span class="_ _7"&gt;&lt;/span&gt;rm&lt;span class="_ _7"&gt;&lt;/span&gt;ent a&lt;span class="_ _7"&gt;&lt;/span&gt;nd c&lt;span class="_ _7"&gt;&lt;/span&gt;la&lt;span class="_ _7"&gt;&lt;/span&gt;s&lt;span class="_ _7"&gt;&lt;/span&gt;si&lt;span class="_ _7"&gt;&lt;/span&gt;fi&lt;span class="_ _7"&gt;&lt;/span&gt;ed a&lt;span class="_ _7"&gt;&lt;/span&gt;s T&lt;span class="_ _2"&gt;&lt;/span&gt;ang&lt;span class="_ _7"&gt;&lt;/span&gt;ib&lt;span class="_ _7"&gt;&lt;/span&gt;le a&lt;span class="_ _7"&gt;&lt;/span&gt;s&lt;span class="_ _7"&gt;&lt;/span&gt;se&lt;span class="_ _7"&gt;&lt;/span&gt;ts o&lt;span class="_ _7"&gt;&lt;/span&gt;n the b&lt;span class="_ _7"&gt;&lt;/span&gt;al&lt;span class="_ _7"&gt;&lt;/span&gt;an&lt;span class="_ _7"&gt;&lt;/span&gt;ce &lt;/span&gt;&lt;span style="display:inherit;clear:left;"&gt;sh&lt;span class="_ _7"&gt;&lt;/span&gt;ee&lt;span class="_ _7"&gt;&lt;/span&gt;t, s&lt;span class="_ _7"&gt;&lt;/span&gt;ee N&lt;span class="_ _7"&gt;&lt;/span&gt;ote 16 – T&lt;span class="_ _2"&gt;&lt;/span&gt;an&lt;span class="_ _7"&gt;&lt;/span&gt;gib&lt;span class="_ _7"&gt;&lt;/span&gt;le a&lt;span class="_ _7"&gt;&lt;/span&gt;s&lt;span class="_ _7"&gt;&lt;/span&gt;se&lt;span class="_ _7"&gt;&lt;/span&gt;ts&lt;span class="_ _7"&gt;&lt;/span&gt;. L&lt;span class="_ _7"&gt;&lt;/span&gt;ea&lt;span class="_ _7"&gt;&lt;/span&gt;se l&lt;span class="_ _7"&gt;&lt;/span&gt;iab&lt;span class="_ _7"&gt;&lt;/span&gt;ili&lt;span class="_ _7"&gt;&lt;/span&gt;ti&lt;span class="_ _7"&gt;&lt;/span&gt;es a&lt;span class="_ _7"&gt;&lt;/span&gt;re m&lt;span class="_ _7"&gt;&lt;/span&gt;ea&lt;span class="_ _7"&gt;&lt;/span&gt;sur&lt;span class="_ _7"&gt;&lt;/span&gt;ed &lt;/span&gt;&lt;span style="display:inherit;clear:left;"&gt;as th&lt;span class="_ _7"&gt;&lt;/span&gt;e pr&lt;span class="_ _7"&gt;&lt;/span&gt;es&lt;span class="_ _7"&gt;&lt;/span&gt;en&lt;span class="_ _7"&gt;&lt;/span&gt;t va&lt;span class="_ _7"&gt;&lt;/span&gt;lue o&lt;span class="_ _7"&gt;&lt;/span&gt;f fu&lt;span class="_ _7"&gt;&lt;/span&gt;tur&lt;span class="_ _7"&gt;&lt;/span&gt;e lea&lt;span class="_ _7"&gt;&lt;/span&gt;s&lt;span class="_ _7"&gt;&lt;/span&gt;e pay&lt;span class="_ _7"&gt;&lt;/span&gt;me&lt;span class="_ _7"&gt;&lt;/span&gt;nt&lt;span class="_ _7"&gt;&lt;/span&gt;s an&lt;span class="_ _7"&gt;&lt;/span&gt;d am&lt;span class="_ _7"&gt;&lt;/span&gt;or&lt;span class="_ _7"&gt;&lt;/span&gt;ti&lt;span class="_ _7"&gt;&lt;/span&gt;s&lt;span class="_ _7"&gt;&lt;/span&gt;ed u&lt;span class="_ _7"&gt;&lt;/span&gt;sin&lt;span class="_ _7"&gt;&lt;/span&gt;g &lt;/span&gt;&lt;span style="display:inherit;clear:left;"&gt;the i&lt;span class="_ _7"&gt;&lt;/span&gt;nte&lt;span class="_ _7"&gt;&lt;/span&gt;re&lt;span class="_ _7"&gt;&lt;/span&gt;st r&lt;span class="_ _7"&gt;&lt;/span&gt;ate i&lt;span class="_ _7"&gt;&lt;/span&gt;mp&lt;span class="_ _7"&gt;&lt;/span&gt;lic&lt;span class="_ _7"&gt;&lt;/span&gt;it in t&lt;span class="_ _7"&gt;&lt;/span&gt;he le&lt;span class="_ _7"&gt;&lt;/span&gt;as&lt;span class="_ _7"&gt;&lt;/span&gt;e o&lt;span class="_ _7"&gt;&lt;/span&gt;r us&lt;span class="_ _7"&gt;&lt;/span&gt;ing Volvo C&lt;span class="_ _7"&gt;&lt;/span&gt;ar G&lt;span class="_ _7"&gt;&lt;/span&gt;rou&lt;span class="_ _7"&gt;&lt;/span&gt;p’s &lt;/span&gt;&lt;span style="display:inherit;clear:left;"&gt;inc&lt;span class="_ _7"&gt;&lt;/span&gt;re&lt;span class="_ _7"&gt;&lt;/span&gt;men&lt;span class="_ _7"&gt;&lt;/span&gt;ta&lt;span class="_ _7"&gt;&lt;/span&gt;l bo&lt;span class="_ _7"&gt;&lt;/span&gt;rr&lt;span class="_ _7"&gt;&lt;/span&gt;owi&lt;span class="_ _7"&gt;&lt;/span&gt;ng r&lt;span class="_ _7"&gt;&lt;/span&gt;ate w&lt;span class="_ _7"&gt;&lt;/span&gt;hen t&lt;span class="_ _7"&gt;&lt;/span&gt;hi&lt;span class="_ _7"&gt;&lt;/span&gt;s ca&lt;span class="_ _7"&gt;&lt;/span&gt;nno&lt;span class="_ _7"&gt;&lt;/span&gt;t be d&lt;span class="_ _7"&gt;&lt;/span&gt;ete&lt;span class="_ _7"&gt;&lt;/span&gt;rm&lt;span class="_ _7"&gt;&lt;/span&gt;ine&lt;span class="_ _7"&gt;&lt;/span&gt;d&lt;span class="_ _7"&gt;&lt;/span&gt;. Inte&lt;span class="_ _7"&gt;&lt;/span&gt;r&lt;span class="_ _2"&gt;&lt;/span&gt;-&lt;/span&gt;&lt;span style="display:inherit;clear:left;"&gt;es&lt;span class="_ _7"&gt;&lt;/span&gt;t ex&lt;span class="_ _7"&gt;&lt;/span&gt;pe&lt;span class="_ _7"&gt;&lt;/span&gt;ns&lt;span class="_ _7"&gt;&lt;/span&gt;e on L&lt;span class="_ _7"&gt;&lt;/span&gt;ea&lt;span class="_ _7"&gt;&lt;/span&gt;se l&lt;span class="_ _7"&gt;&lt;/span&gt;iab&lt;span class="_ _7"&gt;&lt;/span&gt;il&lt;span class="_ _7"&gt;&lt;/span&gt;iti&lt;span class="_ _7"&gt;&lt;/span&gt;es i&lt;span class="_ _7"&gt;&lt;/span&gt;s pr&lt;span class="_ _7"&gt;&lt;/span&gt;es&lt;span class="_ _7"&gt;&lt;/span&gt;e&lt;span class="_ _7"&gt;&lt;/span&gt;nte&lt;span class="_ _7"&gt;&lt;/span&gt;d as in&lt;span class="_ _7"&gt;&lt;/span&gt;ter&lt;span class="_ _7"&gt;&lt;/span&gt;es&lt;span class="_ _7"&gt;&lt;/span&gt;t ex&lt;span class="_ _7"&gt;&lt;/span&gt;pe&lt;span class="_ _7"&gt;&lt;/span&gt;ns&lt;span class="_ _7"&gt;&lt;/span&gt;e in &lt;/span&gt;&lt;span style="display:inherit;clear:left;"&gt;the income&lt;span class="_ _2"&gt;&lt;/span&gt; st&lt;span class="_ _7"&gt;&lt;/span&gt;atement.&lt;/span&gt;&lt;span style="display:inherit;clear:left;"&gt;Volvo Ca&lt;span class="_ _7"&gt;&lt;/span&gt;r Gro&lt;span class="_ _7"&gt;&lt;/span&gt;up h&lt;span class="_ _7"&gt;&lt;/span&gt;as e&lt;span class="_ _7"&gt;&lt;/span&gt;lec&lt;span class="_ _7"&gt;&lt;/span&gt;te&lt;span class="_ _7"&gt;&lt;/span&gt;d not t&lt;span class="_ _7"&gt;&lt;/span&gt;o se&lt;span class="_ _7"&gt;&lt;/span&gt;pa&lt;span class="_ _7"&gt;&lt;/span&gt;ra&lt;span class="_ _7"&gt;&lt;/span&gt;te no&lt;span class="_ _7"&gt;&lt;/span&gt;n-lea&lt;span class="_ _7"&gt;&lt;/span&gt;se c&lt;span class="_ _7"&gt;&lt;/span&gt;om&lt;span class="_ _7"&gt;&lt;/span&gt;po-&lt;/span&gt;&lt;span style="display:inherit;clear:left;"&gt;ne&lt;span class="_ _7"&gt;&lt;/span&gt;nts a&lt;span class="_ _7"&gt;&lt;/span&gt;nd a&lt;span class="_ _7"&gt;&lt;/span&gt;cc&lt;span class="_ _7"&gt;&lt;/span&gt;oun&lt;span class="_ _7"&gt;&lt;/span&gt;ts f&lt;span class="_ _7"&gt;&lt;/span&gt;or th&lt;span class="_ _7"&gt;&lt;/span&gt;e le&lt;span class="_ _7"&gt;&lt;/span&gt;as&lt;span class="_ _7"&gt;&lt;/span&gt;e an&lt;span class="_ _7"&gt;&lt;/span&gt;d no&lt;span class="_ _7"&gt;&lt;/span&gt;n-lea&lt;span class="_ _7"&gt;&lt;/span&gt;se c&lt;span class="_ _7"&gt;&lt;/span&gt;om&lt;span class="_ _7"&gt;&lt;/span&gt;po&lt;span class="_ _7"&gt;&lt;/span&gt;ne&lt;span class="_ _7"&gt;&lt;/span&gt;nts a&lt;span class="_ _7"&gt;&lt;/span&gt;s a &lt;/span&gt;&lt;span style="display:inherit;clear:left;"&gt;single l&lt;span class="_ _2"&gt;&lt;/span&gt;eas&lt;span class="_ _7"&gt;&lt;/span&gt;e component.&lt;/span&gt;&lt;span style="display:inherit;clear:left;"&gt;If a le&lt;span class="_ _7"&gt;&lt;/span&gt;as&lt;span class="_ _7"&gt;&lt;/span&gt;e co&lt;span class="_ _7"&gt;&lt;/span&gt;ntr&lt;span class="_ _7"&gt;&lt;/span&gt;ac&lt;span class="_ _7"&gt;&lt;/span&gt;t ha&lt;span class="_ _7"&gt;&lt;/span&gt;s a te&lt;span class="_ _7"&gt;&lt;/span&gt;rm o&lt;span class="_ _7"&gt;&lt;/span&gt;f 12 mont&lt;span class="_ _7"&gt;&lt;/span&gt;hs o&lt;span class="_ _7"&gt;&lt;/span&gt;r le&lt;span class="_ _7"&gt;&lt;/span&gt;s&lt;span class="_ _7"&gt;&lt;/span&gt;s, o&lt;span class="_ _7"&gt;&lt;/span&gt;r the u&lt;span class="_ _7"&gt;&lt;/span&gt;nd&lt;span class="_ _7"&gt;&lt;/span&gt;er-&lt;/span&gt;&lt;span style="display:inherit;clear:left;"&gt;lyi&lt;span class="_ _7"&gt;&lt;/span&gt;ng as&lt;span class="_ _7"&gt;&lt;/span&gt;s&lt;span class="_ _7"&gt;&lt;/span&gt;et i&lt;span class="_ _7"&gt;&lt;/span&gt;s of l&lt;span class="_ _7"&gt;&lt;/span&gt;ow va&lt;span class="_ _7"&gt;&lt;/span&gt;lue&lt;span class="_ _7"&gt;&lt;/span&gt;, or in&lt;span class="_ _7"&gt;&lt;/span&gt;clu&lt;span class="_ _7"&gt;&lt;/span&gt;de&lt;span class="_ _7"&gt;&lt;/span&gt;s va&lt;span class="_ _7"&gt;&lt;/span&gt;ri&lt;span class="_ _7"&gt;&lt;/span&gt;abl&lt;span class="_ _7"&gt;&lt;/span&gt;e lea&lt;span class="_ _7"&gt;&lt;/span&gt;s&lt;span class="_ _7"&gt;&lt;/span&gt;e pay&lt;span class="_ _7"&gt;&lt;/span&gt;me&lt;span class="_ _7"&gt;&lt;/span&gt;nt&lt;span class="_ _7"&gt;&lt;/span&gt;s no&lt;span class="_ _7"&gt;&lt;/span&gt;t &lt;/span&gt;&lt;span style="display:inherit;clear:left;"&gt;dep&lt;span class="_ _7"&gt;&lt;/span&gt;en&lt;span class="_ _7"&gt;&lt;/span&gt;de&lt;span class="_ _7"&gt;&lt;/span&gt;nt o&lt;span class="_ _7"&gt;&lt;/span&gt;n an in&lt;span class="_ _7"&gt;&lt;/span&gt;dex o&lt;span class="_ _7"&gt;&lt;/span&gt;r ra&lt;span class="_ _7"&gt;&lt;/span&gt;te, n&lt;span class="_ _7"&gt;&lt;/span&gt;o RoU a&lt;span class="_ _7"&gt;&lt;/span&gt;s&lt;span class="_ _7"&gt;&lt;/span&gt;se&lt;span class="_ _7"&gt;&lt;/span&gt;t or le&lt;span class="_ _7"&gt;&lt;/span&gt;as&lt;span class="_ _7"&gt;&lt;/span&gt;e li&lt;span class="_ _7"&gt;&lt;/span&gt;ab&lt;span class="_ _7"&gt;&lt;/span&gt;ili&lt;span class="_ _7"&gt;&lt;/span&gt;t&lt;span class="_ _7"&gt;&lt;/span&gt;y is &lt;/span&gt;&lt;span style="display:inherit;clear:left;"&gt; &lt;span class="_ _1"&gt;&lt;/span&gt;re&lt;span class="_ _7"&gt;&lt;/span&gt;co&lt;span class="_ _7"&gt;&lt;/span&gt;gn&lt;span class="_ _7"&gt;&lt;/span&gt;is&lt;span class="_ _7"&gt;&lt;/span&gt;ed&lt;span class="_ _7"&gt;&lt;/span&gt;. Th&lt;span class="_ _7"&gt;&lt;/span&gt;e co&lt;span class="_ _7"&gt;&lt;/span&gt;s&lt;span class="_ _7"&gt;&lt;/span&gt;t of th&lt;span class="_ _7"&gt;&lt;/span&gt;e&lt;span class="_ _7"&gt;&lt;/span&gt;se le&lt;span class="_ _7"&gt;&lt;/span&gt;as&lt;span class="_ _7"&gt;&lt;/span&gt;e&lt;span class="_ _7"&gt;&lt;/span&gt;s is r&lt;span class="_ _7"&gt;&lt;/span&gt;ec&lt;span class="_ _7"&gt;&lt;/span&gt;og&lt;span class="_ _7"&gt;&lt;/span&gt;ni&lt;span class="_ _7"&gt;&lt;/span&gt;se&lt;span class="_ _7"&gt;&lt;/span&gt;d as a l&lt;span class="_ _7"&gt;&lt;/span&gt;ea&lt;span class="_ _7"&gt;&lt;/span&gt;se &lt;/span&gt;&lt;span style="display:inherit;clear:left;"&gt;exp&lt;span class="_ _7"&gt;&lt;/span&gt;en&lt;span class="_ _7"&gt;&lt;/span&gt;se o&lt;span class="_ _7"&gt;&lt;/span&gt;n a s&lt;span class="_ _7"&gt;&lt;/span&gt;tr&lt;span class="_ _7"&gt;&lt;/span&gt;aig&lt;span class="_ _7"&gt;&lt;/span&gt;ht&lt;span class="_ _2"&gt;&lt;/span&gt;-li&lt;span class="_ _7"&gt;&lt;/span&gt;ne b&lt;span class="_ _7"&gt;&lt;/span&gt;as&lt;span class="_ _7"&gt;&lt;/span&gt;is ov&lt;span class="_ _7"&gt;&lt;/span&gt;er th&lt;span class="_ _7"&gt;&lt;/span&gt;e le&lt;span class="_ _7"&gt;&lt;/span&gt;as&lt;span class="_ _7"&gt;&lt;/span&gt;e ter&lt;span class="_ _7"&gt;&lt;/span&gt;m in th&lt;span class="_ _7"&gt;&lt;/span&gt;e f&lt;span class="_ _7"&gt;&lt;/span&gt;unc&lt;span class="_ _7"&gt;&lt;/span&gt;ti&lt;span class="_ _7"&gt;&lt;/span&gt;on&lt;span class="_ _7"&gt;&lt;/span&gt;al &lt;/span&gt;&lt;span style="display:inherit;clear:left;"&gt;exp&lt;span class="_ _7"&gt;&lt;/span&gt;en&lt;span class="_ _7"&gt;&lt;/span&gt;se l&lt;span class="_ _7"&gt;&lt;/span&gt;in&lt;span class="_ _7"&gt;&lt;/span&gt;e for w&lt;span class="_ _7"&gt;&lt;/span&gt;hi&lt;span class="_ _7"&gt;&lt;/span&gt;ch th&lt;span class="_ _7"&gt;&lt;/span&gt;e lea&lt;span class="_ _7"&gt;&lt;/span&gt;s&lt;span class="_ _7"&gt;&lt;/span&gt;ed a&lt;span class="_ _7"&gt;&lt;/span&gt;s&lt;span class="_ _7"&gt;&lt;/span&gt;se&lt;span class="_ _7"&gt;&lt;/span&gt;t is u&lt;span class="_ _7"&gt;&lt;/span&gt;se&lt;span class="_ _7"&gt;&lt;/span&gt;d.&lt;/span&gt;&lt;span style="display:inherit;clear:left;"&gt;V&lt;span class="_ _2"&gt;&lt;/span&gt;olvo Car G&lt;span class="_ _7"&gt;&lt;/span&gt;roup a&lt;span class="_ _7"&gt;&lt;/span&gt;s a les&lt;span class="_ _7"&gt;&lt;/span&gt;so&lt;span class="_ _7"&gt;&lt;/span&gt;r&lt;/span&gt;&lt;span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a les&lt;span class="_ _7"&gt;&lt;/span&gt;s&lt;span class="_ _7"&gt;&lt;/span&gt;o&lt;span class="_ _7"&gt;&lt;/span&gt;r con&lt;span class="_ _7"&gt;&lt;/span&gt;tr&lt;span class="_ _7"&gt;&lt;/span&gt;ac&lt;span class="_ _7"&gt;&lt;/span&gt;t as e&lt;span class="_ _7"&gt;&lt;/span&gt;ith&lt;span class="_ _7"&gt;&lt;/span&gt;er a f&lt;span class="_ _7"&gt;&lt;/span&gt;in&lt;span class="_ _7"&gt;&lt;/span&gt;anc&lt;span class="_ _7"&gt;&lt;/span&gt;e le&lt;span class="_ _7"&gt;&lt;/span&gt;as&lt;span class="_ _7"&gt;&lt;/span&gt;e &lt;/span&gt;&lt;span style="display:inherit;clear:left;"&gt;or an o&lt;span class="_ _7"&gt;&lt;/span&gt;pe&lt;span class="_ _7"&gt;&lt;/span&gt;ra&lt;span class="_ _7"&gt;&lt;/span&gt;tin&lt;span class="_ _7"&gt;&lt;/span&gt;g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rew&lt;span class="_ _7"&gt;&lt;/span&gt;ard&lt;span class="_ _7"&gt;&lt;/span&gt;s in&lt;span class="_ _7"&gt;&lt;/span&gt;ci-&lt;/span&gt;&lt;span style="display:inherit;clear:left;"&gt;den&lt;span class="_ _7"&gt;&lt;/span&gt;ta&lt;span class="_ _7"&gt;&lt;/span&gt;l to ow&lt;span class="_ _7"&gt;&lt;/span&gt;ne&lt;span class="_ _7"&gt;&lt;/span&gt;rs&lt;span class="_ _7"&gt;&lt;/span&gt;hi&lt;span class="_ _7"&gt;&lt;/span&gt;p of th&lt;span class="_ _7"&gt;&lt;/span&gt;e le&lt;span class="_ _7"&gt;&lt;/span&gt;as&lt;span class="_ _7"&gt;&lt;/span&gt;ed a&lt;span class="_ _7"&gt;&lt;/span&gt;s&lt;span class="_ _7"&gt;&lt;/span&gt;se&lt;span class="_ _7"&gt;&lt;/span&gt;t ar&lt;span class="_ _7"&gt;&lt;/span&gt;e tra&lt;span class="_ _7"&gt;&lt;/span&gt;ns&lt;span class="_ _7"&gt;&lt;/span&gt;f&lt;span class="_ _7"&gt;&lt;/span&gt;er&lt;span class="_ _7"&gt;&lt;/span&gt;re&lt;span class="_ _7"&gt;&lt;/span&gt;d to the l&lt;span class="_ _7"&gt;&lt;/span&gt;es-&lt;/span&gt;&lt;span style="display:inherit;clear:left;"&gt;se&lt;span class="_ _7"&gt;&lt;/span&gt;e, i&lt;span class="_ _7"&gt;&lt;/span&gt;t is c&lt;span class="_ _7"&gt;&lt;/span&gt;la&lt;span class="_ _7"&gt;&lt;/span&gt;s&lt;span class="_ _7"&gt;&lt;/span&gt;si&lt;span class="_ _7"&gt;&lt;/span&gt;fi&lt;span class="_ _7"&gt;&lt;/span&gt;ed a&lt;span class="_ _7"&gt;&lt;/span&gt;s a f&lt;span class="_ _7"&gt;&lt;/span&gt;ina&lt;span class="_ _7"&gt;&lt;/span&gt;nc&lt;span class="_ _7"&gt;&lt;/span&gt;e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&lt;/span&gt;&lt;span style="display:inherit;clear:left;"&gt;rew&lt;span class="_ _7"&gt;&lt;/span&gt;ard&lt;span class="_ _7"&gt;&lt;/span&gt;s re&lt;span class="_ _7"&gt;&lt;/span&gt;ma&lt;span class="_ _7"&gt;&lt;/span&gt;in wi&lt;span class="_ _7"&gt;&lt;/span&gt;th Volvo C&lt;span class="_ _7"&gt;&lt;/span&gt;ar G&lt;span class="_ _7"&gt;&lt;/span&gt;rou&lt;span class="_ _7"&gt;&lt;/span&gt;p, i&lt;span class="_ _7"&gt;&lt;/span&gt;t is cl&lt;span class="_ _7"&gt;&lt;/span&gt;a&lt;span class="_ _7"&gt;&lt;/span&gt;s&lt;span class="_ _7"&gt;&lt;/span&gt;si&lt;span class="_ _7"&gt;&lt;/span&gt;fi&lt;span class="_ _7"&gt;&lt;/span&gt;ed a&lt;span class="_ _7"&gt;&lt;/span&gt;s an o&lt;span class="_ _7"&gt;&lt;/span&gt;pe&lt;span class="_ _7"&gt;&lt;/span&gt;rat&lt;span class="_ _7"&gt;&lt;/span&gt;ing &lt;/span&gt;&lt;span style="display:inherit;clear:left;"&gt;leas&lt;span class="_ _7"&gt;&lt;/span&gt;e.&lt;/span&gt;&lt;span style="display:inherit;clear:left;"&gt;Op&lt;span class="_ _7"&gt;&lt;/span&gt;erati&lt;span class="_ _7"&gt;&lt;/span&gt;ng leas&lt;span class="_ _7"&gt;&lt;/span&gt;es&lt;/span&gt;&lt;span style="display:inherit;clear:left;"&gt;Volvo Ca&lt;span class="_ _7"&gt;&lt;/span&gt;r Gro&lt;span class="_ _7"&gt;&lt;/span&gt;up’s op&lt;span class="_ _7"&gt;&lt;/span&gt;er&lt;span class="_ _7"&gt;&lt;/span&gt;ati&lt;span class="_ _7"&gt;&lt;/span&gt;ng le&lt;span class="_ _7"&gt;&lt;/span&gt;as&lt;span class="_ _7"&gt;&lt;/span&gt;e&lt;span class="_ _7"&gt;&lt;/span&gt;s con&lt;span class="_ _7"&gt;&lt;/span&gt;s&lt;span class="_ _7"&gt;&lt;/span&gt;is&lt;span class="_ _7"&gt;&lt;/span&gt;t pr&lt;span class="_ _7"&gt;&lt;/span&gt;im&lt;span class="_ _7"&gt;&lt;/span&gt;ari&lt;span class="_ _7"&gt;&lt;/span&gt;ly of c&lt;span class="_ _7"&gt;&lt;/span&gt;ar&lt;span class="_ _7"&gt;&lt;/span&gt;s u&lt;span class="_ _7"&gt;&lt;/span&gt;nd&lt;span class="_ _7"&gt;&lt;/span&gt;er a &lt;/span&gt;&lt;span style="display:inherit;clear:left;"&gt;sub&lt;span class="_ _7"&gt;&lt;/span&gt;s&lt;span class="_ _7"&gt;&lt;/span&gt;cr&lt;span class="_ _7"&gt;&lt;/span&gt;ipt&lt;span class="_ _7"&gt;&lt;/span&gt;ion c&lt;span class="_ _7"&gt;&lt;/span&gt;on&lt;span class="_ _7"&gt;&lt;/span&gt;tr&lt;span class="_ _7"&gt;&lt;/span&gt;act w&lt;span class="_ _7"&gt;&lt;/span&gt;it&lt;span class="_ _7"&gt;&lt;/span&gt;h a cus&lt;span class="_ _7"&gt;&lt;/span&gt;to&lt;span class="_ _7"&gt;&lt;/span&gt;me&lt;span class="_ _7"&gt;&lt;/span&gt;r (Car&lt;span class="_ _7"&gt;&lt;/span&gt;e by Volvo) and c&lt;span class="_ _7"&gt;&lt;/span&gt;ar&lt;span class="_ _7"&gt;&lt;/span&gt;s s&lt;span class="_ _7"&gt;&lt;/span&gt;old &lt;/span&gt;&lt;span style="display:inherit;clear:left;"&gt;wit&lt;span class="_ _7"&gt;&lt;/span&gt;h a re&lt;span class="_ _7"&gt;&lt;/span&gt;pur&lt;span class="_ _7"&gt;&lt;/span&gt;ch&lt;span class="_ _7"&gt;&lt;/span&gt;as&lt;span class="_ _7"&gt;&lt;/span&gt;e co&lt;span class="_ _7"&gt;&lt;/span&gt;mmi&lt;span class="_ _7"&gt;&lt;/span&gt;tm&lt;span class="_ _7"&gt;&lt;/span&gt;ent (f&lt;span class="_ _7"&gt;&lt;/span&gt;or ex&lt;span class="_ _7"&gt;&lt;/span&gt;amp&lt;span class="_ _7"&gt;&lt;/span&gt;le to f&lt;span class="_ _7"&gt;&lt;/span&gt;in&lt;span class="_ _7"&gt;&lt;/span&gt;an&lt;span class="_ _7"&gt;&lt;/span&gt;cia&lt;span class="_ _7"&gt;&lt;/span&gt;l in&lt;span class="_ _7"&gt;&lt;/span&gt;st&lt;span class="_ _7"&gt;&lt;/span&gt;itu&lt;span class="_ _7"&gt;&lt;/span&gt;tio&lt;span class="_ _7"&gt;&lt;/span&gt;ns &lt;/span&gt;&lt;span style="display:inherit;clear:left;"&gt;and r&lt;span class="_ _7"&gt;&lt;/span&gt;en&lt;span class="_ _7"&gt;&lt;/span&gt;ta&lt;span class="_ _7"&gt;&lt;/span&gt;l fle&lt;span class="_ _7"&gt;&lt;/span&gt;et c&lt;span class="_ _7"&gt;&lt;/span&gt;om&lt;span class="_ _7"&gt;&lt;/span&gt;pa&lt;span class="_ _7"&gt;&lt;/span&gt;nie&lt;span class="_ _7"&gt;&lt;/span&gt;s). The&lt;span class="_ _7"&gt;&lt;/span&gt;s&lt;span class="_ _7"&gt;&lt;/span&gt;e ca&lt;span class="_ _7"&gt;&lt;/span&gt;rs a&lt;span class="_ _7"&gt;&lt;/span&gt;re r&lt;span class="_ _7"&gt;&lt;/span&gt;ec&lt;span class="_ _7"&gt;&lt;/span&gt;ogn&lt;span class="_ _7"&gt;&lt;/span&gt;is&lt;span class="_ _7"&gt;&lt;/span&gt;e&lt;span class="_ _7"&gt;&lt;/span&gt;d on th&lt;span class="_ _7"&gt;&lt;/span&gt;e ba&lt;span class="_ _7"&gt;&lt;/span&gt;l-&lt;/span&gt;&lt;span style="display:inherit;clear:left;"&gt;anc&lt;span class="_ _7"&gt;&lt;/span&gt;e sh&lt;span class="_ _7"&gt;&lt;/span&gt;ee&lt;span class="_ _7"&gt;&lt;/span&gt;t at c&lt;span class="_ _7"&gt;&lt;/span&gt;os&lt;span class="_ _7"&gt;&lt;/span&gt;t le&lt;span class="_ _7"&gt;&lt;/span&gt;s&lt;span class="_ _7"&gt;&lt;/span&gt;s ac&lt;span class="_ _7"&gt;&lt;/span&gt;cum&lt;span class="_ _7"&gt;&lt;/span&gt;ul&lt;span class="_ _7"&gt;&lt;/span&gt;ate&lt;span class="_ _7"&gt;&lt;/span&gt;d de&lt;span class="_ _7"&gt;&lt;/span&gt;pre&lt;span class="_ _7"&gt;&lt;/span&gt;ci&lt;span class="_ _7"&gt;&lt;/span&gt;ati&lt;span class="_ _7"&gt;&lt;/span&gt;on a&lt;span class="_ _7"&gt;&lt;/span&gt;nd im&lt;span class="_ _7"&gt;&lt;/span&gt;pa&lt;span class="_ _7"&gt;&lt;/span&gt;ir&lt;span class="_ _7"&gt;&lt;/span&gt;me&lt;span class="_ _7"&gt;&lt;/span&gt;nt &lt;/span&gt;&lt;span style="display:inherit;clear:left;"&gt;and c&lt;span class="_ _7"&gt;&lt;/span&gt;la&lt;span class="_ _7"&gt;&lt;/span&gt;s&lt;span class="_ _7"&gt;&lt;/span&gt;si&lt;span class="_ _7"&gt;&lt;/span&gt;f&lt;span class="_ _7"&gt;&lt;/span&gt;ie&lt;span class="_ _7"&gt;&lt;/span&gt;d as A&lt;span class="_ _7"&gt;&lt;/span&gt;s&lt;span class="_ _7"&gt;&lt;/span&gt;se&lt;span class="_ _7"&gt;&lt;/span&gt;ts u&lt;span class="_ _7"&gt;&lt;/span&gt;nd&lt;span class="_ _7"&gt;&lt;/span&gt;er o&lt;span class="_ _7"&gt;&lt;/span&gt;pe&lt;span class="_ _7"&gt;&lt;/span&gt;ra&lt;span class="_ _7"&gt;&lt;/span&gt;ting l&lt;span class="_ _7"&gt;&lt;/span&gt;ea&lt;span class="_ _7"&gt;&lt;/span&gt;se (s&lt;span class="_ _7"&gt;&lt;/span&gt;ee N&lt;span class="_ _7"&gt;&lt;/span&gt;ote 16 – T&lt;span class="_ _2"&gt;&lt;/span&gt;ang&lt;span class="_ _7"&gt;&lt;/span&gt;i-&lt;/span&gt;&lt;span style="display:inherit;clear:left;"&gt;ble a&lt;span class="_ _7"&gt;&lt;/span&gt;s&lt;span class="_ _7"&gt;&lt;/span&gt;s&lt;span class="_ _7"&gt;&lt;/span&gt;et&lt;span class="_ _7"&gt;&lt;/span&gt;s). &lt;span&gt;&lt;span style="display:inherit;clear:left;"&gt;For sub&lt;span class="_ _7"&gt;&lt;/span&gt;s&lt;span class="_ _7"&gt;&lt;/span&gt;cri&lt;span class="_ _7"&gt;&lt;/span&gt;pti&lt;span class="_ _7"&gt;&lt;/span&gt;on c&lt;span class="_ _7"&gt;&lt;/span&gt;ont&lt;span class="_ _7"&gt;&lt;/span&gt;ra&lt;span class="_ _7"&gt;&lt;/span&gt;ct&lt;span class="_ _7"&gt;&lt;/span&gt;s&lt;span class="_ _7"&gt;&lt;/span&gt;, lea&lt;span class="_ _7"&gt;&lt;/span&gt;s&lt;span class="_ _7"&gt;&lt;/span&gt;e inc&lt;span class="_ _7"&gt;&lt;/span&gt;om&lt;span class="_ _7"&gt;&lt;/span&gt;e is r&lt;span class="_ _7"&gt;&lt;/span&gt;ec&lt;span class="_ _7"&gt;&lt;/span&gt;og&lt;span class="_ _7"&gt;&lt;/span&gt;ni&lt;span class="_ _7"&gt;&lt;/span&gt;se&lt;span class="_ _7"&gt;&lt;/span&gt;d &lt;/span&gt;&lt;/span&gt;&lt;/span&gt;&lt;span style="display:inherit;clear:left;"&gt;as re&lt;span class="_ _7"&gt;&lt;/span&gt;ven&lt;span class="_ _7"&gt;&lt;/span&gt;ue o&lt;span class="_ _7"&gt;&lt;/span&gt;n a st&lt;span class="_ _7"&gt;&lt;/span&gt;ra&lt;span class="_ _7"&gt;&lt;/span&gt;igh&lt;span class="_ _7"&gt;&lt;/span&gt;t&lt;span class="_ _2"&gt;&lt;/span&gt;-lin&lt;span class="_ _7"&gt;&lt;/span&gt;e ba&lt;span class="_ _7"&gt;&lt;/span&gt;si&lt;span class="_ _7"&gt;&lt;/span&gt;s ove&lt;span class="_ _7"&gt;&lt;/span&gt;r the l&lt;span class="_ _7"&gt;&lt;/span&gt;ea&lt;span class="_ _7"&gt;&lt;/span&gt;se t&lt;span class="_ _7"&gt;&lt;/span&gt;er&lt;span class="_ _7"&gt;&lt;/span&gt;m. Fo&lt;span class="_ _7"&gt;&lt;/span&gt;r re&lt;span class="_ _7"&gt;&lt;/span&gt;pur-&lt;/span&gt;&lt;span style="display:inherit;clear:left;"&gt;chase commitment&lt;span class="_ _2"&gt;&lt;/span&gt; contracts&lt;span class="_ _7"&gt;&lt;/span&gt;, deferred re&lt;span class="_ _2"&gt;&lt;/span&gt;venue is recognised as&lt;span class="_ _2"&gt;&lt;/span&gt; &lt;/span&gt;&lt;span style="display:inherit;clear:left;"&gt;Co&lt;span class="_ _7"&gt;&lt;/span&gt;ntr&lt;span class="_ _7"&gt;&lt;/span&gt;ac&lt;span class="_ _7"&gt;&lt;/span&gt;t li&lt;span class="_ _7"&gt;&lt;/span&gt;abi&lt;span class="_ _7"&gt;&lt;/span&gt;lit&lt;span class="_ _7"&gt;&lt;/span&gt;ie&lt;span class="_ _7"&gt;&lt;/span&gt;s to cu&lt;span class="_ _7"&gt;&lt;/span&gt;st&lt;span class="_ _7"&gt;&lt;/span&gt;ome&lt;span class="_ _7"&gt;&lt;/span&gt;r&lt;span class="_ _7"&gt;&lt;/span&gt;s&lt;span class="_ _7"&gt;&lt;/span&gt;, se&lt;span class="_ _7"&gt;&lt;/span&gt;e Not&lt;span class="_ _7"&gt;&lt;/span&gt;e 2 - Reve&lt;span class="_ _7"&gt;&lt;/span&gt;nue&lt;span class="_ _7"&gt;&lt;/span&gt;, at th&lt;span class="_ _7"&gt;&lt;/span&gt;e ti&lt;span class="_ _7"&gt;&lt;/span&gt;me &lt;/span&gt;&lt;span style="display:inherit;clear:left;"&gt;the v&lt;span class="_ _7"&gt;&lt;/span&gt;ehi&lt;span class="_ _7"&gt;&lt;/span&gt;cle i&lt;span class="_ _7"&gt;&lt;/span&gt;s s&lt;span class="_ _7"&gt;&lt;/span&gt;old (eq&lt;span class="_ _7"&gt;&lt;/span&gt;ua&lt;span class="_ _7"&gt;&lt;/span&gt;l to the s&lt;span class="_ _7"&gt;&lt;/span&gt;a&lt;span class="_ _7"&gt;&lt;/span&gt;le&lt;span class="_ _7"&gt;&lt;/span&gt;s pr&lt;span class="_ _7"&gt;&lt;/span&gt;ice r&lt;span class="_ _7"&gt;&lt;/span&gt;ec&lt;span class="_ _7"&gt;&lt;/span&gt;ei&lt;span class="_ _7"&gt;&lt;/span&gt;ve&lt;span class="_ _7"&gt;&lt;/span&gt;d fr&lt;span class="_ _7"&gt;&lt;/span&gt;om th&lt;span class="_ _7"&gt;&lt;/span&gt;e cu&lt;span class="_ _7"&gt;&lt;/span&gt;s-&lt;/span&gt;&lt;span style="display:inherit;clear:left;"&gt;tom&lt;span class="_ _7"&gt;&lt;/span&gt;er le&lt;span class="_ _7"&gt;&lt;/span&gt;s&lt;span class="_ _7"&gt;&lt;/span&gt;s th&lt;span class="_ _7"&gt;&lt;/span&gt;e ag&lt;span class="_ _7"&gt;&lt;/span&gt;re&lt;span class="_ _7"&gt;&lt;/span&gt;ed re&lt;span class="_ _7"&gt;&lt;/span&gt;pu&lt;span class="_ _7"&gt;&lt;/span&gt;rch&lt;span class="_ _7"&gt;&lt;/span&gt;as&lt;span class="_ _7"&gt;&lt;/span&gt;e v&lt;span class="_ _7"&gt;&lt;/span&gt;alue t&lt;span class="_ _7"&gt;&lt;/span&gt;ha&lt;span class="_ _7"&gt;&lt;/span&gt;t Volvo Ca&lt;span class="_ _7"&gt;&lt;/span&gt;r Gro&lt;span class="_ _7"&gt;&lt;/span&gt;up i&lt;span class="_ _7"&gt;&lt;/span&gt;s &lt;/span&gt;&lt;span style="display:inherit;clear:left;"&gt;con&lt;span class="_ _7"&gt;&lt;/span&gt;tr&lt;span class="_ _7"&gt;&lt;/span&gt;ac&lt;span class="_ _7"&gt;&lt;/span&gt;tua&lt;span class="_ _7"&gt;&lt;/span&gt;lly o&lt;span class="_ _7"&gt;&lt;/span&gt;bli&lt;span class="_ _7"&gt;&lt;/span&gt;ga&lt;span class="_ _7"&gt;&lt;/span&gt;ted to p&lt;span class="_ _7"&gt;&lt;/span&gt;ay i&lt;span class="_ _7"&gt;&lt;/span&gt;n the f&lt;span class="_ _7"&gt;&lt;/span&gt;ut&lt;span class="_ _7"&gt;&lt;/span&gt;ure) an&lt;span class="_ _7"&gt;&lt;/span&gt;d re&lt;span class="_ _7"&gt;&lt;/span&gt;cog&lt;span class="_ _7"&gt;&lt;/span&gt;ni&lt;span class="_ _7"&gt;&lt;/span&gt;s&lt;span class="_ _7"&gt;&lt;/span&gt;ed a&lt;span class="_ _7"&gt;&lt;/span&gt;s rev&lt;span class="_ _7"&gt;&lt;/span&gt;e-&lt;/span&gt;&lt;span style="display:inherit;clear:left;"&gt;nue o&lt;span class="_ _7"&gt;&lt;/span&gt;n a s&lt;span class="_ _7"&gt;&lt;/span&gt;tra&lt;span class="_ _7"&gt;&lt;/span&gt;ig&lt;span class="_ _7"&gt;&lt;/span&gt;ht&lt;span class="_ _2"&gt;&lt;/span&gt;-li&lt;span class="_ _7"&gt;&lt;/span&gt;ne b&lt;span class="_ _7"&gt;&lt;/span&gt;as&lt;span class="_ _7"&gt;&lt;/span&gt;is u&lt;span class="_ _7"&gt;&lt;/span&gt;nti&lt;span class="_ _7"&gt;&lt;/span&gt;l rep&lt;span class="_ _7"&gt;&lt;/span&gt;ur&lt;span class="_ _7"&gt;&lt;/span&gt;cha&lt;span class="_ _7"&gt;&lt;/span&gt;s&lt;span class="_ _7"&gt;&lt;/span&gt;e dat&lt;span class="_ _7"&gt;&lt;/span&gt;e. In a&lt;span class="_ _7"&gt;&lt;/span&gt;dd&lt;span class="_ _7"&gt;&lt;/span&gt;iti&lt;span class="_ _7"&gt;&lt;/span&gt;on to t&lt;span class="_ _7"&gt;&lt;/span&gt;his&lt;span class="_ _7"&gt;&lt;/span&gt;, &lt;/span&gt;&lt;span style="display:inherit;clear:left;"&gt;a lia&lt;span class="_ _7"&gt;&lt;/span&gt;bi&lt;span class="_ _7"&gt;&lt;/span&gt;lit&lt;span class="_ _7"&gt;&lt;/span&gt;y i&lt;span class="_ _7"&gt;&lt;/span&gt;s re&lt;span class="_ _7"&gt;&lt;/span&gt;cog&lt;span class="_ _7"&gt;&lt;/span&gt;ni&lt;span class="_ _7"&gt;&lt;/span&gt;s&lt;span class="_ _7"&gt;&lt;/span&gt;ed f&lt;span class="_ _7"&gt;&lt;/span&gt;or th&lt;span class="_ _7"&gt;&lt;/span&gt;e ag&lt;span class="_ _7"&gt;&lt;/span&gt;ree&lt;span class="_ _7"&gt;&lt;/span&gt;d re&lt;span class="_ _7"&gt;&lt;/span&gt;pu&lt;span class="_ _7"&gt;&lt;/span&gt;rch&lt;span class="_ _7"&gt;&lt;/span&gt;as&lt;span class="_ _7"&gt;&lt;/span&gt;e v&lt;span class="_ _7"&gt;&lt;/span&gt;alue t&lt;span class="_ _7"&gt;&lt;/span&gt;o be p&lt;span class="_ _7"&gt;&lt;/span&gt;ai&lt;span class="_ _7"&gt;&lt;/span&gt;d at &lt;/span&gt;&lt;span style="display:inherit;clear:left;"&gt;rep&lt;span class="_ _7"&gt;&lt;/span&gt;ur&lt;span class="_ _7"&gt;&lt;/span&gt;ch&lt;span class="_ _7"&gt;&lt;/span&gt;as&lt;span class="_ _7"&gt;&lt;/span&gt;e dat&lt;span class="_ _7"&gt;&lt;/span&gt;e. s&lt;span class="_ _7"&gt;&lt;/span&gt;ee N&lt;span class="_ _7"&gt;&lt;/span&gt;ote 24 – O&lt;span class="_ _7"&gt;&lt;/span&gt;the&lt;span class="_ _7"&gt;&lt;/span&gt;r Cur&lt;span class="_ _7"&gt;&lt;/span&gt;re&lt;span class="_ _7"&gt;&lt;/span&gt;nt an&lt;span class="_ _7"&gt;&lt;/span&gt;d No&lt;span class="_ _7"&gt;&lt;/span&gt;n-Cu&lt;span class="_ _7"&gt;&lt;/span&gt;rr&lt;span class="_ _7"&gt;&lt;/span&gt;ent  &lt;/span&gt;&lt;span style="display:inherit;clear:left;"&gt;&lt;span&gt;&lt;span style="display:inherit;clear:left;"&gt;Liabili&lt;span class="_ _7"&gt;&lt;/span&gt;ties&lt;span class="_ _7"&gt;&lt;/span&gt;.&lt;/span&gt;&lt;/span&gt; &lt;/span&gt;&lt;span style="display:inherit;clear:left;"&gt;Sale and l&lt;span class="_ _2"&gt;&lt;/span&gt;easeback transactions&lt;/span&gt;&lt;span style="display:inherit;clear:left;"&gt;From t&lt;span class="_ _7"&gt;&lt;/span&gt;ime t&lt;span class="_ _7"&gt;&lt;/span&gt;o tim&lt;span class="_ _7"&gt;&lt;/span&gt;e, Volvo C&lt;span class="_ _7"&gt;&lt;/span&gt;ar Gr&lt;span class="_ _7"&gt;&lt;/span&gt;ou&lt;span class="_ _7"&gt;&lt;/span&gt;p se&lt;span class="_ _7"&gt;&lt;/span&gt;ll&lt;span class="_ _7"&gt;&lt;/span&gt;s a t&lt;span class="_ _7"&gt;&lt;/span&gt;ang&lt;span class="_ _7"&gt;&lt;/span&gt;ib&lt;span class="_ _7"&gt;&lt;/span&gt;le as&lt;span class="_ _7"&gt;&lt;/span&gt;s&lt;span class="_ _7"&gt;&lt;/span&gt;et (&lt;span class="_ _7"&gt;&lt;/span&gt;pr&lt;span class="_ _7"&gt;&lt;/span&gt;im&lt;span class="_ _7"&gt;&lt;/span&gt;ari&lt;span class="_ _7"&gt;&lt;/span&gt;ly &lt;/span&gt;&lt;span style="display:inherit;clear:left;"&gt;own&lt;span class="_ _7"&gt;&lt;/span&gt;ed c&lt;span class="_ _7"&gt;&lt;/span&gt;ar&lt;span class="_ _7"&gt;&lt;/span&gt;s a&lt;span class="_ _7"&gt;&lt;/span&gt;nd b&lt;span class="_ _7"&gt;&lt;/span&gt;uil&lt;span class="_ _7"&gt;&lt;/span&gt;din&lt;span class="_ _7"&gt;&lt;/span&gt;gs) an&lt;span class="_ _7"&gt;&lt;/span&gt;d im&lt;span class="_ _7"&gt;&lt;/span&gt;me&lt;span class="_ _7"&gt;&lt;/span&gt;dia&lt;span class="_ _7"&gt;&lt;/span&gt;tel&lt;span class="_ _7"&gt;&lt;/span&gt;y rea&lt;span class="_ _7"&gt;&lt;/span&gt;cq&lt;span class="_ _7"&gt;&lt;/span&gt;uir&lt;span class="_ _7"&gt;&lt;/span&gt;e&lt;span class="_ _7"&gt;&lt;/span&gt;s the r&lt;span class="_ _7"&gt;&lt;/span&gt;igh&lt;span class="_ _7"&gt;&lt;/span&gt;t to &lt;/span&gt;&lt;span style="display:inherit;clear:left;"&gt;us&lt;span class="_ _7"&gt;&lt;/span&gt;e th&lt;span class="_ _7"&gt;&lt;/span&gt;e as&lt;span class="_ _7"&gt;&lt;/span&gt;s&lt;span class="_ _7"&gt;&lt;/span&gt;et by e&lt;span class="_ _7"&gt;&lt;/span&gt;nte&lt;span class="_ _7"&gt;&lt;/span&gt;rin&lt;span class="_ _7"&gt;&lt;/span&gt;g into a l&lt;span class="_ _7"&gt;&lt;/span&gt;ea&lt;span class="_ _7"&gt;&lt;/span&gt;se w&lt;span class="_ _7"&gt;&lt;/span&gt;ith t&lt;span class="_ _7"&gt;&lt;/span&gt;he b&lt;span class="_ _7"&gt;&lt;/span&gt;uye&lt;span class="_ _7"&gt;&lt;/span&gt;r. The lea&lt;span class="_ _7"&gt;&lt;/span&gt;s&lt;span class="_ _7"&gt;&lt;/span&gt;eb&lt;span class="_ _7"&gt;&lt;/span&gt;ack &lt;/span&gt;&lt;span style="display:inherit;clear:left;"&gt;pe&lt;span class="_ _7"&gt;&lt;/span&gt;ri&lt;span class="_ _7"&gt;&lt;/span&gt;od c&lt;span class="_ _7"&gt;&lt;/span&gt;an r&lt;span class="_ _7"&gt;&lt;/span&gt;ang&lt;span class="_ _7"&gt;&lt;/span&gt;e fr&lt;span class="_ _7"&gt;&lt;/span&gt;om th&lt;span class="_ _7"&gt;&lt;/span&gt;re&lt;span class="_ _7"&gt;&lt;/span&gt;e mo&lt;span class="_ _7"&gt;&lt;/span&gt;nth&lt;span class="_ _7"&gt;&lt;/span&gt;s to th&lt;span class="_ _7"&gt;&lt;/span&gt;re&lt;span class="_ _7"&gt;&lt;/span&gt;e yea&lt;span class="_ _7"&gt;&lt;/span&gt;rs&lt;span class="_ _7"&gt;&lt;/span&gt;.&lt;/span&gt;&lt;span style="display:inherit;clear:left;"&gt;CRITICAL A&lt;span class="_ _2"&gt;&lt;/span&gt;CC&lt;span class="_ _7"&gt;&lt;/span&gt;OUNTING ESTIMA&lt;span class="_ _6"&gt;&lt;/span&gt;TES AND JUDGEMENTS&lt;/span&gt;&lt;span style="display:inherit;clear:left;"&gt;At leas&lt;span class="_ _7"&gt;&lt;/span&gt;e c&lt;span class="_ _7"&gt;&lt;/span&gt;ont&lt;span class="_ _7"&gt;&lt;/span&gt;ra&lt;span class="_ _7"&gt;&lt;/span&gt;ct c&lt;span class="_ _7"&gt;&lt;/span&gt;omm&lt;span class="_ _7"&gt;&lt;/span&gt;en&lt;span class="_ _7"&gt;&lt;/span&gt;ce&lt;span class="_ _7"&gt;&lt;/span&gt;me&lt;span class="_ _7"&gt;&lt;/span&gt;nt da&lt;span class="_ _7"&gt;&lt;/span&gt;te, Volvo C&lt;span class="_ _7"&gt;&lt;/span&gt;ar G&lt;span class="_ _7"&gt;&lt;/span&gt;rou&lt;span class="_ _7"&gt;&lt;/span&gt;p is r&lt;span class="_ _7"&gt;&lt;/span&gt;eq&lt;span class="_ _7"&gt;&lt;/span&gt;uir&lt;span class="_ _7"&gt;&lt;/span&gt;ed &lt;/span&gt;&lt;span style="display:inherit;clear:left;"&gt;to ma&lt;span class="_ _7"&gt;&lt;/span&gt;ke jud&lt;span class="_ _7"&gt;&lt;/span&gt;gem&lt;span class="_ _7"&gt;&lt;/span&gt;en&lt;span class="_ _7"&gt;&lt;/span&gt;ts a&lt;span class="_ _7"&gt;&lt;/span&gt;s a le&lt;span class="_ _7"&gt;&lt;/span&gt;s&lt;span class="_ _7"&gt;&lt;/span&gt;se&lt;span class="_ _7"&gt;&lt;/span&gt;e wh&lt;span class="_ _7"&gt;&lt;/span&gt;ich a&lt;span class="_ _7"&gt;&lt;/span&gt;f&lt;span class="_ _7"&gt;&lt;/span&gt;f&lt;span class="_ _7"&gt;&lt;/span&gt;ec&lt;span class="_ _7"&gt;&lt;/span&gt;t the m&lt;span class="_ _7"&gt;&lt;/span&gt;ea&lt;span class="_ _7"&gt;&lt;/span&gt;su&lt;span class="_ _7"&gt;&lt;/span&gt;re&lt;span class="_ _7"&gt;&lt;/span&gt;men&lt;span class="_ _7"&gt;&lt;/span&gt;t of i&lt;span class="_ _7"&gt;&lt;/span&gt;ts &lt;/span&gt;&lt;span style="display:inherit;clear:left;"&gt;RoU a&lt;span class="_ _7"&gt;&lt;/span&gt;s&lt;span class="_ _7"&gt;&lt;/span&gt;se&lt;span class="_ _7"&gt;&lt;/span&gt;t an&lt;span class="_ _7"&gt;&lt;/span&gt;d lea&lt;span class="_ _7"&gt;&lt;/span&gt;s&lt;span class="_ _7"&gt;&lt;/span&gt;e lia&lt;span class="_ _7"&gt;&lt;/span&gt;bil&lt;span class="_ _7"&gt;&lt;/span&gt;it&lt;span class="_ _7"&gt;&lt;/span&gt;y.&lt;/span&gt;&lt;span style="display:inherit;clear:left;"&gt;Whe&lt;span class="_ _7"&gt;&lt;/span&gt;n de&lt;span class="_ _7"&gt;&lt;/span&gt;ter&lt;span class="_ _7"&gt;&lt;/span&gt;mi&lt;span class="_ _7"&gt;&lt;/span&gt;nin&lt;span class="_ _7"&gt;&lt;/span&gt;g the l&lt;span class="_ _7"&gt;&lt;/span&gt;ea&lt;span class="_ _7"&gt;&lt;/span&gt;se te&lt;span class="_ _7"&gt;&lt;/span&gt;rm&lt;span class="_ _7"&gt;&lt;/span&gt;, Volvo C&lt;span class="_ _7"&gt;&lt;/span&gt;ar Gr&lt;span class="_ _7"&gt;&lt;/span&gt;ou&lt;span class="_ _7"&gt;&lt;/span&gt;p con&lt;span class="_ _7"&gt;&lt;/span&gt;s&lt;span class="_ _7"&gt;&lt;/span&gt;ide&lt;span class="_ _7"&gt;&lt;/span&gt;r&lt;span class="_ _7"&gt;&lt;/span&gt;s all &lt;/span&gt;&lt;span style="display:inherit;clear:left;"&gt;fa&lt;span class="_ _7"&gt;&lt;/span&gt;ct&lt;span class="_ _7"&gt;&lt;/span&gt;s an&lt;span class="_ _7"&gt;&lt;/span&gt;d cir&lt;span class="_ _7"&gt;&lt;/span&gt;cum&lt;span class="_ _7"&gt;&lt;/span&gt;s&lt;span class="_ _7"&gt;&lt;/span&gt;tan&lt;span class="_ _7"&gt;&lt;/span&gt;ce&lt;span class="_ _7"&gt;&lt;/span&gt;s th&lt;span class="_ _7"&gt;&lt;/span&gt;at cr&lt;span class="_ _7"&gt;&lt;/span&gt;ea&lt;span class="_ _7"&gt;&lt;/span&gt;te an e&lt;span class="_ _7"&gt;&lt;/span&gt;co&lt;span class="_ _7"&gt;&lt;/span&gt;no&lt;span class="_ _7"&gt;&lt;/span&gt;mic i&lt;span class="_ _7"&gt;&lt;/span&gt;nc&lt;span class="_ _7"&gt;&lt;/span&gt;ent&lt;span class="_ _7"&gt;&lt;/span&gt;ive t&lt;span class="_ _7"&gt;&lt;/span&gt;o exer-&lt;/span&gt;&lt;span style="display:inherit;clear:left;"&gt;cise an e&lt;span class="_ _2"&gt;&lt;/span&gt;x&lt;span class="_ _7"&gt;&lt;/span&gt;tension opt&lt;span class="_ _2"&gt;&lt;/span&gt;ion, or not to&lt;span class="_ _2"&gt;&lt;/span&gt; exercise&lt;span class="_ _2"&gt;&lt;/span&gt; a termination opt&lt;span class="_ _2"&gt;&lt;/span&gt;ion in &lt;/span&gt;&lt;span style="display:inherit;clear:left;"&gt;addition t&lt;span class="_ _2"&gt;&lt;/span&gt;o the non&lt;span class="_ _2"&gt;&lt;/span&gt;-cancellable lease term. These opt&lt;span class="_ _2"&gt;&lt;/span&gt;ions are added &lt;/span&gt;&lt;span style="display:inherit;clear:left;"&gt;to the l&lt;span class="_ _7"&gt;&lt;/span&gt;ea&lt;span class="_ _7"&gt;&lt;/span&gt;se t&lt;span class="_ _7"&gt;&lt;/span&gt;er&lt;span class="_ _7"&gt;&lt;/span&gt;m if th&lt;span class="_ _7"&gt;&lt;/span&gt;ey ar&lt;span class="_ _7"&gt;&lt;/span&gt;e re&lt;span class="_ _7"&gt;&lt;/span&gt;as&lt;span class="_ _7"&gt;&lt;/span&gt;on&lt;span class="_ _7"&gt;&lt;/span&gt;ab&lt;span class="_ _7"&gt;&lt;/span&gt;ly ce&lt;span class="_ _7"&gt;&lt;/span&gt;r&lt;span class="_ _7"&gt;&lt;/span&gt;ta&lt;span class="_ _7"&gt;&lt;/span&gt;in&lt;span class="_ _7"&gt;&lt;/span&gt;. For ex&lt;span class="_ _7"&gt;&lt;/span&gt;am&lt;span class="_ _7"&gt;&lt;/span&gt;ple&lt;span class="_ _7"&gt;&lt;/span&gt;, Volvo &lt;/span&gt;&lt;span style="display:inherit;clear:left;"&gt;Ca&lt;span class="_ _7"&gt;&lt;/span&gt;r Gro&lt;span class="_ _7"&gt;&lt;/span&gt;up wo&lt;span class="_ _7"&gt;&lt;/span&gt;ul&lt;span class="_ _7"&gt;&lt;/span&gt;d con&lt;span class="_ _7"&gt;&lt;/span&gt;s&lt;span class="_ _7"&gt;&lt;/span&gt;ide&lt;span class="_ _7"&gt;&lt;/span&gt;r it r&lt;span class="_ _7"&gt;&lt;/span&gt;ea&lt;span class="_ _7"&gt;&lt;/span&gt;so&lt;span class="_ _7"&gt;&lt;/span&gt;na&lt;span class="_ _7"&gt;&lt;/span&gt;bly c&lt;span class="_ _7"&gt;&lt;/span&gt;er&lt;span class="_ _7"&gt;&lt;/span&gt;t&lt;span class="_ _7"&gt;&lt;/span&gt;ai&lt;span class="_ _7"&gt;&lt;/span&gt;n to exer&lt;span class="_ _7"&gt;&lt;/span&gt;cis&lt;span class="_ _7"&gt;&lt;/span&gt;e an &lt;/span&gt;&lt;span style="display:inherit;clear:left;"&gt;extension option&lt;span class="_ _2"&gt;&lt;/span&gt; if investments hav&lt;span class="_ _2"&gt;&lt;/span&gt;e been made to&lt;span class="_ _2"&gt;&lt;/span&gt; improve the&lt;span class="_ _2"&gt;&lt;/span&gt; &lt;/span&gt;&lt;span style="display:inherit;clear:left;"&gt;und&lt;span class="_ _7"&gt;&lt;/span&gt;er&lt;span class="_ _7"&gt;&lt;/span&gt;ly&lt;span class="_ _7"&gt;&lt;/span&gt;ing a&lt;span class="_ _7"&gt;&lt;/span&gt;s&lt;span class="_ _7"&gt;&lt;/span&gt;se&lt;span class="_ _7"&gt;&lt;/span&gt;t or t&lt;span class="_ _7"&gt;&lt;/span&gt;ail&lt;span class="_ _7"&gt;&lt;/span&gt;or i&lt;span class="_ _7"&gt;&lt;/span&gt;t for o&lt;span class="_ _7"&gt;&lt;/span&gt;ur s&lt;span class="_ _7"&gt;&lt;/span&gt;pe&lt;span class="_ _7"&gt;&lt;/span&gt;ci&lt;span class="_ _7"&gt;&lt;/span&gt;al ne&lt;span class="_ _7"&gt;&lt;/span&gt;e&lt;span class="_ _7"&gt;&lt;/span&gt;ds&lt;span class="_ _7"&gt;&lt;/span&gt;, an&lt;span class="_ _7"&gt;&lt;/span&gt;d/or i&lt;span class="_ _7"&gt;&lt;/span&gt;f the &lt;/span&gt;&lt;span style="display:inherit;clear:left;"&gt;und&lt;span class="_ _7"&gt;&lt;/span&gt;er&lt;span class="_ _7"&gt;&lt;/span&gt;ly&lt;span class="_ _7"&gt;&lt;/span&gt;ing a&lt;span class="_ _7"&gt;&lt;/span&gt;s&lt;span class="_ _7"&gt;&lt;/span&gt;se&lt;span class="_ _7"&gt;&lt;/span&gt;t is o&lt;span class="_ _7"&gt;&lt;/span&gt;f imp&lt;span class="_ _7"&gt;&lt;/span&gt;or&lt;span class="_ _9"&gt;&lt;/span&gt;tan&lt;span class="_ _7"&gt;&lt;/span&gt;ce to Volvo C&lt;span class="_ _7"&gt;&lt;/span&gt;ar G&lt;span class="_ _7"&gt;&lt;/span&gt;ro&lt;span class="_ _7"&gt;&lt;/span&gt;up’s ope&lt;span class="_ _7"&gt;&lt;/span&gt;r&lt;span class="_ _7"&gt;&lt;/span&gt;ati&lt;span class="_ _7"&gt;&lt;/span&gt;on&lt;span class="_ _7"&gt;&lt;/span&gt;s. &lt;/span&gt;&lt;span style="display:inherit;clear:left;"&gt;Th&lt;sp</t>
  </si>
  <si>
    <t>f1__s8__6__66-1</t>
  </si>
  <si>
    <t>ifrs-full:DisclosureOfDebtSecuritiesExplanatory</t>
  </si>
  <si>
    <t>&lt;span style="display:inherit;clear:left;"&gt;ACCOUNTING&lt;span class="_ _2"&gt;&lt;/span&gt; POLICIES&lt;/span&gt;&lt;span style="display:inherit;clear:left;"&gt;V&lt;span class="_ _2"&gt;&lt;/span&gt;olvo Car G&lt;span class="_ _7"&gt;&lt;/span&gt;roup a&lt;span class="_ _7"&gt;&lt;/span&gt;s a les&lt;span class="_ _7"&gt;&lt;/span&gt;se&lt;span class="_ _7"&gt;&lt;/span&gt;e&lt;/span&gt;&lt;span style="display:inherit;clear:left;"&gt;Volvo Ca&lt;span class="_ _7"&gt;&lt;/span&gt;r Gro&lt;span class="_ _7"&gt;&lt;/span&gt;up le&lt;span class="_ _7"&gt;&lt;/span&gt;as&lt;span class="_ _7"&gt;&lt;/span&gt;e&lt;span class="_ _7"&gt;&lt;/span&gt;s pr&lt;span class="_ _7"&gt;&lt;/span&gt;im&lt;span class="_ _7"&gt;&lt;/span&gt;ari&lt;span class="_ _7"&gt;&lt;/span&gt;ly re&lt;span class="_ _7"&gt;&lt;/span&gt;al e&lt;span class="_ _7"&gt;&lt;/span&gt;s&lt;span class="_ _7"&gt;&lt;/span&gt;ta&lt;span class="_ _7"&gt;&lt;/span&gt;te as&lt;span class="_ _7"&gt;&lt;/span&gt;s&lt;span class="_ _7"&gt;&lt;/span&gt;et&lt;span class="_ _7"&gt;&lt;/span&gt;s (suc&lt;span class="_ _7"&gt;&lt;/span&gt;h as o&lt;span class="_ _7"&gt;&lt;/span&gt;f&lt;span class="_ _7"&gt;&lt;/span&gt;f&lt;span class="_ _7"&gt;&lt;/span&gt;ic&lt;span class="_ _7"&gt;&lt;/span&gt;e &lt;/span&gt;&lt;span style="display:inherit;clear:left;"&gt;bui&lt;span class="_ _7"&gt;&lt;/span&gt;ld&lt;span class="_ _7"&gt;&lt;/span&gt;ing&lt;span class="_ _7"&gt;&lt;/span&gt;s an&lt;span class="_ _7"&gt;&lt;/span&gt;d war&lt;span class="_ _7"&gt;&lt;/span&gt;eh&lt;span class="_ _7"&gt;&lt;/span&gt;ou&lt;span class="_ _7"&gt;&lt;/span&gt;se&lt;span class="_ _7"&gt;&lt;/span&gt;s) an&lt;span class="_ _7"&gt;&lt;/span&gt;d eq&lt;span class="_ _7"&gt;&lt;/span&gt;uip&lt;span class="_ _7"&gt;&lt;/span&gt;me&lt;span class="_ _7"&gt;&lt;/span&gt;nt (su&lt;span class="_ _7"&gt;&lt;/span&gt;ch as p&lt;span class="_ _7"&gt;&lt;/span&gt;ro&lt;span class="_ _7"&gt;&lt;/span&gt;du&lt;span class="_ _7"&gt;&lt;/span&gt;cti&lt;span class="_ _7"&gt;&lt;/span&gt;on to&lt;span class="_ _7"&gt;&lt;/span&gt;ol-&lt;/span&gt;&lt;span style="display:inherit;clear:left;"&gt;ing and IT&lt;span class="_ _2"&gt;&lt;/span&gt; har&lt;span class="_ _7"&gt;&lt;/span&gt;dware)&lt;span class="_ _2"&gt;&lt;/span&gt;.&lt;/span&gt;&lt;span style="display:inherit;clear:left;"&gt;At&lt;span class="_ _2"&gt;&lt;/span&gt; lease contract commencement&lt;span class="_ _2"&gt;&lt;/span&gt; date, V&lt;span class="_ _2"&gt;&lt;/span&gt;olvo&lt;span class="_ _2"&gt;&lt;/span&gt; Car Group recog&lt;span class="_ _2"&gt;&lt;/span&gt;&lt;span class="ls3 ws3"&gt;-&lt;/span&gt;&lt;/span&gt;&lt;span style="display:inherit;clear:left;"&gt;nis&lt;span class="_ _7"&gt;&lt;/span&gt;e&lt;span class="_ _7"&gt;&lt;/span&gt;s on t&lt;span class="_ _7"&gt;&lt;/span&gt;he b&lt;span class="_ _7"&gt;&lt;/span&gt;al&lt;span class="_ _7"&gt;&lt;/span&gt;an&lt;span class="_ _7"&gt;&lt;/span&gt;ce s&lt;span class="_ _7"&gt;&lt;/span&gt;he&lt;span class="_ _7"&gt;&lt;/span&gt;et a ri&lt;span class="_ _7"&gt;&lt;/span&gt;ght-of&lt;span class="_ _2"&gt;&lt;/span&gt;-us&lt;span class="_ _7"&gt;&lt;/span&gt;e (Ro&lt;span class="_ _7"&gt;&lt;/span&gt;U) a&lt;span class="_ _7"&gt;&lt;/span&gt;s&lt;span class="_ _7"&gt;&lt;/span&gt;se&lt;span class="_ _7"&gt;&lt;/span&gt;t an&lt;span class="_ _7"&gt;&lt;/span&gt;d lea&lt;span class="_ _7"&gt;&lt;/span&gt;se l&lt;span class="_ _7"&gt;&lt;/span&gt;ia-&lt;/span&gt;&lt;span style="display:inherit;clear:left;"&gt;bil&lt;span class="_ _7"&gt;&lt;/span&gt;it&lt;span class="_ _7"&gt;&lt;/span&gt;y. RoU a&lt;span class="_ _7"&gt;&lt;/span&gt;s&lt;span class="_ _7"&gt;&lt;/span&gt;se&lt;span class="_ _7"&gt;&lt;/span&gt;ts a&lt;span class="_ _7"&gt;&lt;/span&gt;re me&lt;span class="_ _7"&gt;&lt;/span&gt;as&lt;span class="_ _7"&gt;&lt;/span&gt;ur&lt;span class="_ _7"&gt;&lt;/span&gt;ed a&lt;span class="_ _7"&gt;&lt;/span&gt;t co&lt;span class="_ _7"&gt;&lt;/span&gt;st l&lt;span class="_ _7"&gt;&lt;/span&gt;es&lt;span class="_ _7"&gt;&lt;/span&gt;s a&lt;span class="_ _7"&gt;&lt;/span&gt;ccu&lt;span class="_ _7"&gt;&lt;/span&gt;mu&lt;span class="_ _7"&gt;&lt;/span&gt;la&lt;span class="_ _7"&gt;&lt;/span&gt;ted d&lt;span class="_ _7"&gt;&lt;/span&gt;ep&lt;span class="_ _7"&gt;&lt;/span&gt;re&lt;span class="_ _7"&gt;&lt;/span&gt;cia-&lt;/span&gt;&lt;span style="display:inherit;clear:left;"&gt;tio&lt;span class="_ _7"&gt;&lt;/span&gt;n an&lt;span class="_ _7"&gt;&lt;/span&gt;d imp&lt;span class="_ _7"&gt;&lt;/span&gt;ai&lt;span class="_ _7"&gt;&lt;/span&gt;rm&lt;span class="_ _7"&gt;&lt;/span&gt;ent a&lt;span class="_ _7"&gt;&lt;/span&gt;nd c&lt;span class="_ _7"&gt;&lt;/span&gt;la&lt;span class="_ _7"&gt;&lt;/span&gt;s&lt;span class="_ _7"&gt;&lt;/span&gt;si&lt;span class="_ _7"&gt;&lt;/span&gt;fi&lt;span class="_ _7"&gt;&lt;/span&gt;ed a&lt;span class="_ _7"&gt;&lt;/span&gt;s T&lt;span class="_ _2"&gt;&lt;/span&gt;ang&lt;span class="_ _7"&gt;&lt;/span&gt;ib&lt;span class="_ _7"&gt;&lt;/span&gt;le a&lt;span class="_ _7"&gt;&lt;/span&gt;s&lt;span class="_ _7"&gt;&lt;/span&gt;se&lt;span class="_ _7"&gt;&lt;/span&gt;ts o&lt;span class="_ _7"&gt;&lt;/span&gt;n the b&lt;span class="_ _7"&gt;&lt;/span&gt;al&lt;span class="_ _7"&gt;&lt;/span&gt;an&lt;span class="_ _7"&gt;&lt;/span&gt;ce &lt;/span&gt;&lt;span style="display:inherit;clear:left;"&gt;sh&lt;span class="_ _7"&gt;&lt;/span&gt;ee&lt;span class="_ _7"&gt;&lt;/span&gt;t, s&lt;span class="_ _7"&gt;&lt;/span&gt;ee N&lt;span class="_ _7"&gt;&lt;/span&gt;ote 16 – T&lt;span class="_ _2"&gt;&lt;/span&gt;an&lt;span class="_ _7"&gt;&lt;/span&gt;gib&lt;span class="_ _7"&gt;&lt;/span&gt;le a&lt;span class="_ _7"&gt;&lt;/span&gt;s&lt;span class="_ _7"&gt;&lt;/span&gt;se&lt;span class="_ _7"&gt;&lt;/span&gt;ts&lt;span class="_ _7"&gt;&lt;/span&gt;. L&lt;span class="_ _7"&gt;&lt;/span&gt;ea&lt;span class="_ _7"&gt;&lt;/span&gt;se l&lt;span class="_ _7"&gt;&lt;/span&gt;iab&lt;span class="_ _7"&gt;&lt;/span&gt;ili&lt;span class="_ _7"&gt;&lt;/span&gt;ti&lt;span class="_ _7"&gt;&lt;/span&gt;es a&lt;span class="_ _7"&gt;&lt;/span&gt;re m&lt;span class="_ _7"&gt;&lt;/span&gt;ea&lt;span class="_ _7"&gt;&lt;/span&gt;sur&lt;span class="_ _7"&gt;&lt;/span&gt;ed &lt;/span&gt;&lt;span style="display:inherit;clear:left;"&gt;as th&lt;span class="_ _7"&gt;&lt;/span&gt;e pr&lt;span class="_ _7"&gt;&lt;/span&gt;es&lt;span class="_ _7"&gt;&lt;/span&gt;en&lt;span class="_ _7"&gt;&lt;/span&gt;t va&lt;span class="_ _7"&gt;&lt;/span&gt;lue o&lt;span class="_ _7"&gt;&lt;/span&gt;f fu&lt;span class="_ _7"&gt;&lt;/span&gt;tur&lt;span class="_ _7"&gt;&lt;/span&gt;e lea&lt;span class="_ _7"&gt;&lt;/span&gt;s&lt;span class="_ _7"&gt;&lt;/span&gt;e pay&lt;span class="_ _7"&gt;&lt;/span&gt;me&lt;span class="_ _7"&gt;&lt;/span&gt;nt&lt;span class="_ _7"&gt;&lt;/span&gt;s an&lt;span class="_ _7"&gt;&lt;/span&gt;d am&lt;span class="_ _7"&gt;&lt;/span&gt;or&lt;span class="_ _7"&gt;&lt;/span&gt;ti&lt;span class="_ _7"&gt;&lt;/span&gt;s&lt;span class="_ _7"&gt;&lt;/span&gt;ed u&lt;span class="_ _7"&gt;&lt;/span&gt;sin&lt;span class="_ _7"&gt;&lt;/span&gt;g &lt;/span&gt;&lt;span style="display:inherit;clear:left;"&gt;the i&lt;span class="_ _7"&gt;&lt;/span&gt;nte&lt;span class="_ _7"&gt;&lt;/span&gt;re&lt;span class="_ _7"&gt;&lt;/span&gt;st r&lt;span class="_ _7"&gt;&lt;/span&gt;ate i&lt;span class="_ _7"&gt;&lt;/span&gt;mp&lt;span class="_ _7"&gt;&lt;/span&gt;lic&lt;span class="_ _7"&gt;&lt;/span&gt;it in t&lt;span class="_ _7"&gt;&lt;/span&gt;he le&lt;span class="_ _7"&gt;&lt;/span&gt;as&lt;span class="_ _7"&gt;&lt;/span&gt;e o&lt;span class="_ _7"&gt;&lt;/span&gt;r us&lt;span class="_ _7"&gt;&lt;/span&gt;ing Volvo C&lt;span class="_ _7"&gt;&lt;/span&gt;ar G&lt;span class="_ _7"&gt;&lt;/span&gt;rou&lt;span class="_ _7"&gt;&lt;/span&gt;p’s &lt;/span&gt;&lt;span style="display:inherit;clear:left;"&gt;inc&lt;span class="_ _7"&gt;&lt;/span&gt;re&lt;span class="_ _7"&gt;&lt;/span&gt;men&lt;span class="_ _7"&gt;&lt;/span&gt;ta&lt;span class="_ _7"&gt;&lt;/span&gt;l bo&lt;span class="_ _7"&gt;&lt;/span&gt;rr&lt;span class="_ _7"&gt;&lt;/span&gt;owi&lt;span class="_ _7"&gt;&lt;/span&gt;ng r&lt;span class="_ _7"&gt;&lt;/span&gt;ate w&lt;span class="_ _7"&gt;&lt;/span&gt;hen t&lt;span class="_ _7"&gt;&lt;/span&gt;hi&lt;span class="_ _7"&gt;&lt;/span&gt;s ca&lt;span class="_ _7"&gt;&lt;/span&gt;nno&lt;span class="_ _7"&gt;&lt;/span&gt;t be d&lt;span class="_ _7"&gt;&lt;/span&gt;ete&lt;span class="_ _7"&gt;&lt;/span&gt;rm&lt;span class="_ _7"&gt;&lt;/span&gt;ine&lt;span class="_ _7"&gt;&lt;/span&gt;d&lt;span class="_ _7"&gt;&lt;/span&gt;. Inte&lt;span class="_ _7"&gt;&lt;/span&gt;r&lt;span class="_ _2"&gt;&lt;/span&gt;-&lt;/span&gt;&lt;span style="display:inherit;clear:left;"&gt;es&lt;span class="_ _7"&gt;&lt;/span&gt;t ex&lt;span class="_ _7"&gt;&lt;/span&gt;pe&lt;span class="_ _7"&gt;&lt;/span&gt;ns&lt;span class="_ _7"&gt;&lt;/span&gt;e on L&lt;span class="_ _7"&gt;&lt;/span&gt;ea&lt;span class="_ _7"&gt;&lt;/span&gt;se l&lt;span class="_ _7"&gt;&lt;/span&gt;iab&lt;span class="_ _7"&gt;&lt;/span&gt;il&lt;span class="_ _7"&gt;&lt;/span&gt;iti&lt;span class="_ _7"&gt;&lt;/span&gt;es i&lt;span class="_ _7"&gt;&lt;/span&gt;s pr&lt;span class="_ _7"&gt;&lt;/span&gt;es&lt;span class="_ _7"&gt;&lt;/span&gt;e&lt;span class="_ _7"&gt;&lt;/span&gt;nte&lt;span class="_ _7"&gt;&lt;/span&gt;d as in&lt;span class="_ _7"&gt;&lt;/span&gt;ter&lt;span class="_ _7"&gt;&lt;/span&gt;es&lt;span class="_ _7"&gt;&lt;/span&gt;t ex&lt;span class="_ _7"&gt;&lt;/span&gt;pe&lt;span class="_ _7"&gt;&lt;/span&gt;ns&lt;span class="_ _7"&gt;&lt;/span&gt;e in &lt;/span&gt;&lt;span style="display:inherit;clear:left;"&gt;the income&lt;span class="_ _2"&gt;&lt;/span&gt; st&lt;span class="_ _7"&gt;&lt;/span&gt;atement.&lt;/span&gt;&lt;span style="display:inherit;clear:left;"&gt;Volvo Ca&lt;span class="_ _7"&gt;&lt;/span&gt;r Gro&lt;span class="_ _7"&gt;&lt;/span&gt;up h&lt;span class="_ _7"&gt;&lt;/span&gt;as e&lt;span class="_ _7"&gt;&lt;/span&gt;lec&lt;span class="_ _7"&gt;&lt;/span&gt;te&lt;span class="_ _7"&gt;&lt;/span&gt;d not t&lt;span class="_ _7"&gt;&lt;/span&gt;o se&lt;span class="_ _7"&gt;&lt;/span&gt;pa&lt;span class="_ _7"&gt;&lt;/span&gt;ra&lt;span class="_ _7"&gt;&lt;/span&gt;te no&lt;span class="_ _7"&gt;&lt;/span&gt;n-lea&lt;span class="_ _7"&gt;&lt;/span&gt;se c&lt;span class="_ _7"&gt;&lt;/span&gt;om&lt;span class="_ _7"&gt;&lt;/span&gt;po-&lt;/span&gt;&lt;span style="display:inherit;clear:left;"&gt;ne&lt;span class="_ _7"&gt;&lt;/span&gt;nts a&lt;span class="_ _7"&gt;&lt;/span&gt;nd a&lt;span class="_ _7"&gt;&lt;/span&gt;cc&lt;span class="_ _7"&gt;&lt;/span&gt;oun&lt;span class="_ _7"&gt;&lt;/span&gt;ts f&lt;span class="_ _7"&gt;&lt;/span&gt;or th&lt;span class="_ _7"&gt;&lt;/span&gt;e le&lt;span class="_ _7"&gt;&lt;/span&gt;as&lt;span class="_ _7"&gt;&lt;/span&gt;e an&lt;span class="_ _7"&gt;&lt;/span&gt;d no&lt;span class="_ _7"&gt;&lt;/span&gt;n-lea&lt;span class="_ _7"&gt;&lt;/span&gt;se c&lt;span class="_ _7"&gt;&lt;/span&gt;om&lt;span class="_ _7"&gt;&lt;/span&gt;po&lt;span class="_ _7"&gt;&lt;/span&gt;ne&lt;span class="_ _7"&gt;&lt;/span&gt;nts a&lt;span class="_ _7"&gt;&lt;/span&gt;s a &lt;/span&gt;&lt;span style="display:inherit;clear:left;"&gt;single l&lt;span class="_ _2"&gt;&lt;/span&gt;eas&lt;span class="_ _7"&gt;&lt;/span&gt;e component.&lt;/span&gt;&lt;span style="display:inherit;clear:left;"&gt;If a le&lt;span class="_ _7"&gt;&lt;/span&gt;as&lt;span class="_ _7"&gt;&lt;/span&gt;e co&lt;span class="_ _7"&gt;&lt;/span&gt;ntr&lt;span class="_ _7"&gt;&lt;/span&gt;ac&lt;span class="_ _7"&gt;&lt;/span&gt;t ha&lt;span class="_ _7"&gt;&lt;/span&gt;s a te&lt;span class="_ _7"&gt;&lt;/span&gt;rm o&lt;span class="_ _7"&gt;&lt;/span&gt;f 12 mont&lt;span class="_ _7"&gt;&lt;/span&gt;hs o&lt;span class="_ _7"&gt;&lt;/span&gt;r le&lt;span class="_ _7"&gt;&lt;/span&gt;s&lt;span class="_ _7"&gt;&lt;/span&gt;s, o&lt;span class="_ _7"&gt;&lt;/span&gt;r the u&lt;span class="_ _7"&gt;&lt;/span&gt;nd&lt;span class="_ _7"&gt;&lt;/span&gt;er-&lt;/span&gt;&lt;span style="display:inherit;clear:left;"&gt;lyi&lt;span class="_ _7"&gt;&lt;/span&gt;ng as&lt;span class="_ _7"&gt;&lt;/span&gt;s&lt;span class="_ _7"&gt;&lt;/span&gt;et i&lt;span class="_ _7"&gt;&lt;/span&gt;s of l&lt;span class="_ _7"&gt;&lt;/span&gt;ow va&lt;span class="_ _7"&gt;&lt;/span&gt;lue&lt;span class="_ _7"&gt;&lt;/span&gt;, or in&lt;span class="_ _7"&gt;&lt;/span&gt;clu&lt;span class="_ _7"&gt;&lt;/span&gt;de&lt;span class="_ _7"&gt;&lt;/span&gt;s va&lt;span class="_ _7"&gt;&lt;/span&gt;ri&lt;span class="_ _7"&gt;&lt;/span&gt;abl&lt;span class="_ _7"&gt;&lt;/span&gt;e lea&lt;span class="_ _7"&gt;&lt;/span&gt;s&lt;span class="_ _7"&gt;&lt;/span&gt;e pay&lt;span class="_ _7"&gt;&lt;/span&gt;me&lt;span class="_ _7"&gt;&lt;/span&gt;nt&lt;span class="_ _7"&gt;&lt;/span&gt;s no&lt;span class="_ _7"&gt;&lt;/span&gt;t &lt;/span&gt;&lt;span style="display:inherit;clear:left;"&gt;dep&lt;span class="_ _7"&gt;&lt;/span&gt;en&lt;span class="_ _7"&gt;&lt;/span&gt;de&lt;span class="_ _7"&gt;&lt;/span&gt;nt o&lt;span class="_ _7"&gt;&lt;/span&gt;n an in&lt;span class="_ _7"&gt;&lt;/span&gt;dex o&lt;span class="_ _7"&gt;&lt;/span&gt;r ra&lt;span class="_ _7"&gt;&lt;/span&gt;te, n&lt;span class="_ _7"&gt;&lt;/span&gt;o RoU a&lt;span class="_ _7"&gt;&lt;/span&gt;s&lt;span class="_ _7"&gt;&lt;/span&gt;se&lt;span class="_ _7"&gt;&lt;/span&gt;t or le&lt;span class="_ _7"&gt;&lt;/span&gt;as&lt;span class="_ _7"&gt;&lt;/span&gt;e li&lt;span class="_ _7"&gt;&lt;/span&gt;ab&lt;span class="_ _7"&gt;&lt;/span&gt;ili&lt;span class="_ _7"&gt;&lt;/span&gt;t&lt;span class="_ _7"&gt;&lt;/span&gt;y is &lt;/span&gt;&lt;span style="display:inherit;clear:left;"&gt; &lt;span class="_ _1"&gt;&lt;/span&gt;re&lt;span class="_ _7"&gt;&lt;/span&gt;co&lt;span class="_ _7"&gt;&lt;/span&gt;gn&lt;span class="_ _7"&gt;&lt;/span&gt;is&lt;span class="_ _7"&gt;&lt;/span&gt;ed&lt;span class="_ _7"&gt;&lt;/span&gt;. Th&lt;span class="_ _7"&gt;&lt;/span&gt;e co&lt;span class="_ _7"&gt;&lt;/span&gt;s&lt;span class="_ _7"&gt;&lt;/span&gt;t of th&lt;span class="_ _7"&gt;&lt;/span&gt;e&lt;span class="_ _7"&gt;&lt;/span&gt;se le&lt;span class="_ _7"&gt;&lt;/span&gt;as&lt;span class="_ _7"&gt;&lt;/span&gt;e&lt;span class="_ _7"&gt;&lt;/span&gt;s is r&lt;span class="_ _7"&gt;&lt;/span&gt;ec&lt;span class="_ _7"&gt;&lt;/span&gt;og&lt;span class="_ _7"&gt;&lt;/span&gt;ni&lt;span class="_ _7"&gt;&lt;/span&gt;se&lt;span class="_ _7"&gt;&lt;/span&gt;d as a l&lt;span class="_ _7"&gt;&lt;/span&gt;ea&lt;span class="_ _7"&gt;&lt;/span&gt;se &lt;/span&gt;&lt;span style="display:inherit;clear:left;"&gt;exp&lt;span class="_ _7"&gt;&lt;/span&gt;en&lt;span class="_ _7"&gt;&lt;/span&gt;se o&lt;span class="_ _7"&gt;&lt;/span&gt;n a s&lt;span class="_ _7"&gt;&lt;/span&gt;tr&lt;span class="_ _7"&gt;&lt;/span&gt;aig&lt;span class="_ _7"&gt;&lt;/span&gt;ht&lt;span class="_ _2"&gt;&lt;/span&gt;-li&lt;span class="_ _7"&gt;&lt;/span&gt;ne b&lt;span class="_ _7"&gt;&lt;/span&gt;as&lt;span class="_ _7"&gt;&lt;/span&gt;is ov&lt;span class="_ _7"&gt;&lt;/span&gt;er th&lt;span class="_ _7"&gt;&lt;/span&gt;e le&lt;span class="_ _7"&gt;&lt;/span&gt;as&lt;span class="_ _7"&gt;&lt;/span&gt;e ter&lt;span class="_ _7"&gt;&lt;/span&gt;m in th&lt;span class="_ _7"&gt;&lt;/span&gt;e f&lt;span class="_ _7"&gt;&lt;/span&gt;unc&lt;span class="_ _7"&gt;&lt;/span&gt;ti&lt;span class="_ _7"&gt;&lt;/span&gt;on&lt;span class="_ _7"&gt;&lt;/span&gt;al &lt;/span&gt;&lt;span style="display:inherit;clear:left;"&gt;exp&lt;span class="_ _7"&gt;&lt;/span&gt;en&lt;span class="_ _7"&gt;&lt;/span&gt;se l&lt;span class="_ _7"&gt;&lt;/span&gt;in&lt;span class="_ _7"&gt;&lt;/span&gt;e for w&lt;span class="_ _7"&gt;&lt;/span&gt;hi&lt;span class="_ _7"&gt;&lt;/span&gt;ch th&lt;span class="_ _7"&gt;&lt;/span&gt;e lea&lt;span class="_ _7"&gt;&lt;/span&gt;s&lt;span class="_ _7"&gt;&lt;/span&gt;ed a&lt;span class="_ _7"&gt;&lt;/span&gt;s&lt;span class="_ _7"&gt;&lt;/span&gt;se&lt;span class="_ _7"&gt;&lt;/span&gt;t is u&lt;span class="_ _7"&gt;&lt;/span&gt;se&lt;span class="_ _7"&gt;&lt;/span&gt;d.&lt;/span&gt;&lt;span style="display:inherit;clear:left;"&gt;V&lt;span class="_ _2"&gt;&lt;/span&gt;olvo Car G&lt;span class="_ _7"&gt;&lt;/span&gt;roup a&lt;span class="_ _7"&gt;&lt;/span&gt;s a les&lt;span class="_ _7"&gt;&lt;/span&gt;so&lt;span class="_ _7"&gt;&lt;/span&gt;r&lt;/span&gt;&lt;span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a les&lt;span class="_ _7"&gt;&lt;/span&gt;s&lt;span class="_ _7"&gt;&lt;/span&gt;o&lt;span class="_ _7"&gt;&lt;/span&gt;r con&lt;span class="_ _7"&gt;&lt;/span&gt;tr&lt;span class="_ _7"&gt;&lt;/span&gt;ac&lt;span class="_ _7"&gt;&lt;/span&gt;t as e&lt;span class="_ _7"&gt;&lt;/span&gt;ith&lt;span class="_ _7"&gt;&lt;/span&gt;er a f&lt;span class="_ _7"&gt;&lt;/span&gt;in&lt;span class="_ _7"&gt;&lt;/span&gt;anc&lt;span class="_ _7"&gt;&lt;/span&gt;e le&lt;span class="_ _7"&gt;&lt;/span&gt;as&lt;span class="_ _7"&gt;&lt;/span&gt;e &lt;/span&gt;&lt;span style="display:inherit;clear:left;"&gt;or an o&lt;span class="_ _7"&gt;&lt;/span&gt;pe&lt;span class="_ _7"&gt;&lt;/span&gt;ra&lt;span class="_ _7"&gt;&lt;/span&gt;tin&lt;span class="_ _7"&gt;&lt;/span&gt;g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rew&lt;span class="_ _7"&gt;&lt;/span&gt;ard&lt;span class="_ _7"&gt;&lt;/span&gt;s in&lt;span class="_ _7"&gt;&lt;/span&gt;ci-&lt;/span&gt;&lt;span style="display:inherit;clear:left;"&gt;den&lt;span class="_ _7"&gt;&lt;/span&gt;ta&lt;span class="_ _7"&gt;&lt;/span&gt;l to ow&lt;span class="_ _7"&gt;&lt;/span&gt;ne&lt;span class="_ _7"&gt;&lt;/span&gt;rs&lt;span class="_ _7"&gt;&lt;/span&gt;hi&lt;span class="_ _7"&gt;&lt;/span&gt;p of th&lt;span class="_ _7"&gt;&lt;/span&gt;e le&lt;span class="_ _7"&gt;&lt;/span&gt;as&lt;span class="_ _7"&gt;&lt;/span&gt;ed a&lt;span class="_ _7"&gt;&lt;/span&gt;s&lt;span class="_ _7"&gt;&lt;/span&gt;se&lt;span class="_ _7"&gt;&lt;/span&gt;t ar&lt;span class="_ _7"&gt;&lt;/span&gt;e tra&lt;span class="_ _7"&gt;&lt;/span&gt;ns&lt;span class="_ _7"&gt;&lt;/span&gt;f&lt;span class="_ _7"&gt;&lt;/span&gt;er&lt;span class="_ _7"&gt;&lt;/span&gt;re&lt;span class="_ _7"&gt;&lt;/span&gt;d to the l&lt;span class="_ _7"&gt;&lt;/span&gt;es-&lt;/span&gt;&lt;span style="display:inherit;clear:left;"&gt;se&lt;span class="_ _7"&gt;&lt;/span&gt;e, i&lt;span class="_ _7"&gt;&lt;/span&gt;t is c&lt;span class="_ _7"&gt;&lt;/span&gt;la&lt;span class="_ _7"&gt;&lt;/span&gt;s&lt;span class="_ _7"&gt;&lt;/span&gt;si&lt;span class="_ _7"&gt;&lt;/span&gt;fi&lt;span class="_ _7"&gt;&lt;/span&gt;ed a&lt;span class="_ _7"&gt;&lt;/span&gt;s a f&lt;span class="_ _7"&gt;&lt;/span&gt;ina&lt;span class="_ _7"&gt;&lt;/span&gt;nc&lt;span class="_ _7"&gt;&lt;/span&gt;e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&lt;/span&gt;&lt;span style="display:inherit;clear:left;"&gt;rew&lt;span class="_ _7"&gt;&lt;/span&gt;ard&lt;span class="_ _7"&gt;&lt;/span&gt;s re&lt;span class="_ _7"&gt;&lt;/span&gt;ma&lt;span class="_ _7"&gt;&lt;/span&gt;in wi&lt;span class="_ _7"&gt;&lt;/span&gt;th Volvo C&lt;span class="_ _7"&gt;&lt;/span&gt;ar G&lt;span class="_ _7"&gt;&lt;/span&gt;rou&lt;span class="_ _7"&gt;&lt;/span&gt;p, i&lt;span class="_ _7"&gt;&lt;/span&gt;t is cl&lt;span class="_ _7"&gt;&lt;/span&gt;a&lt;span class="_ _7"&gt;&lt;/span&gt;s&lt;span class="_ _7"&gt;&lt;/span&gt;si&lt;span class="_ _7"&gt;&lt;/span&gt;fi&lt;span class="_ _7"&gt;&lt;/span&gt;ed a&lt;span class="_ _7"&gt;&lt;/span&gt;s an o&lt;span class="_ _7"&gt;&lt;/span&gt;pe&lt;span class="_ _7"&gt;&lt;/span&gt;rat&lt;span class="_ _7"&gt;&lt;/span&gt;ing &lt;/span&gt;&lt;span style="display:inherit;clear:left;"&gt;leas&lt;span class="_ _7"&gt;&lt;/span&gt;e.&lt;/span&gt;&lt;span style="display:inherit;clear:left;"&gt;Op&lt;span class="_ _7"&gt;&lt;/span&gt;erati&lt;span class="_ _7"&gt;&lt;/span&gt;ng leas&lt;span class="_ _7"&gt;&lt;/span&gt;es&lt;/span&gt;&lt;span style="display:inherit;clear:left;"&gt;Volvo Ca&lt;span class="_ _7"&gt;&lt;/span&gt;r Gro&lt;span class="_ _7"&gt;&lt;/span&gt;up’s op&lt;span class="_ _7"&gt;&lt;/span&gt;er&lt;span class="_ _7"&gt;&lt;/span&gt;ati&lt;span class="_ _7"&gt;&lt;/span&gt;ng le&lt;span class="_ _7"&gt;&lt;/span&gt;as&lt;span class="_ _7"&gt;&lt;/span&gt;e&lt;span class="_ _7"&gt;&lt;/span&gt;s con&lt;span class="_ _7"&gt;&lt;/span&gt;s&lt;span class="_ _7"&gt;&lt;/span&gt;is&lt;span class="_ _7"&gt;&lt;/span&gt;t pr&lt;span class="_ _7"&gt;&lt;/span&gt;im&lt;span class="_ _7"&gt;&lt;/span&gt;ari&lt;span class="_ _7"&gt;&lt;/span&gt;ly of c&lt;span class="_ _7"&gt;&lt;/span&gt;ar&lt;span class="_ _7"&gt;&lt;/span&gt;s u&lt;span class="_ _7"&gt;&lt;/span&gt;nd&lt;span class="_ _7"&gt;&lt;/span&gt;er a &lt;/span&gt;&lt;span style="display:inherit;clear:left;"&gt;sub&lt;span class="_ _7"&gt;&lt;/span&gt;s&lt;span class="_ _7"&gt;&lt;/span&gt;cr&lt;span class="_ _7"&gt;&lt;/span&gt;ipt&lt;span class="_ _7"&gt;&lt;/span&gt;ion c&lt;span class="_ _7"&gt;&lt;/span&gt;on&lt;span class="_ _7"&gt;&lt;/span&gt;tr&lt;span class="_ _7"&gt;&lt;/span&gt;act w&lt;span class="_ _7"&gt;&lt;/span&gt;it&lt;span class="_ _7"&gt;&lt;/span&gt;h a cus&lt;span class="_ _7"&gt;&lt;/span&gt;to&lt;span class="_ _7"&gt;&lt;/span&gt;me&lt;span class="_ _7"&gt;&lt;/span&gt;r (Car&lt;span class="_ _7"&gt;&lt;/span&gt;e by Volvo) and c&lt;span class="_ _7"&gt;&lt;/span&gt;ar&lt;span class="_ _7"&gt;&lt;/span&gt;s s&lt;span class="_ _7"&gt;&lt;/span&gt;old &lt;/span&gt;&lt;span style="display:inherit;clear:left;"&gt;wit&lt;span class="_ _7"&gt;&lt;/span&gt;h a re&lt;span class="_ _7"&gt;&lt;/span&gt;pur&lt;span class="_ _7"&gt;&lt;/span&gt;ch&lt;span class="_ _7"&gt;&lt;/span&gt;as&lt;span class="_ _7"&gt;&lt;/span&gt;e co&lt;span class="_ _7"&gt;&lt;/span&gt;mmi&lt;span class="_ _7"&gt;&lt;/span&gt;tm&lt;span class="_ _7"&gt;&lt;/span&gt;ent (f&lt;span class="_ _7"&gt;&lt;/span&gt;or ex&lt;span class="_ _7"&gt;&lt;/span&gt;amp&lt;span class="_ _7"&gt;&lt;/span&gt;le to f&lt;span class="_ _7"&gt;&lt;/span&gt;in&lt;span class="_ _7"&gt;&lt;/span&gt;an&lt;span class="_ _7"&gt;&lt;/span&gt;cia&lt;span class="_ _7"&gt;&lt;/span&gt;l in&lt;span class="_ _7"&gt;&lt;/span&gt;st&lt;span class="_ _7"&gt;&lt;/span&gt;itu&lt;span class="_ _7"&gt;&lt;/span&gt;tio&lt;span class="_ _7"&gt;&lt;/span&gt;ns &lt;/span&gt;&lt;span style="display:inherit;clear:left;"&gt;and r&lt;span class="_ _7"&gt;&lt;/span&gt;en&lt;span class="_ _7"&gt;&lt;/span&gt;ta&lt;span class="_ _7"&gt;&lt;/span&gt;l fle&lt;span class="_ _7"&gt;&lt;/span&gt;et c&lt;span class="_ _7"&gt;&lt;/span&gt;om&lt;span class="_ _7"&gt;&lt;/span&gt;pa&lt;span class="_ _7"&gt;&lt;/span&gt;nie&lt;span class="_ _7"&gt;&lt;/span&gt;s). The&lt;span class="_ _7"&gt;&lt;/span&gt;s&lt;span class="_ _7"&gt;&lt;/span&gt;e ca&lt;span class="_ _7"&gt;&lt;/span&gt;rs a&lt;span class="_ _7"&gt;&lt;/span&gt;re r&lt;span class="_ _7"&gt;&lt;/span&gt;ec&lt;span class="_ _7"&gt;&lt;/span&gt;ogn&lt;span class="_ _7"&gt;&lt;/span&gt;is&lt;span class="_ _7"&gt;&lt;/span&gt;e&lt;span class="_ _7"&gt;&lt;/span&gt;d on th&lt;span class="_ _7"&gt;&lt;/span&gt;e ba&lt;span class="_ _7"&gt;&lt;/span&gt;l-&lt;/span&gt;&lt;span style="display:inherit;clear:left;"&gt;anc&lt;span class="_ _7"&gt;&lt;/span&gt;e sh&lt;span class="_ _7"&gt;&lt;/span&gt;ee&lt;span class="_ _7"&gt;&lt;/span&gt;t at c&lt;span class="_ _7"&gt;&lt;/span&gt;os&lt;span class="_ _7"&gt;&lt;/span&gt;t le&lt;span class="_ _7"&gt;&lt;/span&gt;s&lt;span class="_ _7"&gt;&lt;/span&gt;s ac&lt;span class="_ _7"&gt;&lt;/span&gt;cum&lt;span class="_ _7"&gt;&lt;/span&gt;ul&lt;span class="_ _7"&gt;&lt;/span&gt;ate&lt;span class="_ _7"&gt;&lt;/span&gt;d de&lt;span class="_ _7"&gt;&lt;/span&gt;pre&lt;span class="_ _7"&gt;&lt;/span&gt;ci&lt;span class="_ _7"&gt;&lt;/span&gt;ati&lt;span class="_ _7"&gt;&lt;/span&gt;on a&lt;span class="_ _7"&gt;&lt;/span&gt;nd im&lt;span class="_ _7"&gt;&lt;/span&gt;pa&lt;span class="_ _7"&gt;&lt;/span&gt;ir&lt;span class="_ _7"&gt;&lt;/span&gt;me&lt;span class="_ _7"&gt;&lt;/span&gt;nt &lt;/span&gt;&lt;span style="display:inherit;clear:left;"&gt;and c&lt;span class="_ _7"&gt;&lt;/span&gt;la&lt;span class="_ _7"&gt;&lt;/span&gt;s&lt;span class="_ _7"&gt;&lt;/span&gt;si&lt;span class="_ _7"&gt;&lt;/span&gt;f&lt;span class="_ _7"&gt;&lt;/span&gt;ie&lt;span class="_ _7"&gt;&lt;/span&gt;d as A&lt;span class="_ _7"&gt;&lt;/span&gt;s&lt;span class="_ _7"&gt;&lt;/span&gt;se&lt;span class="_ _7"&gt;&lt;/span&gt;ts u&lt;span class="_ _7"&gt;&lt;/span&gt;nd&lt;span class="_ _7"&gt;&lt;/span&gt;er o&lt;span class="_ _7"&gt;&lt;/span&gt;pe&lt;span class="_ _7"&gt;&lt;/span&gt;ra&lt;span class="_ _7"&gt;&lt;/span&gt;ting l&lt;span class="_ _7"&gt;&lt;/span&gt;ea&lt;span class="_ _7"&gt;&lt;/span&gt;se (s&lt;span class="_ _7"&gt;&lt;/span&gt;ee N&lt;span class="_ _7"&gt;&lt;/span&gt;ote 16 – T&lt;span class="_ _2"&gt;&lt;/span&gt;ang&lt;span class="_ _7"&gt;&lt;/span&gt;i-&lt;/span&gt;&lt;span style="display:inherit;clear:left;"&gt;ble a&lt;span class="_ _7"&gt;&lt;/span&gt;s&lt;span class="_ _7"&gt;&lt;/span&gt;s&lt;span class="_ _7"&gt;&lt;/span&gt;et&lt;span class="_ _7"&gt;&lt;/span&gt;s). &lt;span&gt;&lt;span style="display:inherit;clear:left;"&gt;For sub&lt;span class="_ _7"&gt;&lt;/span&gt;s&lt;span class="_ _7"&gt;&lt;/span&gt;cri&lt;span class="_ _7"&gt;&lt;/span&gt;pti&lt;span class="_ _7"&gt;&lt;/span&gt;on c&lt;span class="_ _7"&gt;&lt;/span&gt;ont&lt;span class="_ _7"&gt;&lt;/span&gt;ra&lt;span class="_ _7"&gt;&lt;/span&gt;ct&lt;span class="_ _7"&gt;&lt;/span&gt;s&lt;span class="_ _7"&gt;&lt;/span&gt;, lea&lt;span class="_ _7"&gt;&lt;/span&gt;s&lt;span class="_ _7"&gt;&lt;/span&gt;e inc&lt;span class="_ _7"&gt;&lt;/span&gt;om&lt;span class="_ _7"&gt;&lt;/span&gt;e is r&lt;span class="_ _7"&gt;&lt;/span&gt;ec&lt;span class="_ _7"&gt;&lt;/span&gt;og&lt;span class="_ _7"&gt;&lt;/span&gt;ni&lt;span class="_ _7"&gt;&lt;/span&gt;se&lt;span class="_ _7"&gt;&lt;/span&gt;d &lt;/span&gt;&lt;/span&gt;&lt;/span&gt;&lt;span style="display:inherit;clear:left;"&gt;as re&lt;span class="_ _7"&gt;&lt;/span&gt;ven&lt;span class="_ _7"&gt;&lt;/span&gt;ue o&lt;span class="_ _7"&gt;&lt;/span&gt;n a st&lt;span class="_ _7"&gt;&lt;/span&gt;ra&lt;span class="_ _7"&gt;&lt;/span&gt;igh&lt;span class="_ _7"&gt;&lt;/span&gt;t&lt;span class="_ _2"&gt;&lt;/span&gt;-lin&lt;span class="_ _7"&gt;&lt;/span&gt;e ba&lt;span class="_ _7"&gt;&lt;/span&gt;si&lt;span class="_ _7"&gt;&lt;/span&gt;s ove&lt;span class="_ _7"&gt;&lt;/span&gt;r the l&lt;span class="_ _7"&gt;&lt;/span&gt;ea&lt;span class="_ _7"&gt;&lt;/span&gt;se t&lt;span class="_ _7"&gt;&lt;/span&gt;er&lt;span class="_ _7"&gt;&lt;/span&gt;m. Fo&lt;span class="_ _7"&gt;&lt;/span&gt;r re&lt;span class="_ _7"&gt;&lt;/span&gt;pur-&lt;/span&gt;&lt;span style="display:inherit;clear:left;"&gt;chase commitment&lt;span class="_ _2"&gt;&lt;/span&gt; contracts&lt;span class="_ _7"&gt;&lt;/span&gt;, deferred re&lt;span class="_ _2"&gt;&lt;/span&gt;venue is recognised as&lt;span class="_ _2"&gt;&lt;/span&gt; &lt;/span&gt;&lt;span style="display:inherit;clear:left;"&gt;Co&lt;span class="_ _7"&gt;&lt;/span&gt;ntr&lt;span class="_ _7"&gt;&lt;/span&gt;ac&lt;span class="_ _7"&gt;&lt;/span&gt;t li&lt;span class="_ _7"&gt;&lt;/span&gt;abi&lt;span class="_ _7"&gt;&lt;/span&gt;lit&lt;span class="_ _7"&gt;&lt;/span&gt;ie&lt;span class="_ _7"&gt;&lt;/span&gt;s to cu&lt;span class="_ _7"&gt;&lt;/span&gt;st&lt;span class="_ _7"&gt;&lt;/span&gt;ome&lt;span class="_ _7"&gt;&lt;/span&gt;r&lt;span class="_ _7"&gt;&lt;/span&gt;s&lt;span class="_ _7"&gt;&lt;/span&gt;, se&lt;span class="_ _7"&gt;&lt;/span&gt;e Not&lt;span class="_ _7"&gt;&lt;/span&gt;e 2 - Reve&lt;span class="_ _7"&gt;&lt;/span&gt;nue&lt;span class="_ _7"&gt;&lt;/span&gt;, at th&lt;span class="_ _7"&gt;&lt;/span&gt;e ti&lt;span class="_ _7"&gt;&lt;/span&gt;me &lt;/span&gt;&lt;span style="display:inherit;clear:left;"&gt;the v&lt;span class="_ _7"&gt;&lt;/span&gt;ehi&lt;span class="_ _7"&gt;&lt;/span&gt;cle i&lt;span class="_ _7"&gt;&lt;/span&gt;s s&lt;span class="_ _7"&gt;&lt;/span&gt;old (eq&lt;span class="_ _7"&gt;&lt;/span&gt;ua&lt;span class="_ _7"&gt;&lt;/span&gt;l to the s&lt;span class="_ _7"&gt;&lt;/span&gt;a&lt;span class="_ _7"&gt;&lt;/span&gt;le&lt;span class="_ _7"&gt;&lt;/span&gt;s pr&lt;span class="_ _7"&gt;&lt;/span&gt;ice r&lt;span class="_ _7"&gt;&lt;/span&gt;ec&lt;span class="_ _7"&gt;&lt;/span&gt;ei&lt;span class="_ _7"&gt;&lt;/span&gt;ve&lt;span class="_ _7"&gt;&lt;/span&gt;d fr&lt;span class="_ _7"&gt;&lt;/span&gt;om th&lt;span class="_ _7"&gt;&lt;/span&gt;e cu&lt;span class="_ _7"&gt;&lt;/span&gt;s-&lt;/span&gt;&lt;span style="display:inherit;clear:left;"&gt;tom&lt;span class="_ _7"&gt;&lt;/span&gt;er le&lt;span class="_ _7"&gt;&lt;/span&gt;s&lt;span class="_ _7"&gt;&lt;/span&gt;s th&lt;span class="_ _7"&gt;&lt;/span&gt;e ag&lt;span class="_ _7"&gt;&lt;/span&gt;re&lt;span class="_ _7"&gt;&lt;/span&gt;ed re&lt;span class="_ _7"&gt;&lt;/span&gt;pu&lt;span class="_ _7"&gt;&lt;/span&gt;rch&lt;span class="_ _7"&gt;&lt;/span&gt;as&lt;span class="_ _7"&gt;&lt;/span&gt;e v&lt;span class="_ _7"&gt;&lt;/span&gt;alue t&lt;span class="_ _7"&gt;&lt;/span&gt;ha&lt;span class="_ _7"&gt;&lt;/span&gt;t Volvo Ca&lt;span class="_ _7"&gt;&lt;/span&gt;r Gro&lt;span class="_ _7"&gt;&lt;/span&gt;up i&lt;span class="_ _7"&gt;&lt;/span&gt;s &lt;/span&gt;&lt;span style="display:inherit;clear:left;"&gt;con&lt;span class="_ _7"&gt;&lt;/span&gt;tr&lt;span class="_ _7"&gt;&lt;/span&gt;ac&lt;span class="_ _7"&gt;&lt;/span&gt;tua&lt;span class="_ _7"&gt;&lt;/span&gt;lly o&lt;span class="_ _7"&gt;&lt;/span&gt;bli&lt;span class="_ _7"&gt;&lt;/span&gt;ga&lt;span class="_ _7"&gt;&lt;/span&gt;ted to p&lt;span class="_ _7"&gt;&lt;/span&gt;ay i&lt;span class="_ _7"&gt;&lt;/span&gt;n the f&lt;span class="_ _7"&gt;&lt;/span&gt;ut&lt;span class="_ _7"&gt;&lt;/span&gt;ure) an&lt;span class="_ _7"&gt;&lt;/span&gt;d re&lt;span class="_ _7"&gt;&lt;/span&gt;cog&lt;span class="_ _7"&gt;&lt;/span&gt;ni&lt;span class="_ _7"&gt;&lt;/span&gt;s&lt;span class="_ _7"&gt;&lt;/span&gt;ed a&lt;span class="_ _7"&gt;&lt;/span&gt;s rev&lt;span class="_ _7"&gt;&lt;/span&gt;e-&lt;/span&gt;&lt;span style="display:inherit;clear:left;"&gt;nue o&lt;span class="_ _7"&gt;&lt;/span&gt;n a s&lt;span class="_ _7"&gt;&lt;/span&gt;tra&lt;span class="_ _7"&gt;&lt;/span&gt;ig&lt;span class="_ _7"&gt;&lt;/span&gt;ht&lt;span class="_ _2"&gt;&lt;/span&gt;-li&lt;span class="_ _7"&gt;&lt;/span&gt;ne b&lt;span class="_ _7"&gt;&lt;/span&gt;as&lt;span class="_ _7"&gt;&lt;/span&gt;is u&lt;span class="_ _7"&gt;&lt;/span&gt;nti&lt;span class="_ _7"&gt;&lt;/span&gt;l rep&lt;span class="_ _7"&gt;&lt;/span&gt;ur&lt;span class="_ _7"&gt;&lt;/span&gt;cha&lt;span class="_ _7"&gt;&lt;/span&gt;s&lt;span class="_ _7"&gt;&lt;/span&gt;e dat&lt;span class="_ _7"&gt;&lt;/span&gt;e. In a&lt;span class="_ _7"&gt;&lt;/span&gt;dd&lt;span class="_ _7"&gt;&lt;/span&gt;iti&lt;span class="_ _7"&gt;&lt;/span&gt;on to t&lt;span class="_ _7"&gt;&lt;/span&gt;his&lt;span class="_ _7"&gt;&lt;/span&gt;, &lt;/span&gt;&lt;span style="display:inherit;clear:left;"&gt;a lia&lt;span class="_ _7"&gt;&lt;/span&gt;bi&lt;span class="_ _7"&gt;&lt;/span&gt;lit&lt;span class="_ _7"&gt;&lt;/span&gt;y i&lt;span class="_ _7"&gt;&lt;/span&gt;s re&lt;span class="_ _7"&gt;&lt;/span&gt;cog&lt;span class="_ _7"&gt;&lt;/span&gt;ni&lt;span class="_ _7"&gt;&lt;/span&gt;s&lt;span class="_ _7"&gt;&lt;/span&gt;ed f&lt;span class="_ _7"&gt;&lt;/span&gt;or th&lt;span class="_ _7"&gt;&lt;/span&gt;e ag&lt;span class="_ _7"&gt;&lt;/span&gt;ree&lt;span class="_ _7"&gt;&lt;/span&gt;d re&lt;span class="_ _7"&gt;&lt;/span&gt;pu&lt;span class="_ _7"&gt;&lt;/span&gt;rch&lt;span class="_ _7"&gt;&lt;/span&gt;as&lt;span class="_ _7"&gt;&lt;/span&gt;e v&lt;span class="_ _7"&gt;&lt;/span&gt;alue t&lt;span class="_ _7"&gt;&lt;/span&gt;o be p&lt;span class="_ _7"&gt;&lt;/span&gt;ai&lt;span class="_ _7"&gt;&lt;/span&gt;d at &lt;/span&gt;&lt;span style="display:inherit;clear:left;"&gt;rep&lt;span class="_ _7"&gt;&lt;/span&gt;ur&lt;span class="_ _7"&gt;&lt;/span&gt;ch&lt;span class="_ _7"&gt;&lt;/span&gt;as&lt;span class="_ _7"&gt;&lt;/span&gt;e dat&lt;span class="_ _7"&gt;&lt;/span&gt;e. s&lt;span class="_ _7"&gt;&lt;/span&gt;ee N&lt;span class="_ _7"&gt;&lt;/span&gt;ote 24 – O&lt;span class="_ _7"&gt;&lt;/span&gt;the&lt;span class="_ _7"&gt;&lt;/span&gt;r Cur&lt;span class="_ _7"&gt;&lt;/span&gt;re&lt;span class="_ _7"&gt;&lt;/span&gt;nt an&lt;span class="_ _7"&gt;&lt;/span&gt;d No&lt;span class="_ _7"&gt;&lt;/span&gt;n-Cu&lt;span class="_ _7"&gt;&lt;/span&gt;rr&lt;span class="_ _7"&gt;&lt;/span&gt;ent  &lt;/span&gt;&lt;span style="display:inherit;clear:left;"&gt;&lt;span&gt;&lt;span style="display:inherit;clear:left;"&gt;Liabili&lt;span class="_ _7"&gt;&lt;/span&gt;ties&lt;span class="_ _7"&gt;&lt;/span&gt;.&lt;/span&gt;&lt;/span&gt; &lt;/span&gt;&lt;span style="display:inherit;clear:left;"&gt;Sale and l&lt;span class="_ _2"&gt;&lt;/span&gt;easeback transactions&lt;/span&gt;&lt;span style="display:inherit;clear:left;"&gt;From t&lt;span class="_ _7"&gt;&lt;/span&gt;ime t&lt;span class="_ _7"&gt;&lt;/span&gt;o tim&lt;span class="_ _7"&gt;&lt;/span&gt;e, Volvo C&lt;span class="_ _7"&gt;&lt;/span&gt;ar Gr&lt;span class="_ _7"&gt;&lt;/span&gt;ou&lt;span class="_ _7"&gt;&lt;/span&gt;p se&lt;span class="_ _7"&gt;&lt;/span&gt;ll&lt;span class="_ _7"&gt;&lt;/span&gt;s a t&lt;span class="_ _7"&gt;&lt;/span&gt;ang&lt;span class="_ _7"&gt;&lt;/span&gt;ib&lt;span class="_ _7"&gt;&lt;/span&gt;le as&lt;span class="_ _7"&gt;&lt;/span&gt;s&lt;span class="_ _7"&gt;&lt;/span&gt;et (&lt;span class="_ _7"&gt;&lt;/span&gt;pr&lt;span class="_ _7"&gt;&lt;/span&gt;im&lt;span class="_ _7"&gt;&lt;/span&gt;ari&lt;span class="_ _7"&gt;&lt;/span&gt;ly &lt;/span&gt;&lt;span style="display:inherit;clear:left;"&gt;own&lt;span class="_ _7"&gt;&lt;/span&gt;ed c&lt;span class="_ _7"&gt;&lt;/span&gt;ar&lt;span class="_ _7"&gt;&lt;/span&gt;s a&lt;span class="_ _7"&gt;&lt;/span&gt;nd b&lt;span class="_ _7"&gt;&lt;/span&gt;uil&lt;span class="_ _7"&gt;&lt;/span&gt;din&lt;span class="_ _7"&gt;&lt;/span&gt;gs) an&lt;span class="_ _7"&gt;&lt;/span&gt;d im&lt;span class="_ _7"&gt;&lt;/span&gt;me&lt;span class="_ _7"&gt;&lt;/span&gt;dia&lt;span class="_ _7"&gt;&lt;/span&gt;tel&lt;span class="_ _7"&gt;&lt;/span&gt;y rea&lt;span class="_ _7"&gt;&lt;/span&gt;cq&lt;span class="_ _7"&gt;&lt;/span&gt;uir&lt;span class="_ _7"&gt;&lt;/span&gt;e&lt;span class="_ _7"&gt;&lt;/span&gt;s the r&lt;span class="_ _7"&gt;&lt;/span&gt;igh&lt;span class="_ _7"&gt;&lt;/span&gt;t to &lt;/span&gt;&lt;span style="display:inherit;clear:left;"&gt;us&lt;span class="_ _7"&gt;&lt;/span&gt;e th&lt;span class="_ _7"&gt;&lt;/span&gt;e as&lt;span class="_ _7"&gt;&lt;/span&gt;s&lt;span class="_ _7"&gt;&lt;/span&gt;et by e&lt;span class="_ _7"&gt;&lt;/span&gt;nte&lt;span class="_ _7"&gt;&lt;/span&gt;rin&lt;span class="_ _7"&gt;&lt;/span&gt;g into a l&lt;span class="_ _7"&gt;&lt;/span&gt;ea&lt;span class="_ _7"&gt;&lt;/span&gt;se w&lt;span class="_ _7"&gt;&lt;/span&gt;ith t&lt;span class="_ _7"&gt;&lt;/span&gt;he b&lt;span class="_ _7"&gt;&lt;/span&gt;uye&lt;span class="_ _7"&gt;&lt;/span&gt;r. The lea&lt;span class="_ _7"&gt;&lt;/span&gt;s&lt;span class="_ _7"&gt;&lt;/span&gt;eb&lt;span class="_ _7"&gt;&lt;/span&gt;ack &lt;/span&gt;&lt;span style="display:inherit;clear:left;"&gt;pe&lt;span class="_ _7"&gt;&lt;/span&gt;ri&lt;span class="_ _7"&gt;&lt;/span&gt;od c&lt;span class="_ _7"&gt;&lt;/span&gt;an r&lt;span class="_ _7"&gt;&lt;/span&gt;ang&lt;span class="_ _7"&gt;&lt;/span&gt;e fr&lt;span class="_ _7"&gt;&lt;/span&gt;om th&lt;span class="_ _7"&gt;&lt;/span&gt;re&lt;span class="_ _7"&gt;&lt;/span&gt;e mo&lt;span class="_ _7"&gt;&lt;/span&gt;nth&lt;span class="_ _7"&gt;&lt;/span&gt;s to th&lt;span class="_ _7"&gt;&lt;/span&gt;re&lt;span class="_ _7"&gt;&lt;/span&gt;e yea&lt;span class="_ _7"&gt;&lt;/span&gt;rs&lt;span class="_ _7"&gt;&lt;/span&gt;.&lt;/span&gt;&lt;span style="display:inherit;clear:left;"&gt;CRITICAL A&lt;span class="_ _2"&gt;&lt;/span&gt;CC&lt;span class="_ _7"&gt;&lt;/span&gt;OUNTING ESTIMA&lt;span class="_ _6"&gt;&lt;/span&gt;TES AND JUDGEMENTS&lt;/span&gt;&lt;span style="display:inherit;clear:left;"&gt;At leas&lt;span class="_ _7"&gt;&lt;/span&gt;e c&lt;span class="_ _7"&gt;&lt;/span&gt;ont&lt;span class="_ _7"&gt;&lt;/span&gt;ra&lt;span class="_ _7"&gt;&lt;/span&gt;ct c&lt;span class="_ _7"&gt;&lt;/span&gt;omm&lt;span class="_ _7"&gt;&lt;/span&gt;en&lt;span class="_ _7"&gt;&lt;/span&gt;ce&lt;span class="_ _7"&gt;&lt;/span&gt;me&lt;span class="_ _7"&gt;&lt;/span&gt;nt da&lt;span class="_ _7"&gt;&lt;/span&gt;te, Volvo C&lt;span class="_ _7"&gt;&lt;/span&gt;ar G&lt;span class="_ _7"&gt;&lt;/span&gt;rou&lt;span class="_ _7"&gt;&lt;/span&gt;p is r&lt;span class="_ _7"&gt;&lt;/span&gt;eq&lt;span class="_ _7"&gt;&lt;/span&gt;uir&lt;span class="_ _7"&gt;&lt;/span&gt;ed &lt;/span&gt;&lt;span style="display:inherit;clear:left;"&gt;to ma&lt;span class="_ _7"&gt;&lt;/span&gt;ke jud&lt;span class="_ _7"&gt;&lt;/span&gt;gem&lt;span class="_ _7"&gt;&lt;/span&gt;en&lt;span class="_ _7"&gt;&lt;/span&gt;ts a&lt;span class="_ _7"&gt;&lt;/span&gt;s a le&lt;span class="_ _7"&gt;&lt;/span&gt;s&lt;span class="_ _7"&gt;&lt;/span&gt;se&lt;span class="_ _7"&gt;&lt;/span&gt;e wh&lt;span class="_ _7"&gt;&lt;/span&gt;ich a&lt;span class="_ _7"&gt;&lt;/span&gt;f&lt;span class="_ _7"&gt;&lt;/span&gt;f&lt;span class="_ _7"&gt;&lt;/span&gt;ec&lt;span class="_ _7"&gt;&lt;/span&gt;t the m&lt;span class="_ _7"&gt;&lt;/span&gt;ea&lt;span class="_ _7"&gt;&lt;/span&gt;su&lt;span class="_ _7"&gt;&lt;/span&gt;re&lt;span class="_ _7"&gt;&lt;/span&gt;men&lt;span class="_ _7"&gt;&lt;/span&gt;t of i&lt;span class="_ _7"&gt;&lt;/span&gt;ts &lt;/span&gt;&lt;span style="display:inherit;clear:left;"&gt;RoU a&lt;span class="_ _7"&gt;&lt;/span&gt;s&lt;span class="_ _7"&gt;&lt;/span&gt;se&lt;span class="_ _7"&gt;&lt;/span&gt;t an&lt;span class="_ _7"&gt;&lt;/span&gt;d lea&lt;span class="_ _7"&gt;&lt;/span&gt;s&lt;span class="_ _7"&gt;&lt;/span&gt;e lia&lt;span class="_ _7"&gt;&lt;/span&gt;bil&lt;span class="_ _7"&gt;&lt;/span&gt;it&lt;span class="_ _7"&gt;&lt;/span&gt;y.&lt;/span&gt;&lt;span style="display:inherit;clear:left;"&gt;Whe&lt;span class="_ _7"&gt;&lt;/span&gt;n de&lt;span class="_ _7"&gt;&lt;/span&gt;ter&lt;span class="_ _7"&gt;&lt;/span&gt;mi&lt;span class="_ _7"&gt;&lt;/span&gt;nin&lt;span class="_ _7"&gt;&lt;/span&gt;g the l&lt;span class="_ _7"&gt;&lt;/span&gt;ea&lt;span class="_ _7"&gt;&lt;/span&gt;se te&lt;span class="_ _7"&gt;&lt;/span&gt;rm&lt;span class="_ _7"&gt;&lt;/span&gt;, Volvo C&lt;span class="_ _7"&gt;&lt;/span&gt;ar Gr&lt;span class="_ _7"&gt;&lt;/span&gt;ou&lt;span class="_ _7"&gt;&lt;/span&gt;p con&lt;span class="_ _7"&gt;&lt;/span&gt;s&lt;span class="_ _7"&gt;&lt;/span&gt;ide&lt;span class="_ _7"&gt;&lt;/span&gt;r&lt;span class="_ _7"&gt;&lt;/span&gt;s all &lt;/span&gt;&lt;span style="display:inherit;clear:left;"&gt;fa&lt;span class="_ _7"&gt;&lt;/span&gt;ct&lt;span class="_ _7"&gt;&lt;/span&gt;s an&lt;span class="_ _7"&gt;&lt;/span&gt;d cir&lt;span class="_ _7"&gt;&lt;/span&gt;cum&lt;span class="_ _7"&gt;&lt;/span&gt;s&lt;span class="_ _7"&gt;&lt;/span&gt;tan&lt;span class="_ _7"&gt;&lt;/span&gt;ce&lt;span class="_ _7"&gt;&lt;/span&gt;s th&lt;span class="_ _7"&gt;&lt;/span&gt;at cr&lt;span class="_ _7"&gt;&lt;/span&gt;ea&lt;span class="_ _7"&gt;&lt;/span&gt;te an e&lt;span class="_ _7"&gt;&lt;/span&gt;co&lt;span class="_ _7"&gt;&lt;/span&gt;no&lt;span class="_ _7"&gt;&lt;/span&gt;mic i&lt;span class="_ _7"&gt;&lt;/span&gt;nc&lt;span class="_ _7"&gt;&lt;/span&gt;ent&lt;span class="_ _7"&gt;&lt;/span&gt;ive t&lt;span class="_ _7"&gt;&lt;/span&gt;o exer-&lt;/span&gt;&lt;span style="display:inherit;clear:left;"&gt;cise an e&lt;span class="_ _2"&gt;&lt;/span&gt;x&lt;span class="_ _7"&gt;&lt;/span&gt;tension opt&lt;span class="_ _2"&gt;&lt;/span&gt;ion, or not to&lt;span class="_ _2"&gt;&lt;/span&gt; exercise&lt;span class="_ _2"&gt;&lt;/span&gt; a termination opt&lt;span class="_ _2"&gt;&lt;/span&gt;ion in &lt;/span&gt;&lt;span style="display:inherit;clear:left;"&gt;addition t&lt;span class="_ _2"&gt;&lt;/span&gt;o the non&lt;span class="_ _2"&gt;&lt;/span&gt;-cancellable lease term. These opt&lt;span class="_ _2"&gt;&lt;/span&gt;ions are added &lt;/span&gt;&lt;span style="display:inherit;clear:left;"&gt;to the l&lt;span class="_ _7"&gt;&lt;/span&gt;ea&lt;span class="_ _7"&gt;&lt;/span&gt;se t&lt;span class="_ _7"&gt;&lt;/span&gt;er&lt;span class="_ _7"&gt;&lt;/span&gt;m if th&lt;span class="_ _7"&gt;&lt;/span&gt;ey ar&lt;span class="_ _7"&gt;&lt;/span&gt;e re&lt;span class="_ _7"&gt;&lt;/span&gt;as&lt;span class="_ _7"&gt;&lt;/span&gt;on&lt;span class="_ _7"&gt;&lt;/span&gt;ab&lt;span class="_ _7"&gt;&lt;/span&gt;ly ce&lt;span class="_ _7"&gt;&lt;/span&gt;r&lt;span class="_ _7"&gt;&lt;/span&gt;ta&lt;span class="_ _7"&gt;&lt;/span&gt;in&lt;span class="_ _7"&gt;&lt;/span&gt;. For ex&lt;span class="_ _7"&gt;&lt;/span&gt;am&lt;span class="_ _7"&gt;&lt;/span&gt;ple&lt;span class="_ _7"&gt;&lt;/span&gt;, Volvo &lt;/span&gt;&lt;span style="display:inherit;clear:left;"&gt;Ca&lt;span class="_ _7"&gt;&lt;/span&gt;r Gro&lt;span class="_ _7"&gt;&lt;/span&gt;up wo&lt;span class="_ _7"&gt;&lt;/span&gt;ul&lt;span class="_ _7"&gt;&lt;/span&gt;d con&lt;span class="_ _7"&gt;&lt;/span&gt;s&lt;span class="_ _7"&gt;&lt;/span&gt;ide&lt;span class="_ _7"&gt;&lt;/span&gt;r it r&lt;span class="_ _7"&gt;&lt;/span&gt;ea&lt;span class="_ _7"&gt;&lt;/span&gt;so&lt;span class="_ _7"&gt;&lt;/span&gt;na&lt;span class="_ _7"&gt;&lt;/span&gt;bly c&lt;span class="_ _7"&gt;&lt;/span&gt;er&lt;span class="_ _7"&gt;&lt;/span&gt;t&lt;span class="_ _7"&gt;&lt;/span&gt;ai&lt;span class="_ _7"&gt;&lt;/span&gt;n to exer&lt;span class="_ _7"&gt;&lt;/span&gt;cis&lt;span class="_ _7"&gt;&lt;/span&gt;e an &lt;/span&gt;&lt;span style="display:inherit;clear:left;"&gt;extension option&lt;span class="_ _2"&gt;&lt;/span&gt; if investments hav&lt;span class="_ _2"&gt;&lt;/span&gt;e been made to&lt;span class="_ _2"&gt;&lt;/span&gt; improve the&lt;span class="_ _2"&gt;&lt;/span&gt; &lt;/span&gt;&lt;span style="display:inherit;clear:left;"&gt;und&lt;span class="_ _7"&gt;&lt;/span&gt;er&lt;span class="_ _7"&gt;&lt;/span&gt;ly&lt;span class="_ _7"&gt;&lt;/span&gt;ing a&lt;span class="_ _7"&gt;&lt;/span&gt;s&lt;span class="_ _7"&gt;&lt;/span&gt;se&lt;span class="_ _7"&gt;&lt;/span&gt;t or t&lt;span class="_ _7"&gt;&lt;/span&gt;ail&lt;span class="_ _7"&gt;&lt;/span&gt;or i&lt;span class="_ _7"&gt;&lt;/span&gt;t for o&lt;span class="_ _7"&gt;&lt;/span&gt;ur s&lt;span class="_ _7"&gt;&lt;/span&gt;pe&lt;span class="_ _7"&gt;&lt;/span&gt;ci&lt;span class="_ _7"&gt;&lt;/span&gt;al ne&lt;span class="_ _7"&gt;&lt;/span&gt;e&lt;span class="_ _7"&gt;&lt;/span&gt;ds&lt;span class="_ _7"&gt;&lt;/span&gt;, an&lt;span class="_ _7"&gt;&lt;/span&gt;d/or i&lt;span class="_ _7"&gt;&lt;/span&gt;f the &lt;/span&gt;&lt;span style="display:inherit;clear:left;"&gt;und&lt;span class="_ _7"&gt;&lt;/span&gt;er&lt;span class="_ _7"&gt;&lt;/span&gt;ly&lt;span class="_ _7"&gt;&lt;/span&gt;ing a&lt;span class="_ _7"&gt;&lt;/span&gt;s&lt;span class="_ _7"&gt;&lt;/span&gt;se&lt;span class="_ _7"&gt;&lt;/span&gt;t is o&lt;span class="_ _7"&gt;&lt;/span&gt;f imp&lt;span class="_ _7"&gt;&lt;/span&gt;or&lt;span class="_ _9"&gt;&lt;/span&gt;tan&lt;span class="_ _7"&gt;&lt;/span&gt;ce to Volvo C&lt;span class="_ _7"&gt;&lt;/span&gt;ar G&lt;span class="_ _7"&gt;&lt;/span&gt;ro&lt;span class="_ _7"&gt;&lt;/span&gt;up’s ope&lt;span class="_ _7"&gt;&lt;/span&gt;r&lt;span class="_ _7"&gt;&lt;/span&gt;ati&lt;span class="_ _7"&gt;&lt;/span&gt;on&lt;span class="_ _7"&gt;&lt;/span&gt;s. &lt;/span&gt;&lt;span style="display:inherit;clear:left;"&gt;Th&lt;span class="_ _7"&gt;&lt;/span&gt;e as&lt;span class="_ _7"&gt;&lt;/span&gt;s&lt;span class="_ _7"&gt;&lt;/span&gt;es&lt;span class="_ _7"&gt;&lt;/span&gt;s&lt;span class="_ _7"&gt;&lt;/span&gt;me&lt;span class="_ _7"&gt;&lt;/span</t>
  </si>
  <si>
    <t>f1__s8__6__69-1</t>
  </si>
  <si>
    <t>ifrs-full:DescriptionOfAccountingPolicyForLeasesExplanatory</t>
  </si>
  <si>
    <t>&lt;span style="display:inherit;clear:left;"&gt;For s&lt;span class="_ _7"&gt;&lt;/span&gt;al&lt;span class="_ _7"&gt;&lt;/span&gt;e and l&lt;span class="_ _7"&gt;&lt;/span&gt;ea&lt;span class="_ _7"&gt;&lt;/span&gt;se&lt;span class="_ _7"&gt;&lt;/span&gt;ba&lt;span class="_ _7"&gt;&lt;/span&gt;ck tr&lt;span class="_ _7"&gt;&lt;/span&gt;an&lt;span class="_ _7"&gt;&lt;/span&gt;s&lt;span class="_ _7"&gt;&lt;/span&gt;ac&lt;span class="_ _7"&gt;&lt;/span&gt;tio&lt;span class="_ _7"&gt;&lt;/span&gt;ns&lt;span class="_ _7"&gt;&lt;/span&gt;, Volvo C&lt;span class="_ _7"&gt;&lt;/span&gt;ar G&lt;span class="_ _7"&gt;&lt;/span&gt;rou&lt;span class="_ _7"&gt;&lt;/span&gt;p is r&lt;span class="_ _7"&gt;&lt;/span&gt;eq&lt;span class="_ _7"&gt;&lt;/span&gt;uir&lt;span class="_ _7"&gt;&lt;/span&gt;ed t&lt;span class="_ _7"&gt;&lt;/span&gt;o &lt;/span&gt;&lt;span style="display:inherit;clear:left;"&gt;make j&lt;span class="_ _7"&gt;&lt;/span&gt;udg&lt;span class="_ _7"&gt;&lt;/span&gt;em&lt;span class="_ _7"&gt;&lt;/span&gt;ent&lt;span class="_ _7"&gt;&lt;/span&gt;s ab&lt;span class="_ _7"&gt;&lt;/span&gt;o&lt;span class="_ _7"&gt;&lt;/span&gt;ut wh&lt;span class="_ _7"&gt;&lt;/span&gt;eth&lt;span class="_ _7"&gt;&lt;/span&gt;er t&lt;span class="_ _7"&gt;&lt;/span&gt;he tr&lt;span class="_ _7"&gt;&lt;/span&gt;an&lt;span class="_ _7"&gt;&lt;/span&gt;s&lt;span class="_ _7"&gt;&lt;/span&gt;fe&lt;span class="_ _7"&gt;&lt;/span&gt;r of an a&lt;span class="_ _7"&gt;&lt;/span&gt;s&lt;span class="_ _7"&gt;&lt;/span&gt;s&lt;span class="_ _7"&gt;&lt;/span&gt;et to th&lt;span class="_ _7"&gt;&lt;/span&gt;e &lt;/span&gt;&lt;span style="display:inherit;clear:left;"&gt;bu&lt;span class="_ _7"&gt;&lt;/span&gt;yer q&lt;span class="_ _7"&gt;&lt;/span&gt;ua&lt;span class="_ _7"&gt;&lt;/span&gt;lif&lt;span class="_ _7"&gt;&lt;/span&gt;ie&lt;span class="_ _7"&gt;&lt;/span&gt;s a&lt;span class="_ _7"&gt;&lt;/span&gt;s a sa&lt;span class="_ _7"&gt;&lt;/span&gt;le un&lt;span class="_ _7"&gt;&lt;/span&gt;de&lt;span class="_ _7"&gt;&lt;/span&gt;r IFRS 15 wh&lt;span class="_ _7"&gt;&lt;/span&gt;ic&lt;span class="_ _7"&gt;&lt;/span&gt;h the&lt;span class="_ _7"&gt;&lt;/span&gt;n de&lt;span class="_ _7"&gt;&lt;/span&gt;ter&lt;span class="_ _7"&gt;&lt;/span&gt;min&lt;span class="_ _7"&gt;&lt;/span&gt;e&lt;span class="_ _7"&gt;&lt;/span&gt;s the &lt;/span&gt;&lt;span style="display:inherit;clear:left;"&gt;acc&lt;span class="_ _7"&gt;&lt;/span&gt;ou&lt;span class="_ _7"&gt;&lt;/span&gt;nti&lt;span class="_ _7"&gt;&lt;/span&gt;ng tr&lt;span class="_ _7"&gt;&lt;/span&gt;eat&lt;span class="_ _7"&gt;&lt;/span&gt;me&lt;span class="_ _7"&gt;&lt;/span&gt;nt fo&lt;span class="_ _7"&gt;&lt;/span&gt;r the t&lt;span class="_ _7"&gt;&lt;/span&gt;ra&lt;span class="_ _7"&gt;&lt;/span&gt;ns&lt;span class="_ _7"&gt;&lt;/span&gt;a&lt;span class="_ _7"&gt;&lt;/span&gt;cti&lt;span class="_ _7"&gt;&lt;/span&gt;on&lt;span class="_ _7"&gt;&lt;/span&gt;. Volvo Ca&lt;span class="_ _7"&gt;&lt;/span&gt;r Gr&lt;span class="_ _7"&gt;&lt;/span&gt;oup d&lt;span class="_ _7"&gt;&lt;/span&gt;ete&lt;span class="_ _7"&gt;&lt;/span&gt;r&lt;span class="_ _2"&gt;&lt;/span&gt;-&lt;/span&gt;&lt;span style="display:inherit;clear:left;"&gt;min&lt;span class="_ _7"&gt;&lt;/span&gt;e&lt;span class="_ _7"&gt;&lt;/span&gt;s whe&lt;span class="_ _7"&gt;&lt;/span&gt;the&lt;span class="_ _7"&gt;&lt;/span&gt;r a s&lt;span class="_ _7"&gt;&lt;/span&gt;ale ex&lt;span class="_ _7"&gt;&lt;/span&gt;i&lt;span class="_ _7"&gt;&lt;/span&gt;st&lt;span class="_ _7"&gt;&lt;/span&gt;s by m&lt;span class="_ _7"&gt;&lt;/span&gt;ak&lt;span class="_ _7"&gt;&lt;/span&gt;ing j&lt;span class="_ _7"&gt;&lt;/span&gt;udg&lt;span class="_ _7"&gt;&lt;/span&gt;eme&lt;span class="_ _7"&gt;&lt;/span&gt;nt&lt;span class="_ _7"&gt;&lt;/span&gt;s of w&lt;span class="_ _7"&gt;&lt;/span&gt;he&lt;span class="_ _7"&gt;&lt;/span&gt;the&lt;span class="_ _7"&gt;&lt;/span&gt;r co&lt;span class="_ _7"&gt;&lt;/span&gt;n-&lt;/span&gt;&lt;span style="display:inherit;clear:left;"&gt;tro&lt;span class="_ _7"&gt;&lt;/span&gt;l of t&lt;span class="_ _7"&gt;&lt;/span&gt;he a&lt;span class="_ _7"&gt;&lt;/span&gt;s&lt;span class="_ _7"&gt;&lt;/span&gt;se&lt;span class="_ _7"&gt;&lt;/span&gt;t pa&lt;span class="_ _7"&gt;&lt;/span&gt;s&lt;span class="_ _7"&gt;&lt;/span&gt;se&lt;span class="_ _7"&gt;&lt;/span&gt;s to th&lt;span class="_ _7"&gt;&lt;/span&gt;e bu&lt;span class="_ _7"&gt;&lt;/span&gt;ye&lt;span class="_ _7"&gt;&lt;/span&gt;r and a&lt;span class="_ _7"&gt;&lt;/span&gt;pp&lt;span class="_ _7"&gt;&lt;/span&gt;lie&lt;span class="_ _7"&gt;&lt;/span&gt;s th&lt;span class="_ _7"&gt;&lt;/span&gt;e s&lt;span class="_ _7"&gt;&lt;/span&gt;am&lt;span class="_ _7"&gt;&lt;/span&gt;e acc&lt;span class="_ _7"&gt;&lt;/span&gt;ou&lt;span class="_ _7"&gt;&lt;/span&gt;nt&lt;span class="_ _2"&gt;&lt;/span&gt;-&lt;/span&gt;&lt;span style="display:inherit;clear:left;"&gt;ing p&lt;span class="_ _7"&gt;&lt;/span&gt;ri&lt;span class="_ _7"&gt;&lt;/span&gt;nci&lt;span class="_ _7"&gt;&lt;/span&gt;ple&lt;span class="_ _7"&gt;&lt;/span&gt;s to th&lt;span class="_ _7"&gt;&lt;/span&gt;is j&lt;span class="_ _7"&gt;&lt;/span&gt;udg&lt;span class="_ _7"&gt;&lt;/span&gt;em&lt;span class="_ _7"&gt;&lt;/span&gt;ent a&lt;span class="_ _7"&gt;&lt;/span&gt;s di&lt;span class="_ _7"&gt;&lt;/span&gt;s&lt;span class="_ _7"&gt;&lt;/span&gt;cus&lt;span class="_ _7"&gt;&lt;/span&gt;s&lt;span class="_ _7"&gt;&lt;/span&gt;e&lt;span class="_ _7"&gt;&lt;/span&gt;d in No&lt;span class="_ _7"&gt;&lt;/span&gt;te 2 – Reve&lt;span class="_ _7"&gt;&lt;/span&gt;nu&lt;span class="_ _7"&gt;&lt;/span&gt;e. &lt;/span&gt;&lt;span style="display:inherit;clear:left;"&gt;If th&lt;span class="_ _7"&gt;&lt;/span&gt;e tr&lt;span class="_ _7"&gt;&lt;/span&gt;an&lt;span class="_ _7"&gt;&lt;/span&gt;s&lt;span class="_ _7"&gt;&lt;/span&gt;fer d&lt;span class="_ _7"&gt;&lt;/span&gt;oe&lt;span class="_ _7"&gt;&lt;/span&gt;s no&lt;span class="_ _7"&gt;&lt;/span&gt;t qu&lt;span class="_ _7"&gt;&lt;/span&gt;ali&lt;span class="_ _7"&gt;&lt;/span&gt;f&lt;span class="_ _7"&gt;&lt;/span&gt;y a&lt;span class="_ _7"&gt;&lt;/span&gt;s a sa&lt;span class="_ _7"&gt;&lt;/span&gt;le an&lt;span class="_ _7"&gt;&lt;/span&gt;d th&lt;span class="_ _7"&gt;&lt;/span&gt;e as&lt;span class="_ _7"&gt;&lt;/span&gt;s&lt;span class="_ _7"&gt;&lt;/span&gt;et&lt;span class="_ _7"&gt;&lt;/span&gt;s in th&lt;span class="_ _7"&gt;&lt;/span&gt;e tr&lt;span class="_ _7"&gt;&lt;/span&gt;an&lt;span class="_ _7"&gt;&lt;/span&gt;s-&lt;/span&gt;&lt;span style="display:inherit;clear:left;"&gt;act&lt;span class="_ _7"&gt;&lt;/span&gt;io&lt;span class="_ _7"&gt;&lt;/span&gt;n invo&lt;span class="_ _7"&gt;&lt;/span&gt;lve ow&lt;span class="_ _7"&gt;&lt;/span&gt;ne&lt;span class="_ _7"&gt;&lt;/span&gt;d c&lt;span class="_ _7"&gt;&lt;/span&gt;ar&lt;span class="_ _7"&gt;&lt;/span&gt;s, t&lt;span class="_ _7"&gt;&lt;/span&gt;he t&lt;span class="_ _7"&gt;&lt;/span&gt;ra&lt;span class="_ _7"&gt;&lt;/span&gt;ns&lt;span class="_ _7"&gt;&lt;/span&gt;fe&lt;span class="_ _7"&gt;&lt;/span&gt;r pr&lt;span class="_ _7"&gt;&lt;/span&gt;oc&lt;span class="_ _7"&gt;&lt;/span&gt;ee&lt;span class="_ _7"&gt;&lt;/span&gt;ds r&lt;span class="_ _7"&gt;&lt;/span&gt;ec&lt;span class="_ _7"&gt;&lt;/span&gt;ei&lt;span class="_ _7"&gt;&lt;/span&gt;ved f&lt;span class="_ _7"&gt;&lt;/span&gt;ro&lt;span class="_ _7"&gt;&lt;/span&gt;m th&lt;span class="_ _7"&gt;&lt;/span&gt;e &lt;/span&gt;&lt;span style="display:inherit;clear:left;"&gt;bu&lt;span class="_ _7"&gt;&lt;/span&gt;yer a&lt;span class="_ _7"&gt;&lt;/span&gt;re re&lt;span class="_ _7"&gt;&lt;/span&gt;co&lt;span class="_ _7"&gt;&lt;/span&gt;gn&lt;span class="_ _7"&gt;&lt;/span&gt;is&lt;span class="_ _7"&gt;&lt;/span&gt;ed o&lt;span class="_ _7"&gt;&lt;/span&gt;n th&lt;span class="_ _7"&gt;&lt;/span&gt;e ba&lt;span class="_ _7"&gt;&lt;/span&gt;la&lt;span class="_ _7"&gt;&lt;/span&gt;nc&lt;span class="_ _7"&gt;&lt;/span&gt;e sh&lt;span class="_ _7"&gt;&lt;/span&gt;eet&lt;span class="_ _7"&gt;&lt;/span&gt;, s&lt;span class="_ _7"&gt;&lt;/span&gt;pli&lt;span class="_ _7"&gt;&lt;/span&gt;t be&lt;span class="_ _7"&gt;&lt;/span&gt;t&lt;span class="_ _7"&gt;&lt;/span&gt;wee&lt;span class="_ _7"&gt;&lt;/span&gt;n Int&lt;span class="_ _7"&gt;&lt;/span&gt;er-&lt;/span&gt;&lt;span style="display:inherit;clear:left;"&gt;es&lt;span class="_ _7"&gt;&lt;/span&gt;t&lt;span class="_ _2"&gt;&lt;/span&gt;-b&lt;span class="_ _7"&gt;&lt;/span&gt;ear&lt;span class="_ _7"&gt;&lt;/span&gt;in&lt;span class="_ _7"&gt;&lt;/span&gt;g lia&lt;span class="_ _7"&gt;&lt;/span&gt;bil&lt;span class="_ _7"&gt;&lt;/span&gt;iti&lt;span class="_ _7"&gt;&lt;/span&gt;e&lt;span class="_ _7"&gt;&lt;/span&gt;s (equa&lt;span class="_ _7"&gt;&lt;/span&gt;l to th&lt;span class="_ _7"&gt;&lt;/span&gt;e pr&lt;span class="_ _7"&gt;&lt;/span&gt;es&lt;span class="_ _7"&gt;&lt;/span&gt;en&lt;span class="_ _7"&gt;&lt;/span&gt;t val&lt;span class="_ _7"&gt;&lt;/span&gt;ue o&lt;span class="_ _7"&gt;&lt;/span&gt;f fu&lt;span class="_ _7"&gt;&lt;/span&gt;tur&lt;span class="_ _7"&gt;&lt;/span&gt;e lea&lt;span class="_ _7"&gt;&lt;/span&gt;s&lt;span class="_ _7"&gt;&lt;/span&gt;e &lt;/span&gt;&lt;span style="display:inherit;clear:left;"&gt;pay&lt;span class="_ _7"&gt;&lt;/span&gt;me&lt;span class="_ _7"&gt;&lt;/span&gt;nt&lt;span class="_ _7"&gt;&lt;/span&gt;s&lt;span class="_ _7"&gt;&lt;/span&gt;, se&lt;span class="_ _7"&gt;&lt;/span&gt;e No&lt;span class="_ _7"&gt;&lt;/span&gt;te 19 - Fin&lt;span class="_ _7"&gt;&lt;/span&gt;an&lt;span class="_ _7"&gt;&lt;/span&gt;ci&lt;span class="_ _7"&gt;&lt;/span&gt;al In&lt;span class="_ _7"&gt;&lt;/span&gt;st&lt;span class="_ _7"&gt;&lt;/span&gt;ru&lt;span class="_ _7"&gt;&lt;/span&gt;me&lt;span class="_ _7"&gt;&lt;/span&gt;nt&lt;span class="_ _7"&gt;&lt;/span&gt;s and F&lt;span class="_ _7"&gt;&lt;/span&gt;in&lt;span class="_ _7"&gt;&lt;/span&gt;an&lt;span class="_ _7"&gt;&lt;/span&gt;cia&lt;span class="_ _7"&gt;&lt;/span&gt;l Ris&lt;span class="_ _7"&gt;&lt;/span&gt;ks) &lt;/span&gt;&lt;span style="display:inherit;clear:left;"&gt;and C&lt;span class="_ _7"&gt;&lt;/span&gt;o&lt;span class="_ _7"&gt;&lt;/span&gt;ntr&lt;span class="_ _7"&gt;&lt;/span&gt;ac&lt;span class="_ _7"&gt;&lt;/span&gt;t lia&lt;span class="_ _7"&gt;&lt;/span&gt;bi&lt;span class="_ _7"&gt;&lt;/span&gt;lit&lt;span class="_ _7"&gt;&lt;/span&gt;ie&lt;span class="_ _7"&gt;&lt;/span&gt;s fr&lt;span class="_ _7"&gt;&lt;/span&gt;om cu&lt;span class="_ _7"&gt;&lt;/span&gt;s&lt;span class="_ _7"&gt;&lt;/span&gt;tom&lt;span class="_ _7"&gt;&lt;/span&gt;er&lt;span class="_ _7"&gt;&lt;/span&gt;s (equ&lt;span class="_ _7"&gt;&lt;/span&gt;al to d&lt;span class="_ _7"&gt;&lt;/span&gt;ef&lt;span class="_ _7"&gt;&lt;/span&gt;er&lt;span class="_ _7"&gt;&lt;/span&gt;re&lt;span class="_ _7"&gt;&lt;/span&gt;d reve&lt;span class="_ _7"&gt;&lt;/span&gt;nu&lt;span class="_ _7"&gt;&lt;/span&gt;e &lt;/span&gt;&lt;span style="display:inherit;clear:left;"&gt;re&lt;span class="_ _7"&gt;&lt;/span&gt;cog&lt;span class="_ _7"&gt;&lt;/span&gt;ni&lt;span class="_ _7"&gt;&lt;/span&gt;s&lt;span class="_ _7"&gt;&lt;/span&gt;ed at t&lt;span class="_ _7"&gt;&lt;/span&gt;he e&lt;span class="_ _7"&gt;&lt;/span&gt;nd o&lt;span class="_ _7"&gt;&lt;/span&gt;f the le&lt;span class="_ _7"&gt;&lt;/span&gt;as&lt;span class="_ _7"&gt;&lt;/span&gt;e p&lt;span class="_ _7"&gt;&lt;/span&gt;er&lt;span class="_ _7"&gt;&lt;/span&gt;io&lt;span class="_ _7"&gt;&lt;/span&gt;d re&lt;span class="_ _7"&gt;&lt;/span&gt;la&lt;span class="_ _7"&gt;&lt;/span&gt;ting t&lt;span class="_ _7"&gt;&lt;/span&gt;o the c&lt;span class="_ _7"&gt;&lt;/span&gt;ar s&lt;span class="_ _7"&gt;&lt;/span&gt;a&lt;span class="_ _7"&gt;&lt;/span&gt;le, s&lt;span class="_ _7"&gt;&lt;/span&gt;ee &lt;/span&gt;&lt;span style="display:inherit;clear:left;"&gt;Note 2 – R&lt;span class="_ _7"&gt;&lt;/span&gt;even&lt;span class="_ _7"&gt;&lt;/span&gt;ue). For s&lt;span class="_ _7"&gt;&lt;/span&gt;om&lt;span class="_ _7"&gt;&lt;/span&gt;e as&lt;span class="_ _7"&gt;&lt;/span&gt;s&lt;span class="_ _7"&gt;&lt;/span&gt;et&lt;span class="_ _7"&gt;&lt;/span&gt;s&lt;span class="_ _7"&gt;&lt;/span&gt;, Volvo Ca&lt;span class="_ _7"&gt;&lt;/span&gt;r Gro&lt;span class="_ _7"&gt;&lt;/span&gt;up m&lt;span class="_ _7"&gt;&lt;/span&gt;ake&lt;span class="_ _7"&gt;&lt;/span&gt;s an e&lt;span class="_ _7"&gt;&lt;/span&gt;st&lt;span class="_ _7"&gt;&lt;/span&gt;i-&lt;/span&gt;&lt;span style="display:inherit;clear:left;"&gt;mat&lt;span class="_ _7"&gt;&lt;/span&gt;e of th&lt;span class="_ _7"&gt;&lt;/span&gt;e le&lt;span class="_ _7"&gt;&lt;/span&gt;as&lt;span class="_ _7"&gt;&lt;/span&gt;eb&lt;span class="_ _7"&gt;&lt;/span&gt;ack p&lt;span class="_ _7"&gt;&lt;/span&gt;er&lt;span class="_ _7"&gt;&lt;/span&gt;io&lt;span class="_ _7"&gt;&lt;/span&gt;d wh&lt;span class="_ _7"&gt;&lt;/span&gt;ich i&lt;span class="_ _7"&gt;&lt;/span&gt;mp&lt;span class="_ _7"&gt;&lt;/span&gt;ac&lt;span class="_ _7"&gt;&lt;/span&gt;ts t&lt;span class="_ _7"&gt;&lt;/span&gt;he va&lt;span class="_ _7"&gt;&lt;/span&gt;lue o&lt;span class="_ _7"&gt;&lt;/span&gt;f ea&lt;span class="_ _7"&gt;&lt;/span&gt;ch c&lt;span class="_ _7"&gt;&lt;/span&gt;om-&lt;/span&gt;&lt;span style="display:inherit;clear:left;"&gt;po&lt;span class="_ _7"&gt;&lt;/span&gt;ne&lt;span class="_ _7"&gt;&lt;/span&gt;nt. T&lt;span class="_ _7"&gt;&lt;/span&gt;hi&lt;span class="_ _7"&gt;&lt;/span&gt;s es&lt;span class="_ _7"&gt;&lt;/span&gt;ti&lt;span class="_ _7"&gt;&lt;/span&gt;ma&lt;span class="_ _7"&gt;&lt;/span&gt;te is b&lt;span class="_ _7"&gt;&lt;/span&gt;as&lt;span class="_ _7"&gt;&lt;/span&gt;e&lt;span class="_ _7"&gt;&lt;/span&gt;d on hi&lt;span class="_ _7"&gt;&lt;/span&gt;s&lt;span class="_ _7"&gt;&lt;/span&gt;tor&lt;span class="_ _7"&gt;&lt;/span&gt;ic&lt;span class="_ _7"&gt;&lt;/span&gt;al a&lt;span class="_ _7"&gt;&lt;/span&gt;s&lt;span class="_ _7"&gt;&lt;/span&gt;se&lt;span class="_ _7"&gt;&lt;/span&gt;t us&lt;span class="_ _7"&gt;&lt;/span&gt;ag&lt;span class="_ _7"&gt;&lt;/span&gt;e pat&lt;span class="_ _7"&gt;&lt;/span&gt;te&lt;span class="_ _7"&gt;&lt;/span&gt;rn&lt;span class="_ _7"&gt;&lt;/span&gt;s&lt;span class="_ _7"&gt;&lt;/span&gt;.&lt;/span&gt;&lt;span style="display:inherit;clear:left;"&gt;ACCOUNTING&lt;span class="_ _2"&gt;&lt;/span&gt; POLICIES&lt;/span&gt;&lt;span style="display:inherit;clear:left;"&gt;V&lt;span class="_ _2"&gt;&lt;/span&gt;olvo Car G&lt;span class="_ _7"&gt;&lt;/span&gt;roup a&lt;span class="_ _7"&gt;&lt;/span&gt;s a les&lt;span class="_ _7"&gt;&lt;/span&gt;se&lt;span class="_ _7"&gt;&lt;/span&gt;e&lt;/span&gt;&lt;span style="display:inherit;clear:left;"&gt;Volvo Ca&lt;span class="_ _7"&gt;&lt;/span&gt;r Gro&lt;span class="_ _7"&gt;&lt;/span&gt;up le&lt;span class="_ _7"&gt;&lt;/span&gt;as&lt;span class="_ _7"&gt;&lt;/span&gt;e&lt;span class="_ _7"&gt;&lt;/span&gt;s pr&lt;span class="_ _7"&gt;&lt;/span&gt;im&lt;span class="_ _7"&gt;&lt;/span&gt;ari&lt;span class="_ _7"&gt;&lt;/span&gt;ly re&lt;span class="_ _7"&gt;&lt;/span&gt;al e&lt;span class="_ _7"&gt;&lt;/span&gt;s&lt;span class="_ _7"&gt;&lt;/span&gt;ta&lt;span class="_ _7"&gt;&lt;/span&gt;te as&lt;span class="_ _7"&gt;&lt;/span&gt;s&lt;span class="_ _7"&gt;&lt;/span&gt;et&lt;span class="_ _7"&gt;&lt;/span&gt;s (suc&lt;span class="_ _7"&gt;&lt;/span&gt;h as o&lt;span class="_ _7"&gt;&lt;/span&gt;f&lt;span class="_ _7"&gt;&lt;/span&gt;f&lt;span class="_ _7"&gt;&lt;/span&gt;ic&lt;span class="_ _7"&gt;&lt;/span&gt;e &lt;/span&gt;&lt;span style="display:inherit;clear:left;"&gt;bui&lt;span class="_ _7"&gt;&lt;/span&gt;ld&lt;span class="_ _7"&gt;&lt;/span&gt;ing&lt;span class="_ _7"&gt;&lt;/span&gt;s an&lt;span class="_ _7"&gt;&lt;/span&gt;d war&lt;span class="_ _7"&gt;&lt;/span&gt;eh&lt;span class="_ _7"&gt;&lt;/span&gt;ou&lt;span class="_ _7"&gt;&lt;/span&gt;se&lt;span class="_ _7"&gt;&lt;/span&gt;s) an&lt;span class="_ _7"&gt;&lt;/span&gt;d eq&lt;span class="_ _7"&gt;&lt;/span&gt;uip&lt;span class="_ _7"&gt;&lt;/span&gt;me&lt;span class="_ _7"&gt;&lt;/span&gt;nt (su&lt;span class="_ _7"&gt;&lt;/span&gt;ch as p&lt;span class="_ _7"&gt;&lt;/span&gt;ro&lt;span class="_ _7"&gt;&lt;/span&gt;du&lt;span class="_ _7"&gt;&lt;/span&gt;cti&lt;span class="_ _7"&gt;&lt;/span&gt;on to&lt;span class="_ _7"&gt;&lt;/span&gt;ol-&lt;/span&gt;&lt;span style="display:inherit;clear:left;"&gt;ing and IT&lt;span class="_ _2"&gt;&lt;/span&gt; har&lt;span class="_ _7"&gt;&lt;/span&gt;dware)&lt;span class="_ _2"&gt;&lt;/span&gt;.&lt;/span&gt;&lt;span style="display:inherit;clear:left;"&gt;At&lt;span class="_ _2"&gt;&lt;/span&gt; lease contract commencement&lt;span class="_ _2"&gt;&lt;/span&gt; date, V&lt;span class="_ _2"&gt;&lt;/span&gt;olvo&lt;span class="_ _2"&gt;&lt;/span&gt; Car Group recog&lt;span class="_ _2"&gt;&lt;/span&gt;&lt;span class="ls3 ws3"&gt;-&lt;/span&gt;&lt;/span&gt;&lt;span style="display:inherit;clear:left;"&gt;nis&lt;span class="_ _7"&gt;&lt;/span&gt;e&lt;span class="_ _7"&gt;&lt;/span&gt;s on t&lt;span class="_ _7"&gt;&lt;/span&gt;he b&lt;span class="_ _7"&gt;&lt;/span&gt;al&lt;span class="_ _7"&gt;&lt;/span&gt;an&lt;span class="_ _7"&gt;&lt;/span&gt;ce s&lt;span class="_ _7"&gt;&lt;/span&gt;he&lt;span class="_ _7"&gt;&lt;/span&gt;et a ri&lt;span class="_ _7"&gt;&lt;/span&gt;ght-of&lt;span class="_ _2"&gt;&lt;/span&gt;-us&lt;span class="_ _7"&gt;&lt;/span&gt;e (Ro&lt;span class="_ _7"&gt;&lt;/span&gt;U) a&lt;span class="_ _7"&gt;&lt;/span&gt;s&lt;span class="_ _7"&gt;&lt;/span&gt;se&lt;span class="_ _7"&gt;&lt;/span&gt;t an&lt;span class="_ _7"&gt;&lt;/span&gt;d lea&lt;span class="_ _7"&gt;&lt;/span&gt;se l&lt;span class="_ _7"&gt;&lt;/span&gt;ia-&lt;/span&gt;&lt;span style="display:inherit;clear:left;"&gt;bil&lt;span class="_ _7"&gt;&lt;/span&gt;it&lt;span class="_ _7"&gt;&lt;/span&gt;y. RoU a&lt;span class="_ _7"&gt;&lt;/span&gt;s&lt;span class="_ _7"&gt;&lt;/span&gt;se&lt;span class="_ _7"&gt;&lt;/span&gt;ts a&lt;span class="_ _7"&gt;&lt;/span&gt;re me&lt;span class="_ _7"&gt;&lt;/span&gt;as&lt;span class="_ _7"&gt;&lt;/span&gt;ur&lt;span class="_ _7"&gt;&lt;/span&gt;ed a&lt;span class="_ _7"&gt;&lt;/span&gt;t co&lt;span class="_ _7"&gt;&lt;/span&gt;st l&lt;span class="_ _7"&gt;&lt;/span&gt;es&lt;span class="_ _7"&gt;&lt;/span&gt;s a&lt;span class="_ _7"&gt;&lt;/span&gt;ccu&lt;span class="_ _7"&gt;&lt;/span&gt;mu&lt;span class="_ _7"&gt;&lt;/span&gt;la&lt;span class="_ _7"&gt;&lt;/span&gt;ted d&lt;span class="_ _7"&gt;&lt;/span&gt;ep&lt;span class="_ _7"&gt;&lt;/span&gt;re&lt;span class="_ _7"&gt;&lt;/span&gt;cia-&lt;/span&gt;&lt;span style="display:inherit;clear:left;"&gt;tio&lt;span class="_ _7"&gt;&lt;/span&gt;n an&lt;span class="_ _7"&gt;&lt;/span&gt;d imp&lt;span class="_ _7"&gt;&lt;/span&gt;ai&lt;span class="_ _7"&gt;&lt;/span&gt;rm&lt;span class="_ _7"&gt;&lt;/span&gt;ent a&lt;span class="_ _7"&gt;&lt;/span&gt;nd c&lt;span class="_ _7"&gt;&lt;/span&gt;la&lt;span class="_ _7"&gt;&lt;/span&gt;s&lt;span class="_ _7"&gt;&lt;/span&gt;si&lt;span class="_ _7"&gt;&lt;/span&gt;fi&lt;span class="_ _7"&gt;&lt;/span&gt;ed a&lt;span class="_ _7"&gt;&lt;/span&gt;s T&lt;span class="_ _2"&gt;&lt;/span&gt;ang&lt;span class="_ _7"&gt;&lt;/span&gt;ib&lt;span class="_ _7"&gt;&lt;/span&gt;le a&lt;span class="_ _7"&gt;&lt;/span&gt;s&lt;span class="_ _7"&gt;&lt;/span&gt;se&lt;span class="_ _7"&gt;&lt;/span&gt;ts o&lt;span class="_ _7"&gt;&lt;/span&gt;n the b&lt;span class="_ _7"&gt;&lt;/span&gt;al&lt;span class="_ _7"&gt;&lt;/span&gt;an&lt;span class="_ _7"&gt;&lt;/span&gt;ce &lt;/span&gt;&lt;span style="display:inherit;clear:left;"&gt;sh&lt;span class="_ _7"&gt;&lt;/span&gt;ee&lt;span class="_ _7"&gt;&lt;/span&gt;t, s&lt;span class="_ _7"&gt;&lt;/span&gt;ee N&lt;span class="_ _7"&gt;&lt;/span&gt;ote 16 – T&lt;span class="_ _2"&gt;&lt;/span&gt;an&lt;span class="_ _7"&gt;&lt;/span&gt;gib&lt;span class="_ _7"&gt;&lt;/span&gt;le a&lt;span class="_ _7"&gt;&lt;/span&gt;s&lt;span class="_ _7"&gt;&lt;/span&gt;se&lt;span class="_ _7"&gt;&lt;/span&gt;ts&lt;span class="_ _7"&gt;&lt;/span&gt;. L&lt;span class="_ _7"&gt;&lt;/span&gt;ea&lt;span class="_ _7"&gt;&lt;/span&gt;se l&lt;span class="_ _7"&gt;&lt;/span&gt;iab&lt;span class="_ _7"&gt;&lt;/span&gt;ili&lt;span class="_ _7"&gt;&lt;/span&gt;ti&lt;span class="_ _7"&gt;&lt;/span&gt;es a&lt;span class="_ _7"&gt;&lt;/span&gt;re m&lt;span class="_ _7"&gt;&lt;/span&gt;ea&lt;span class="_ _7"&gt;&lt;/span&gt;sur&lt;span class="_ _7"&gt;&lt;/span&gt;ed &lt;/span&gt;&lt;span style="display:inherit;clear:left;"&gt;as th&lt;span class="_ _7"&gt;&lt;/span&gt;e pr&lt;span class="_ _7"&gt;&lt;/span&gt;es&lt;span class="_ _7"&gt;&lt;/span&gt;en&lt;span class="_ _7"&gt;&lt;/span&gt;t va&lt;span class="_ _7"&gt;&lt;/span&gt;lue o&lt;span class="_ _7"&gt;&lt;/span&gt;f fu&lt;span class="_ _7"&gt;&lt;/span&gt;tur&lt;span class="_ _7"&gt;&lt;/span&gt;e lea&lt;span class="_ _7"&gt;&lt;/span&gt;s&lt;span class="_ _7"&gt;&lt;/span&gt;e pay&lt;span class="_ _7"&gt;&lt;/span&gt;me&lt;span class="_ _7"&gt;&lt;/span&gt;nt&lt;span class="_ _7"&gt;&lt;/span&gt;s an&lt;span class="_ _7"&gt;&lt;/span&gt;d am&lt;span class="_ _7"&gt;&lt;/span&gt;or&lt;span class="_ _7"&gt;&lt;/span&gt;ti&lt;span class="_ _7"&gt;&lt;/span&gt;s&lt;span class="_ _7"&gt;&lt;/span&gt;ed u&lt;span class="_ _7"&gt;&lt;/span&gt;sin&lt;span class="_ _7"&gt;&lt;/span&gt;g &lt;/span&gt;&lt;span style="display:inherit;clear:left;"&gt;the i&lt;span class="_ _7"&gt;&lt;/span&gt;nte&lt;span class="_ _7"&gt;&lt;/span&gt;re&lt;span class="_ _7"&gt;&lt;/span&gt;st r&lt;span class="_ _7"&gt;&lt;/span&gt;ate i&lt;span class="_ _7"&gt;&lt;/span&gt;mp&lt;span class="_ _7"&gt;&lt;/span&gt;lic&lt;span class="_ _7"&gt;&lt;/span&gt;it in t&lt;span class="_ _7"&gt;&lt;/span&gt;he le&lt;span class="_ _7"&gt;&lt;/span&gt;as&lt;span class="_ _7"&gt;&lt;/span&gt;e o&lt;span class="_ _7"&gt;&lt;/span&gt;r us&lt;span class="_ _7"&gt;&lt;/span&gt;ing Volvo C&lt;span class="_ _7"&gt;&lt;/span&gt;ar G&lt;span class="_ _7"&gt;&lt;/span&gt;rou&lt;span class="_ _7"&gt;&lt;/span&gt;p’s &lt;/span&gt;&lt;span style="display:inherit;clear:left;"&gt;inc&lt;span class="_ _7"&gt;&lt;/span&gt;re&lt;span class="_ _7"&gt;&lt;/span&gt;men&lt;span class="_ _7"&gt;&lt;/span&gt;ta&lt;span class="_ _7"&gt;&lt;/span&gt;l bo&lt;span class="_ _7"&gt;&lt;/span&gt;rr&lt;span class="_ _7"&gt;&lt;/span&gt;owi&lt;span class="_ _7"&gt;&lt;/span&gt;ng r&lt;span class="_ _7"&gt;&lt;/span&gt;ate w&lt;span class="_ _7"&gt;&lt;/span&gt;hen t&lt;span class="_ _7"&gt;&lt;/span&gt;hi&lt;span class="_ _7"&gt;&lt;/span&gt;s ca&lt;span class="_ _7"&gt;&lt;/span&gt;nno&lt;span class="_ _7"&gt;&lt;/span&gt;t be d&lt;span class="_ _7"&gt;&lt;/span&gt;ete&lt;span class="_ _7"&gt;&lt;/span&gt;rm&lt;span class="_ _7"&gt;&lt;/span&gt;ine&lt;span class="_ _7"&gt;&lt;/span&gt;d&lt;span class="_ _7"&gt;&lt;/span&gt;. Inte&lt;span class="_ _7"&gt;&lt;/span&gt;r&lt;span class="_ _2"&gt;&lt;/span&gt;-&lt;/span&gt;&lt;span style="display:inherit;clear:left;"&gt;es&lt;span class="_ _7"&gt;&lt;/span&gt;t ex&lt;span class="_ _7"&gt;&lt;/span&gt;pe&lt;span class="_ _7"&gt;&lt;/span&gt;ns&lt;span class="_ _7"&gt;&lt;/span&gt;e on L&lt;span class="_ _7"&gt;&lt;/span&gt;ea&lt;span class="_ _7"&gt;&lt;/span&gt;se l&lt;span class="_ _7"&gt;&lt;/span&gt;iab&lt;span class="_ _7"&gt;&lt;/span&gt;il&lt;span class="_ _7"&gt;&lt;/span&gt;iti&lt;span class="_ _7"&gt;&lt;/span&gt;es i&lt;span class="_ _7"&gt;&lt;/span&gt;s pr&lt;span class="_ _7"&gt;&lt;/span&gt;es&lt;span class="_ _7"&gt;&lt;/span&gt;e&lt;span class="_ _7"&gt;&lt;/span&gt;nte&lt;span class="_ _7"&gt;&lt;/span&gt;d as in&lt;span class="_ _7"&gt;&lt;/span&gt;ter&lt;span class="_ _7"&gt;&lt;/span&gt;es&lt;span class="_ _7"&gt;&lt;/span&gt;t ex&lt;span class="_ _7"&gt;&lt;/span&gt;pe&lt;span class="_ _7"&gt;&lt;/span&gt;ns&lt;span class="_ _7"&gt;&lt;/span&gt;e in &lt;/span&gt;&lt;span style="display:inherit;clear:left;"&gt;the income&lt;span class="_ _2"&gt;&lt;/span&gt; st&lt;span class="_ _7"&gt;&lt;/span&gt;atement.&lt;/span&gt;&lt;span style="display:inherit;clear:left;"&gt;Volvo Ca&lt;span class="_ _7"&gt;&lt;/span&gt;r Gro&lt;span class="_ _7"&gt;&lt;/span&gt;up h&lt;span class="_ _7"&gt;&lt;/span&gt;as e&lt;span class="_ _7"&gt;&lt;/span&gt;lec&lt;span class="_ _7"&gt;&lt;/span&gt;te&lt;span class="_ _7"&gt;&lt;/span&gt;d not t&lt;span class="_ _7"&gt;&lt;/span&gt;o se&lt;span class="_ _7"&gt;&lt;/span&gt;pa&lt;span class="_ _7"&gt;&lt;/span&gt;ra&lt;span class="_ _7"&gt;&lt;/span&gt;te no&lt;span class="_ _7"&gt;&lt;/span&gt;n-lea&lt;span class="_ _7"&gt;&lt;/span&gt;se c&lt;span class="_ _7"&gt;&lt;/span&gt;om&lt;span class="_ _7"&gt;&lt;/span&gt;po-&lt;/span&gt;&lt;span style="display:inherit;clear:left;"&gt;ne&lt;span class="_ _7"&gt;&lt;/span&gt;nts a&lt;span class="_ _7"&gt;&lt;/span&gt;nd a&lt;span class="_ _7"&gt;&lt;/span&gt;cc&lt;span class="_ _7"&gt;&lt;/span&gt;oun&lt;span class="_ _7"&gt;&lt;/span&gt;ts f&lt;span class="_ _7"&gt;&lt;/span&gt;or th&lt;span class="_ _7"&gt;&lt;/span&gt;e le&lt;span class="_ _7"&gt;&lt;/span&gt;as&lt;span class="_ _7"&gt;&lt;/span&gt;e an&lt;span class="_ _7"&gt;&lt;/span&gt;d no&lt;span class="_ _7"&gt;&lt;/span&gt;n-lea&lt;span class="_ _7"&gt;&lt;/span&gt;se c&lt;span class="_ _7"&gt;&lt;/span&gt;om&lt;span class="_ _7"&gt;&lt;/span&gt;po&lt;span class="_ _7"&gt;&lt;/span&gt;ne&lt;span class="_ _7"&gt;&lt;/span&gt;nts a&lt;span class="_ _7"&gt;&lt;/span&gt;s a &lt;/span&gt;&lt;span style="display:inherit;clear:left;"&gt;single l&lt;span class="_ _2"&gt;&lt;/span&gt;eas&lt;span class="_ _7"&gt;&lt;/span&gt;e component.&lt;/span&gt;&lt;span style="display:inherit;clear:left;"&gt;If a le&lt;span class="_ _7"&gt;&lt;/span&gt;as&lt;span class="_ _7"&gt;&lt;/span&gt;e co&lt;span class="_ _7"&gt;&lt;/span&gt;ntr&lt;span class="_ _7"&gt;&lt;/span&gt;ac&lt;span class="_ _7"&gt;&lt;/span&gt;t ha&lt;span class="_ _7"&gt;&lt;/span&gt;s a te&lt;span class="_ _7"&gt;&lt;/span&gt;rm o&lt;span class="_ _7"&gt;&lt;/span&gt;f 12 mont&lt;span class="_ _7"&gt;&lt;/span&gt;hs o&lt;span class="_ _7"&gt;&lt;/span&gt;r le&lt;span class="_ _7"&gt;&lt;/span&gt;s&lt;span class="_ _7"&gt;&lt;/span&gt;s, o&lt;span class="_ _7"&gt;&lt;/span&gt;r the u&lt;span class="_ _7"&gt;&lt;/span&gt;nd&lt;span class="_ _7"&gt;&lt;/span&gt;er-&lt;/span&gt;&lt;span style="display:inherit;clear:left;"&gt;lyi&lt;span class="_ _7"&gt;&lt;/span&gt;ng as&lt;span class="_ _7"&gt;&lt;/span&gt;s&lt;span class="_ _7"&gt;&lt;/span&gt;et i&lt;span class="_ _7"&gt;&lt;/span&gt;s of l&lt;span class="_ _7"&gt;&lt;/span&gt;ow va&lt;span class="_ _7"&gt;&lt;/span&gt;lue&lt;span class="_ _7"&gt;&lt;/span&gt;, or in&lt;span class="_ _7"&gt;&lt;/span&gt;clu&lt;span class="_ _7"&gt;&lt;/span&gt;de&lt;span class="_ _7"&gt;&lt;/span&gt;s va&lt;span class="_ _7"&gt;&lt;/span&gt;ri&lt;span class="_ _7"&gt;&lt;/span&gt;abl&lt;span class="_ _7"&gt;&lt;/span&gt;e lea&lt;span class="_ _7"&gt;&lt;/span&gt;s&lt;span class="_ _7"&gt;&lt;/span&gt;e pay&lt;span class="_ _7"&gt;&lt;/span&gt;me&lt;span class="_ _7"&gt;&lt;/span&gt;nt&lt;span class="_ _7"&gt;&lt;/span&gt;s no&lt;span class="_ _7"&gt;&lt;/span&gt;t &lt;/span&gt;&lt;span style="display:inherit;clear:left;"&gt;dep&lt;span class="_ _7"&gt;&lt;/span&gt;en&lt;span class="_ _7"&gt;&lt;/span&gt;de&lt;span class="_ _7"&gt;&lt;/span&gt;nt o&lt;span class="_ _7"&gt;&lt;/span&gt;n an in&lt;span class="_ _7"&gt;&lt;/span&gt;dex o&lt;span class="_ _7"&gt;&lt;/span&gt;r ra&lt;span class="_ _7"&gt;&lt;/span&gt;te, n&lt;span class="_ _7"&gt;&lt;/span&gt;o RoU a&lt;span class="_ _7"&gt;&lt;/span&gt;s&lt;span class="_ _7"&gt;&lt;/span&gt;se&lt;span class="_ _7"&gt;&lt;/span&gt;t or le&lt;span class="_ _7"&gt;&lt;/span&gt;as&lt;span class="_ _7"&gt;&lt;/span&gt;e li&lt;span class="_ _7"&gt;&lt;/span&gt;ab&lt;span class="_ _7"&gt;&lt;/span&gt;ili&lt;span class="_ _7"&gt;&lt;/span&gt;t&lt;span class="_ _7"&gt;&lt;/span&gt;y is &lt;/span&gt;&lt;span style="display:inherit;clear:left;"&gt; &lt;span class="_ _1"&gt;&lt;/span&gt;re&lt;span class="_ _7"&gt;&lt;/span&gt;co&lt;span class="_ _7"&gt;&lt;/span&gt;gn&lt;span class="_ _7"&gt;&lt;/span&gt;is&lt;span class="_ _7"&gt;&lt;/span&gt;ed&lt;span class="_ _7"&gt;&lt;/span&gt;. Th&lt;span class="_ _7"&gt;&lt;/span&gt;e co&lt;span class="_ _7"&gt;&lt;/span&gt;s&lt;span class="_ _7"&gt;&lt;/span&gt;t of th&lt;span class="_ _7"&gt;&lt;/span&gt;e&lt;span class="_ _7"&gt;&lt;/span&gt;se le&lt;span class="_ _7"&gt;&lt;/span&gt;as&lt;span class="_ _7"&gt;&lt;/span&gt;e&lt;span class="_ _7"&gt;&lt;/span&gt;s is r&lt;span class="_ _7"&gt;&lt;/span&gt;ec&lt;span class="_ _7"&gt;&lt;/span&gt;og&lt;span class="_ _7"&gt;&lt;/span&gt;ni&lt;span class="_ _7"&gt;&lt;/span&gt;se&lt;span class="_ _7"&gt;&lt;/span&gt;d as a l&lt;span class="_ _7"&gt;&lt;/span&gt;ea&lt;span class="_ _7"&gt;&lt;/span&gt;se &lt;/span&gt;&lt;span style="display:inherit;clear:left;"&gt;exp&lt;span class="_ _7"&gt;&lt;/span&gt;en&lt;span class="_ _7"&gt;&lt;/span&gt;se o&lt;span class="_ _7"&gt;&lt;/span&gt;n a s&lt;span class="_ _7"&gt;&lt;/span&gt;tr&lt;span class="_ _7"&gt;&lt;/span&gt;aig&lt;span class="_ _7"&gt;&lt;/span&gt;ht&lt;span class="_ _2"&gt;&lt;/span&gt;-li&lt;span class="_ _7"&gt;&lt;/span&gt;ne b&lt;span class="_ _7"&gt;&lt;/span&gt;as&lt;span class="_ _7"&gt;&lt;/span&gt;is ov&lt;span class="_ _7"&gt;&lt;/span&gt;er th&lt;span class="_ _7"&gt;&lt;/span&gt;e le&lt;span class="_ _7"&gt;&lt;/span&gt;as&lt;span class="_ _7"&gt;&lt;/span&gt;e ter&lt;span class="_ _7"&gt;&lt;/span&gt;m in th&lt;span class="_ _7"&gt;&lt;/span&gt;e f&lt;span class="_ _7"&gt;&lt;/span&gt;unc&lt;span class="_ _7"&gt;&lt;/span&gt;ti&lt;span class="_ _7"&gt;&lt;/span&gt;on&lt;span class="_ _7"&gt;&lt;/span&gt;al &lt;/span&gt;&lt;span style="display:inherit;clear:left;"&gt;exp&lt;span class="_ _7"&gt;&lt;/span&gt;en&lt;span class="_ _7"&gt;&lt;/span&gt;se l&lt;span class="_ _7"&gt;&lt;/span&gt;in&lt;span class="_ _7"&gt;&lt;/span&gt;e for w&lt;span class="_ _7"&gt;&lt;/span&gt;hi&lt;span class="_ _7"&gt;&lt;/span&gt;ch th&lt;span class="_ _7"&gt;&lt;/span&gt;e lea&lt;span class="_ _7"&gt;&lt;/span&gt;s&lt;span class="_ _7"&gt;&lt;/span&gt;ed a&lt;span class="_ _7"&gt;&lt;/span&gt;s&lt;span class="_ _7"&gt;&lt;/span&gt;se&lt;span class="_ _7"&gt;&lt;/span&gt;t is u&lt;span class="_ _7"&gt;&lt;/span&gt;se&lt;span class="_ _7"&gt;&lt;/span&gt;d.&lt;/span&gt;&lt;span style="display:inherit;clear:left;"&gt;V&lt;span class="_ _2"&gt;&lt;/span&gt;olvo Car G&lt;span class="_ _7"&gt;&lt;/span&gt;roup a&lt;span class="_ _7"&gt;&lt;/span&gt;s a les&lt;span class="_ _7"&gt;&lt;/span&gt;so&lt;span class="_ _7"&gt;&lt;/span&gt;r&lt;/span&gt;&lt;span style="display:inherit;clear:left;"&gt;Volvo Ca&lt;span class="_ _7"&gt;&lt;/span&gt;r Gro&lt;span class="_ _7"&gt;&lt;/span&gt;up c&lt;span class="_ _7"&gt;&lt;/span&gt;la&lt;span class="_ _7"&gt;&lt;/span&gt;s&lt;span class="_ _7"&gt;&lt;/span&gt;si&lt;span class="_ _7"&gt;&lt;/span&gt;fi&lt;span class="_ _7"&gt;&lt;/span&gt;e&lt;span class="_ _7"&gt;&lt;/span&gt;s a les&lt;span class="_ _7"&gt;&lt;/span&gt;s&lt;span class="_ _7"&gt;&lt;/span&gt;o&lt;span class="_ _7"&gt;&lt;/span&gt;r con&lt;span class="_ _7"&gt;&lt;/span&gt;tr&lt;span class="_ _7"&gt;&lt;/span&gt;ac&lt;span class="_ _7"&gt;&lt;/span&gt;t as e&lt;span class="_ _7"&gt;&lt;/span&gt;ith&lt;span class="_ _7"&gt;&lt;/span&gt;er a f&lt;span class="_ _7"&gt;&lt;/span&gt;in&lt;span class="_ _7"&gt;&lt;/span&gt;anc&lt;span class="_ _7"&gt;&lt;/span&gt;e le&lt;span class="_ _7"&gt;&lt;/span&gt;as&lt;span class="_ _7"&gt;&lt;/span&gt;e &lt;/span&gt;&lt;span style="display:inherit;clear:left;"&gt;or an o&lt;span class="_ _7"&gt;&lt;/span&gt;pe&lt;span class="_ _7"&gt;&lt;/span&gt;ra&lt;span class="_ _7"&gt;&lt;/span&gt;tin&lt;span class="_ _7"&gt;&lt;/span&gt;g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rew&lt;span class="_ _7"&gt;&lt;/span&gt;ard&lt;span class="_ _7"&gt;&lt;/span&gt;s in&lt;span class="_ _7"&gt;&lt;/span&gt;ci-&lt;/span&gt;&lt;span style="display:inherit;clear:left;"&gt;den&lt;span class="_ _7"&gt;&lt;/span&gt;ta&lt;span class="_ _7"&gt;&lt;/span&gt;l to ow&lt;span class="_ _7"&gt;&lt;/span&gt;ne&lt;span class="_ _7"&gt;&lt;/span&gt;rs&lt;span class="_ _7"&gt;&lt;/span&gt;hi&lt;span class="_ _7"&gt;&lt;/span&gt;p of th&lt;span class="_ _7"&gt;&lt;/span&gt;e le&lt;span class="_ _7"&gt;&lt;/span&gt;as&lt;span class="_ _7"&gt;&lt;/span&gt;ed a&lt;span class="_ _7"&gt;&lt;/span&gt;s&lt;span class="_ _7"&gt;&lt;/span&gt;se&lt;span class="_ _7"&gt;&lt;/span&gt;t ar&lt;span class="_ _7"&gt;&lt;/span&gt;e tra&lt;span class="_ _7"&gt;&lt;/span&gt;ns&lt;span class="_ _7"&gt;&lt;/span&gt;f&lt;span class="_ _7"&gt;&lt;/span&gt;er&lt;span class="_ _7"&gt;&lt;/span&gt;re&lt;span class="_ _7"&gt;&lt;/span&gt;d to the l&lt;span class="_ _7"&gt;&lt;/span&gt;es-&lt;/span&gt;&lt;span style="display:inherit;clear:left;"&gt;se&lt;span class="_ _7"&gt;&lt;/span&gt;e, i&lt;span class="_ _7"&gt;&lt;/span&gt;t is c&lt;span class="_ _7"&gt;&lt;/span&gt;la&lt;span class="_ _7"&gt;&lt;/span&gt;s&lt;span class="_ _7"&gt;&lt;/span&gt;si&lt;span class="_ _7"&gt;&lt;/span&gt;fi&lt;span class="_ _7"&gt;&lt;/span&gt;ed a&lt;span class="_ _7"&gt;&lt;/span&gt;s a f&lt;span class="_ _7"&gt;&lt;/span&gt;ina&lt;span class="_ _7"&gt;&lt;/span&gt;nc&lt;span class="_ _7"&gt;&lt;/span&gt;e lea&lt;span class="_ _7"&gt;&lt;/span&gt;s&lt;span class="_ _7"&gt;&lt;/span&gt;e. If s&lt;span class="_ _7"&gt;&lt;/span&gt;ub&lt;span class="_ _7"&gt;&lt;/span&gt;s&lt;span class="_ _7"&gt;&lt;/span&gt;ta&lt;span class="_ _7"&gt;&lt;/span&gt;nti&lt;span class="_ _7"&gt;&lt;/span&gt;ally a&lt;span class="_ _7"&gt;&lt;/span&gt;ll th&lt;span class="_ _7"&gt;&lt;/span&gt;e ri&lt;span class="_ _7"&gt;&lt;/span&gt;sk&lt;span class="_ _7"&gt;&lt;/span&gt;s an&lt;span class="_ _7"&gt;&lt;/span&gt;d &lt;/span&gt;&lt;span style="display:inherit;clear:left;"&gt;rew&lt;span class="_ _7"&gt;&lt;/span&gt;ard&lt;span class="_ _7"&gt;&lt;/span&gt;s re&lt;span class="_ _7"&gt;&lt;/span&gt;ma&lt;span class="_ _7"&gt;&lt;/span&gt;in wi&lt;span class="_ _7"&gt;&lt;/span&gt;th Volvo C&lt;span class="_ _7"&gt;&lt;/span&gt;ar G&lt;span class="_ _7"&gt;&lt;/span&gt;rou&lt;span class="_ _7"&gt;&lt;/span&gt;p, i&lt;span class="_ _7"&gt;&lt;/span&gt;t is cl&lt;span class="_ _7"&gt;&lt;/span&gt;a&lt;span class="_ _7"&gt;&lt;/span&gt;s&lt;span class="_ _7"&gt;&lt;/span&gt;si&lt;span class="_ _7"&gt;&lt;/span&gt;fi&lt;span class="_ _7"&gt;&lt;/span&gt;ed a&lt;span class="_ _7"&gt;&lt;/span&gt;s an o&lt;span class="_ _7"&gt;&lt;/span&gt;pe&lt;span class="_ _7"&gt;&lt;/span&gt;rat&lt;span class="_ _7"&gt;&lt;/span&gt;ing &lt;/span&gt;&lt;span style="display:inherit;clear:left;"&gt;leas&lt;span class="_ _7"&gt;&lt;/span&gt;e.&lt;/span&gt;&lt;span style="display:inherit;clear:left;"&gt;Op&lt;span class="_ _7"&gt;&lt;/span&gt;erati&lt;span class="_ _7"&gt;&lt;/span&gt;ng leas&lt;span class="_ _7"&gt;&lt;/span&gt;es&lt;/span&gt;&lt;span style="display:inherit;clear:left;"&gt;Volvo Ca&lt;span class="_ _7"&gt;&lt;/span&gt;r Gro&lt;span class="_ _7"&gt;&lt;/span&gt;up’s op&lt;span class="_ _7"&gt;&lt;/span&gt;er&lt;span class="_ _7"&gt;&lt;/span&gt;ati&lt;span class="_ _7"&gt;&lt;/span&gt;ng le&lt;span class="_ _7"&gt;&lt;/span&gt;as&lt;span class="_ _7"&gt;&lt;/span&gt;e&lt;span class="_ _7"&gt;&lt;/span&gt;s con&lt;span class="_ _7"&gt;&lt;/span&gt;s&lt;span class="_ _7"&gt;&lt;/span&gt;is&lt;span class="_ _7"&gt;&lt;/span&gt;t pr&lt;span class="_ _7"&gt;&lt;/span&gt;im&lt;span class="_ _7"&gt;&lt;/span&gt;ari&lt;span class="_ _7"&gt;&lt;/span&gt;ly of c&lt;span class="_ _7"&gt;&lt;/span&gt;ar&lt;span class="_ _7"&gt;&lt;/span&gt;s u&lt;span class="_ _7"&gt;&lt;/span&gt;nd&lt;span class="_ _7"&gt;&lt;/span&gt;er a &lt;/span&gt;&lt;span style="display:inherit;clear:left;"&gt;sub&lt;span class="_ _7"&gt;&lt;/span&gt;s&lt;span class="_ _7"&gt;&lt;/span&gt;cr&lt;span class="_ _7"&gt;&lt;/span&gt;ipt&lt;span class="_ _7"&gt;&lt;/span&gt;ion c&lt;span class="_ _7"&gt;&lt;/span&gt;on&lt;span class="_ _7"&gt;&lt;/span&gt;tr&lt;span class="_ _7"&gt;&lt;/span&gt;act w&lt;span class="_ _7"&gt;&lt;/span&gt;it&lt;span class="_ _7"&gt;&lt;/span&gt;h a cus&lt;span class="_ _7"&gt;&lt;/span&gt;to&lt;span class="_ _7"&gt;&lt;/span&gt;me&lt;span class="_ _7"&gt;&lt;/span&gt;r (Car&lt;span class="_ _7"&gt;&lt;/span&gt;e by Volvo) and c&lt;span class="_ _7"&gt;&lt;/span&gt;ar&lt;span class="_ _7"&gt;&lt;/span&gt;s s&lt;span class="_ _7"&gt;&lt;/span&gt;old &lt;/span&gt;&lt;span style="display:inherit;clear:left;"&gt;wit&lt;span class="_ _7"&gt;&lt;/span&gt;h a re&lt;span class="_ _7"&gt;&lt;/span&gt;pur&lt;span class="_ _7"&gt;&lt;/span&gt;ch&lt;span class="_ _7"&gt;&lt;/span&gt;as&lt;span class="_ _7"&gt;&lt;/span&gt;e co&lt;span class="_ _7"&gt;&lt;/span&gt;mmi&lt;span class="_ _7"&gt;&lt;/span&gt;tm&lt;span class="_ _7"&gt;&lt;/span&gt;ent (f&lt;span class="_ _7"&gt;&lt;/span&gt;or ex&lt;span class="_ _7"&gt;&lt;/span&gt;amp&lt;span class="_ _7"&gt;&lt;/span&gt;le to f&lt;span class="_ _7"&gt;&lt;/span&gt;in&lt;span class="_ _7"&gt;&lt;/span&gt;an&lt;span class="_ _7"&gt;&lt;/span&gt;cia&lt;span class="_ _7"&gt;&lt;/span&gt;l in&lt;span class="_ _7"&gt;&lt;/span&gt;st&lt;span class="_ _7"&gt;&lt;/span&gt;itu&lt;span class="_ _7"&gt;&lt;/span&gt;tio&lt;span class="_ _7"&gt;&lt;/span&gt;ns &lt;/span&gt;&lt;span style="display:inherit;clear:left;"&gt;and r&lt;span class="_ _7"&gt;&lt;/span&gt;en&lt;span class="_ _7"&gt;&lt;/span&gt;ta&lt;span class="_ _7"&gt;&lt;/span&gt;l fle&lt;span class="_ _7"&gt;&lt;/span&gt;et c&lt;span class="_ _7"&gt;&lt;/span&gt;om&lt;span class="_ _7"&gt;&lt;/span&gt;pa&lt;span class="_ _7"&gt;&lt;/span&gt;nie&lt;span class="_ _7"&gt;&lt;/span&gt;s). The&lt;span class="_ _7"&gt;&lt;/span&gt;s&lt;span class="_ _7"&gt;&lt;/span&gt;e ca&lt;span class="_ _7"&gt;&lt;/span&gt;rs a&lt;span class="_ _7"&gt;&lt;/span&gt;re r&lt;span class="_ _7"&gt;&lt;/span&gt;ec&lt;span class="_ _7"&gt;&lt;/span&gt;ogn&lt;span class="_ _7"&gt;&lt;/span&gt;is&lt;span class="_ _7"&gt;&lt;/span&gt;e&lt;span class="_ _7"&gt;&lt;/span&gt;d on th&lt;span class="_ _7"&gt;&lt;/span&gt;e ba&lt;span class="_ _7"&gt;&lt;/span&gt;l-&lt;/span&gt;&lt;span style="display:inherit;clear:left;"&gt;anc&lt;span class="_ _7"&gt;&lt;/span&gt;e sh&lt;span class="_ _7"&gt;&lt;/span&gt;ee&lt;span class="_ _7"&gt;&lt;/span&gt;t at c&lt;span class="_ _7"&gt;&lt;/span&gt;os&lt;span class="_ _7"&gt;&lt;/span&gt;t le&lt;span class="_ _7"&gt;&lt;/span&gt;s&lt;span class="_ _7"&gt;&lt;/span&gt;s ac&lt;span class="_ _7"&gt;&lt;/span&gt;cum&lt;span class="_ _7"&gt;&lt;/span&gt;ul&lt;span class="_ _7"&gt;&lt;/span&gt;ate&lt;span class="_ _7"&gt;&lt;/span&gt;d de&lt;span class="_ _7"&gt;&lt;/span&gt;pre&lt;span class="_ _7"&gt;&lt;/span&gt;ci&lt;span class="_ _7"&gt;&lt;/span&gt;ati&lt;span class="_ _7"&gt;&lt;/span&gt;on a&lt;span class="_ _7"&gt;&lt;/span&gt;nd im&lt;span class="_ _7"&gt;&lt;/span&gt;pa&lt;span class="_ _7"&gt;&lt;/span&gt;ir&lt;span class="_ _7"&gt;&lt;/span&gt;me&lt;span class="_ _7"&gt;&lt;/span&gt;nt &lt;/span&gt;&lt;span style="display:inherit;clear:left;"&gt;and c&lt;span class="_ _7"&gt;&lt;/span&gt;la&lt;span class="_ _7"&gt;&lt;/span&gt;s&lt;span class="_ _7"&gt;&lt;/span&gt;si&lt;span class="_ _7"&gt;&lt;/span&gt;f&lt;span class="_ _7"&gt;&lt;/span&gt;ie&lt;span class="_ _7"&gt;&lt;/span&gt;d as A&lt;span class="_ _7"&gt;&lt;/span&gt;s&lt;span class="_ _7"&gt;&lt;/span&gt;se&lt;span class="_ _7"&gt;&lt;/span&gt;ts u&lt;span class="_ _7"&gt;&lt;/span&gt;nd&lt;span class="_ _7"&gt;&lt;/span&gt;er o&lt;span class="_ _7"&gt;&lt;/span&gt;pe&lt;span class="_ _7"&gt;&lt;/span&gt;ra&lt;span class="_ _7"&gt;&lt;/span&gt;ting l&lt;span class="_ _7"&gt;&lt;/span&gt;ea&lt;span class="_ _7"&gt;&lt;/span&gt;se (s&lt;span class="_ _7"&gt;&lt;/span&gt;ee N&lt;span class="_ _7"&gt;&lt;/span&gt;ote 16 – T&lt;span class="_ _2"&gt;&lt;/span&gt;ang&lt;span class="_ _7"&gt;&lt;/span&gt;i-&lt;/span&gt;&lt;span style="display:inherit;clear:left;"&gt;ble a&lt;span class="_ _7"&gt;&lt;/span&gt;s&lt;span class="_ _7"&gt;&lt;/span&gt;s&lt;span class="_ _7"&gt;&lt;/span&gt;et&lt;span class="_ _7"&gt;&lt;/span&gt;s). &lt;span&gt;&lt;span style="display:inherit;clear:left;"&gt;For sub&lt;span class="_ _7"&gt;&lt;/span&gt;s&lt;span class="_ _7"&gt;&lt;/span&gt;cri&lt;span class="_ _7"&gt;&lt;/span&gt;pti&lt;span class="_ _7"&gt;&lt;/span&gt;on c&lt;span class="_ _7"&gt;&lt;/span&gt;ont&lt;span class="_ _7"&gt;&lt;/span&gt;ra&lt;span class="_ _7"&gt;&lt;/span&gt;ct&lt;span class="_ _7"&gt;&lt;/span&gt;s&lt;span class="_ _7"&gt;&lt;/span&gt;, lea&lt;span class="_ _7"&gt;&lt;/span&gt;s&lt;span class="_ _7"&gt;&lt;/span&gt;e inc&lt;span class="_ _7"&gt;&lt;/span&gt;om&lt;span class="_ _7"&gt;&lt;/span&gt;e is r&lt;span class="_ _7"&gt;&lt;/span&gt;ec&lt;span class="_ _7"&gt;&lt;/span&gt;og&lt;span class="_ _7"&gt;&lt;/span&gt;ni&lt;span class="_ _7"&gt;&lt;/span&gt;se&lt;span class="_ _7"&gt;&lt;/span&gt;d &lt;/span&gt;&lt;/span&gt;&lt;/span&gt;&lt;span style="display:inherit;clear:left;"&gt;as re&lt;span class="_ _7"&gt;&lt;/span&gt;ven&lt;span class="_ _7"&gt;&lt;/span&gt;ue o&lt;span class="_ _7"&gt;&lt;/span&gt;n a st&lt;span class="_ _7"&gt;&lt;/span&gt;ra&lt;span class="_ _7"&gt;&lt;/span&gt;igh&lt;span class="_ _7"&gt;&lt;/span&gt;t&lt;span class="_ _2"&gt;&lt;/span&gt;-lin&lt;span class="_ _7"&gt;&lt;/span&gt;e ba&lt;span class="_ _7"&gt;&lt;/span&gt;si&lt;span class="_ _7"&gt;&lt;/span&gt;s ove&lt;span class="_ _7"&gt;&lt;/span&gt;r the l&lt;span class="_ _7"&gt;&lt;/span&gt;ea&lt;span class="_ _7"&gt;&lt;/span&gt;se t&lt;span class="_ _7"&gt;&lt;/span&gt;er&lt;span class="_ _7"&gt;&lt;/span&gt;m. Fo&lt;span class="_ _7"&gt;&lt;/span&gt;r re&lt;span class="_ _7"&gt;&lt;/span&gt;pur-&lt;/span&gt;&lt;span style="display:inherit;clear:left;"&gt;chase commitment&lt;span class="_ _2"&gt;&lt;/span&gt; contracts&lt;span class="_ _7"&gt;&lt;/span&gt;, deferred re&lt;span class="_ _2"&gt;&lt;/span&gt;venue is recognised as&lt;span class="_ _2"&gt;&lt;/span&gt; &lt;/span&gt;&lt;span style="display:inherit;clear:left;"&gt;Co&lt;span class="_ _7"&gt;&lt;/span&gt;ntr&lt;span class="_ _7"&gt;&lt;/span&gt;ac&lt;span class="_ _7"&gt;&lt;/span&gt;t li&lt;span class="_ _7"&gt;&lt;/span&gt;abi&lt;span class="_ _7"&gt;&lt;/span&gt;lit&lt;span class="_ _7"&gt;&lt;/span&gt;ie&lt;span class="_ _7"&gt;&lt;/span&gt;s to cu&lt;span class="_ _7"&gt;&lt;/span&gt;st&lt;span class="_ _7"&gt;&lt;/span&gt;ome&lt;span class="_ _7"&gt;&lt;/span&gt;r&lt;span class="_ _7"&gt;&lt;/span&gt;s&lt;span class="_ _7"&gt;&lt;/span&gt;, se&lt;span class="_ _7"&gt;&lt;/span&gt;e Not&lt;span class="_ _7"&gt;&lt;/span&gt;e 2 - Reve&lt;span class="_ _7"&gt;&lt;/span&gt;nue&lt;span class="_ _7"&gt;&lt;/span&gt;, at th&lt;span class="_ _7"&gt;&lt;/span&gt;e ti&lt;span class="_ _7"&gt;&lt;/span&gt;me &lt;/span&gt;&lt;span style="display:inherit;clear:left;"&gt;the v&lt;span class="_ _7"&gt;&lt;/span&gt;ehi&lt;span class="_ _7"&gt;&lt;/span&gt;cle i&lt;span class="_ _7"&gt;&lt;/span&gt;s s&lt;span class="_ _7"&gt;&lt;/span&gt;old (eq&lt;span class="_ _7"&gt;&lt;/span&gt;ua&lt;span class="_ _7"&gt;&lt;/span&gt;l to the s&lt;span class="_ _7"&gt;&lt;/span&gt;a&lt;span class="_ _7"&gt;&lt;/span&gt;le&lt;span class="_ _7"&gt;&lt;/span&gt;s pr&lt;span class="_ _7"&gt;&lt;/span&gt;ice r&lt;span class="_ _7"&gt;&lt;/span&gt;ec&lt;span class="_ _7"&gt;&lt;/span&gt;ei&lt;span class="_ _7"&gt;&lt;/span&gt;ve&lt;span class="_ _7"&gt;&lt;/span&gt;d fr&lt;span class="_ _7"&gt;&lt;/span&gt;om th&lt;span class="_ _7"&gt;&lt;/span&gt;e cu&lt;span class="_ _7"&gt;&lt;/span&gt;s-&lt;/span&gt;&lt;span style="display:inherit;clear:left;"&gt;tom&lt;span class="_ _7"&gt;&lt;/span&gt;er le&lt;span class="_ _7"&gt;&lt;/span&gt;s&lt;span class="_ _7"&gt;&lt;/span&gt;s th&lt;span class="_ _7"&gt;&lt;/span&gt;e ag&lt;span class="_ _7"&gt;&lt;/span&gt;re&lt;span class="_ _7"&gt;&lt;/span&gt;ed re&lt;span class="_ _7"&gt;&lt;/span&gt;pu&lt;span class="_ _7"&gt;&lt;/span&gt;rch&lt;span class="_ _7"&gt;&lt;/span&gt;as&lt;span class="_ _7"&gt;&lt;/span&gt;e v&lt;span class="_ _7"&gt;&lt;/span&gt;alue t&lt;span class="_ _7"&gt;&lt;/span&gt;ha&lt;span class="_ _7"&gt;&lt;/span&gt;t Volvo Ca&lt;span class="_ _7"&gt;&lt;/span&gt;r Gro&lt;span class="_ _7"&gt;&lt;/span&gt;up i&lt;span class="_ _7"&gt;&lt;/span&gt;s &lt;/span&gt;&lt;span style="display:inherit;clear:left;"&gt;con&lt;span class="_ _7"&gt;&lt;/span&gt;tr&lt;span class="_ _7"&gt;&lt;/span&gt;ac&lt;span class="_ _7"&gt;&lt;/span&gt;tua&lt;span class="_ _7"&gt;&lt;/span&gt;lly o&lt;span class="_ _7"&gt;&lt;/span&gt;bli&lt;span class="_ _7"&gt;&lt;/span&gt;ga&lt;span class="_ _7"&gt;&lt;/span&gt;ted to p&lt;span class="_ _7"&gt;&lt;/span&gt;ay i&lt;span class="_ _7"&gt;&lt;/span&gt;n the f&lt;span class="_ _7"&gt;&lt;/span&gt;ut&lt;span class="_ _7"&gt;&lt;/span&gt;ure) an&lt;span class="_ _7"&gt;&lt;/span&gt;d re&lt;span class="_ _7"&gt;&lt;/span&gt;cog&lt;span class="_ _7"&gt;&lt;/span&gt;ni&lt;span c</t>
  </si>
  <si>
    <t>f1__s8__6__7</t>
  </si>
  <si>
    <t>ifrs-full:DomicileOfEntity</t>
  </si>
  <si>
    <t>Sweden</t>
  </si>
  <si>
    <t>f1__s8__6__70-1</t>
  </si>
  <si>
    <t>ifrs-full:DescriptionOfAccountingPolicyForFinancialLiabilitiesExplanatory</t>
  </si>
  <si>
    <t>f1__s8__6__77-1</t>
  </si>
  <si>
    <t>ifrs-full:DisclosureOfInformationAboutEmployeesExplanatory</t>
  </si>
  <si>
    <t>&lt;span style="display:inherit;clear:left;"&gt;NOT&lt;span class="_ _7"&gt;&lt;/span&gt;E 8&lt;/span&gt;&lt;span style="display:inherit;clear:left;"&gt;EMP&lt;span class="_ _7"&gt;&lt;/span&gt;LOYEES AND R&lt;span class="_ _7"&gt;&lt;/span&gt;EM&lt;span class="_ _7"&gt;&lt;/span&gt;UN&lt;span class="_ _7"&gt;&lt;/span&gt;ER&lt;span class="_ _7"&gt;&lt;/span&gt;A&lt;span class="_ _2"&gt;&lt;/span&gt;TI&lt;span class="_ _7"&gt;&lt;/span&gt;ON&lt;/span&gt;&lt;span style="display:inherit;clear:left;"&gt;ACCOUNTING&lt;span class="_ _2"&gt;&lt;/span&gt; POLICIES&lt;/span&gt;&lt;span style="display:inherit;clear:left;"&gt;Incentive&lt;span class="_ _2"&gt;&lt;/span&gt; programmes&lt;/span&gt;&lt;span style="display:inherit;clear:left;"&gt;Volvo Ca&lt;span class="_ _7"&gt;&lt;/span&gt;r Gro&lt;span class="_ _7"&gt;&lt;/span&gt;up m&lt;span class="_ _7"&gt;&lt;/span&gt;an&lt;span class="_ _7"&gt;&lt;/span&gt;age&lt;span class="_ _7"&gt;&lt;/span&gt;s a tot&lt;span class="_ _7"&gt;&lt;/span&gt;al o&lt;span class="_ _7"&gt;&lt;/span&gt;f fo&lt;span class="_ _7"&gt;&lt;/span&gt;ur di&lt;span class="_ _7"&gt;&lt;/span&gt;f&lt;span class="_ _7"&gt;&lt;/span&gt;f&lt;span class="_ _7"&gt;&lt;/span&gt;er&lt;span class="_ _7"&gt;&lt;/span&gt;ent g&lt;span class="_ _7"&gt;&lt;/span&gt;lob&lt;span class="_ _7"&gt;&lt;/span&gt;al i&lt;span class="_ _7"&gt;&lt;/span&gt;nc&lt;span class="_ _7"&gt;&lt;/span&gt;ent&lt;span class="_ _7"&gt;&lt;/span&gt;ive &lt;/span&gt;&lt;span style="display:inherit;clear:left;"&gt;pro&lt;span class="_ _7"&gt;&lt;/span&gt;gr&lt;span class="_ _7"&gt;&lt;/span&gt;am&lt;span class="_ _7"&gt;&lt;/span&gt;me&lt;span class="_ _7"&gt;&lt;/span&gt;s&lt;span class="_ _7"&gt;&lt;/span&gt;, wh&lt;span class="_ _7"&gt;&lt;/span&gt;ere&lt;span class="_ _7"&gt;&lt;/span&gt;of t&lt;span class="_ _7"&gt;&lt;/span&gt;w&lt;span class="_ _7"&gt;&lt;/span&gt;o are s&lt;span class="_ _7"&gt;&lt;/span&gt;ho&lt;span class="_ _7"&gt;&lt;/span&gt;r&lt;span class="_ _7"&gt;&lt;/span&gt;t&lt;span class="_ _2"&gt;&lt;/span&gt;-term a&lt;span class="_ _7"&gt;&lt;/span&gt;nd t&lt;span class="_ _7"&gt;&lt;/span&gt;wo a&lt;span class="_ _7"&gt;&lt;/span&gt;re lo&lt;span class="_ _7"&gt;&lt;/span&gt;ng-term&lt;span class="_ _7"&gt;&lt;/span&gt;.&lt;span class="fc9"&gt;  &lt;/span&gt;&lt;/span&gt;&lt;span style="display:inherit;clear:left;"&gt;Short&lt;span class="_ _6"&gt;&lt;/span&gt;-t&lt;span class="_ _2"&gt;&lt;/span&gt;erm&lt;/span&gt;&lt;span style="display:inherit;clear:left;"&gt;• &lt;span class="_ _17"&gt; &lt;/span&gt;&lt;span class="lsc7 wsed"&gt;The Short&lt;span class="_ _2"&gt;&lt;/span&gt;-&lt;span class="_ _6"&gt;&lt;/span&gt;T&lt;span class="_ _6"&gt;&lt;/span&gt;er&lt;span class="_ _7"&gt;&lt;/span&gt;m V&lt;span class="_ _2"&gt;&lt;/span&gt;ariable Pa&lt;span class="_ _2"&gt;&lt;/span&gt;y Programme for&lt;span class="_ _2"&gt;&lt;/span&gt; Senior Leaders &lt;/span&gt;&lt;/span&gt;&lt;span style="display:inherit;clear:left;"&gt;(STVP&lt;span class="_ _2"&gt;&lt;/span&gt; for Senior Leaders)&lt;/span&gt;&lt;span style="display:inherit;clear:left;"&gt;• &lt;span class="_ _17"&gt; &lt;/span&gt;T&lt;span class="_ _7"&gt;&lt;/span&gt;he Volvo B&lt;span class="_ _7"&gt;&lt;/span&gt;onu&lt;span class="_ _7"&gt;&lt;/span&gt;s pr&lt;span class="_ _7"&gt;&lt;/span&gt;og&lt;span class="_ _7"&gt;&lt;/span&gt;ra&lt;span class="_ _7"&gt;&lt;/span&gt;mm&lt;span class="_ _7"&gt;&lt;/span&gt;e&lt;span class="fc9"&gt; &lt;/span&gt;&lt;/span&gt;&lt;span style="display:inherit;clear:left;"&gt;L&lt;span class="_ _7"&gt;&lt;/span&gt;o&lt;span class="_ _7"&gt;&lt;/span&gt;n&lt;span class="_ _7"&gt;&lt;/span&gt;g&lt;span class="_ _7"&gt;&lt;/span&gt;-t&lt;span class="_ _7"&gt;&lt;/span&gt;e&lt;span class="_ _7"&gt;&lt;/span&gt;r&lt;span class="_ _7"&gt;&lt;/span&gt;m&lt;/span&gt;&lt;span style="display:inherit;clear:left;"&gt;• &lt;span class="_ _17"&gt; &lt;/span&gt;T&lt;span class="_ _7"&gt;&lt;/span&gt;he Pe&lt;span class="_ _7"&gt;&lt;/span&gt;r&lt;span class="_ _7"&gt;&lt;/span&gt;fo&lt;span class="_ _7"&gt;&lt;/span&gt;rm&lt;span class="_ _7"&gt;&lt;/span&gt;an&lt;span class="_ _7"&gt;&lt;/span&gt;ce s&lt;span class="_ _7"&gt;&lt;/span&gt;har&lt;span class="_ _7"&gt;&lt;/span&gt;e pr&lt;span class="_ _7"&gt;&lt;/span&gt;og&lt;span class="_ _7"&gt;&lt;/span&gt;ra&lt;span class="_ _7"&gt;&lt;/span&gt;mme (&lt;span class="_ _7"&gt;&lt;/span&gt;PSP)&lt;/span&gt;&lt;span style="display:inherit;clear:left;"&gt;• &lt;span class="_ _17"&gt; &lt;/span&gt;T&lt;span class="_ _7"&gt;&lt;/span&gt;he Emp&lt;span class="_ _7"&gt;&lt;/span&gt;loy&lt;span class="_ _7"&gt;&lt;/span&gt;ee s&lt;span class="_ _7"&gt;&lt;/span&gt;ha&lt;span class="_ _7"&gt;&lt;/span&gt;re ma&lt;span class="_ _7"&gt;&lt;/span&gt;tch&lt;span class="_ _7"&gt;&lt;/span&gt;ing p&lt;span class="_ _7"&gt;&lt;/span&gt;rog&lt;span class="_ _7"&gt;&lt;/span&gt;r&lt;span class="_ _7"&gt;&lt;/span&gt;amm&lt;span class="_ _7"&gt;&lt;/span&gt;e (ESM&lt;span class="_ _7"&gt;&lt;/span&gt;P)&lt;/span&gt;&lt;span style="display:inherit;clear:left;"&gt;Th&lt;span class="_ _7"&gt;&lt;/span&gt;e de&lt;span class="_ _7"&gt;&lt;/span&gt;sig&lt;span class="_ _7"&gt;&lt;/span&gt;n an&lt;span class="_ _7"&gt;&lt;/span&gt;d pa&lt;span class="_ _7"&gt;&lt;/span&gt;y-out o&lt;span class="_ _7"&gt;&lt;/span&gt;f all p&lt;span class="_ _7"&gt;&lt;/span&gt;ro&lt;span class="_ _7"&gt;&lt;/span&gt;gr&lt;span class="_ _7"&gt;&lt;/span&gt;am&lt;span class="_ _7"&gt;&lt;/span&gt;me&lt;span class="_ _7"&gt;&lt;/span&gt;s ar&lt;span class="_ _7"&gt;&lt;/span&gt;e sub&lt;span class="_ _7"&gt;&lt;/span&gt;je&lt;span class="_ _7"&gt;&lt;/span&gt;ct to a&lt;span class="_ _7"&gt;&lt;/span&gt;pp&lt;span class="_ _7"&gt;&lt;/span&gt;rov&lt;span class="_ _7"&gt;&lt;/span&gt;al &lt;/span&gt;&lt;span style="display:inherit;clear:left;"&gt;by th&lt;span class="_ _7"&gt;&lt;/span&gt;e Bo&lt;span class="_ _7"&gt;&lt;/span&gt;ard o&lt;span class="_ _7"&gt;&lt;/span&gt;f Di&lt;span class="_ _7"&gt;&lt;/span&gt;re&lt;span class="_ _7"&gt;&lt;/span&gt;cto&lt;span class="_ _7"&gt;&lt;/span&gt;r&lt;span class="_ _7"&gt;&lt;/span&gt;s. T&lt;span class="_ _7"&gt;&lt;/span&gt;he s&lt;span class="_ _7"&gt;&lt;/span&gt;ha&lt;span class="_ _7"&gt;&lt;/span&gt;re-b&lt;span class="_ _7"&gt;&lt;/span&gt;as&lt;span class="_ _7"&gt;&lt;/span&gt;ed p&lt;span class="_ _7"&gt;&lt;/span&gt;rog&lt;span class="_ _7"&gt;&lt;/span&gt;r&lt;span class="_ _7"&gt;&lt;/span&gt;amm&lt;span class="_ _7"&gt;&lt;/span&gt;e&lt;span class="_ _7"&gt;&lt;/span&gt;s are s&lt;span class="_ _7"&gt;&lt;/span&gt;ub&lt;span class="_ _7"&gt;&lt;/span&gt;je&lt;span class="_ _7"&gt;&lt;/span&gt;ct &lt;/span&gt;&lt;span style="display:inherit;clear:left;"&gt;to de&lt;span class="_ _7"&gt;&lt;/span&gt;ci&lt;span class="_ _7"&gt;&lt;/span&gt;sio&lt;span class="_ _7"&gt;&lt;/span&gt;n by th&lt;span class="_ _7"&gt;&lt;/span&gt;e An&lt;span class="_ _7"&gt;&lt;/span&gt;nua&lt;span class="_ _7"&gt;&lt;/span&gt;l Ge&lt;span class="_ _7"&gt;&lt;/span&gt;ne&lt;span class="_ _7"&gt;&lt;/span&gt;ra&lt;span class="_ _7"&gt;&lt;/span&gt;l Me&lt;span class="_ _7"&gt;&lt;/span&gt;eti&lt;span class="_ _7"&gt;&lt;/span&gt;ng. &lt;/span&gt;&lt;span style="display:inherit;clear:left;"&gt;Short&lt;span class="_ _6"&gt;&lt;/span&gt;-t&lt;span class="_ _2"&gt;&lt;/span&gt;erm incentiv&lt;span class="_ _2"&gt;&lt;/span&gt;e programmes&lt;/span&gt;&lt;span style="display:inherit;clear:left;"&gt;For th&lt;span class="_ _7"&gt;&lt;/span&gt;e sh&lt;span class="_ _7"&gt;&lt;/span&gt;or&lt;span class="_ _7"&gt;&lt;/span&gt;t-&lt;span class="_ _2"&gt;&lt;/span&gt;ter&lt;span class="_ _7"&gt;&lt;/span&gt;m in&lt;span class="_ _7"&gt;&lt;/span&gt;ce&lt;span class="_ _7"&gt;&lt;/span&gt;nti&lt;span class="_ _7"&gt;&lt;/span&gt;ve pr&lt;span class="_ _7"&gt;&lt;/span&gt;og&lt;span class="_ _7"&gt;&lt;/span&gt;ra&lt;span class="_ _7"&gt;&lt;/span&gt;mm&lt;span class="_ _7"&gt;&lt;/span&gt;es a l&lt;span class="_ _7"&gt;&lt;/span&gt;iab&lt;span class="_ _7"&gt;&lt;/span&gt;ili&lt;span class="_ _7"&gt;&lt;/span&gt;t&lt;span class="_ _7"&gt;&lt;/span&gt;y is r&lt;span class="_ _7"&gt;&lt;/span&gt;ec&lt;span class="_ _7"&gt;&lt;/span&gt;og&lt;span class="_ _7"&gt;&lt;/span&gt;ni&lt;span class="_ _7"&gt;&lt;/span&gt;se&lt;span class="_ _7"&gt;&lt;/span&gt;d if &lt;/span&gt;&lt;span style="display:inherit;clear:left;"&gt;all p&lt;span class="_ _7"&gt;&lt;/span&gt;re&lt;span class="_ _7"&gt;&lt;/span&gt;re&lt;span class="_ _7"&gt;&lt;/span&gt;qui&lt;span class="_ _7"&gt;&lt;/span&gt;si&lt;span class="_ _7"&gt;&lt;/span&gt;te&lt;span class="_ _7"&gt;&lt;/span&gt;s are m&lt;span class="_ _7"&gt;&lt;/span&gt;et a&lt;span class="_ _7"&gt;&lt;/span&gt;nd th&lt;span class="_ _7"&gt;&lt;/span&gt;e co&lt;span class="_ _7"&gt;&lt;/span&gt;s&lt;span class="_ _7"&gt;&lt;/span&gt;t is r&lt;span class="_ _7"&gt;&lt;/span&gt;ec&lt;span class="_ _7"&gt;&lt;/span&gt;ogn&lt;span class="_ _7"&gt;&lt;/span&gt;is&lt;span class="_ _7"&gt;&lt;/span&gt;e&lt;span class="_ _7"&gt;&lt;/span&gt;d as an o&lt;span class="_ _7"&gt;&lt;/span&gt;pe&lt;span class="_ _7"&gt;&lt;/span&gt;ra&lt;span class="_ _7"&gt;&lt;/span&gt;tin&lt;span class="_ _7"&gt;&lt;/span&gt;g &lt;/span&gt;&lt;span style="display:inherit;clear:left;"&gt;expense.&lt;span class="_ _2"&gt;&lt;/span&gt; &lt;/span&gt;&lt;span style="display:inherit;clear:left;"&gt;Long-&lt;span class="_ _2"&gt;&lt;/span&gt;term i&lt;span class="_ _7"&gt;&lt;/span&gt;nc&lt;span class="_ _7"&gt;&lt;/span&gt;enti&lt;span class="_ _7"&gt;&lt;/span&gt;ve prog&lt;span class="_ _7"&gt;&lt;/span&gt;ram&lt;span class="_ _7"&gt;&lt;/span&gt;mes&lt;/span&gt;&lt;span style="display:inherit;clear:left;"&gt;For in&lt;span class="_ _7"&gt;&lt;/span&gt;fo&lt;span class="_ _7"&gt;&lt;/span&gt;rm&lt;span class="_ _7"&gt;&lt;/span&gt;ati&lt;span class="_ _7"&gt;&lt;/span&gt;on o&lt;span class="_ _7"&gt;&lt;/span&gt;n sh&lt;span class="_ _7"&gt;&lt;/span&gt;are&lt;span class="_ _7"&gt;&lt;/span&gt;-bas&lt;span class="_ _7"&gt;&lt;/span&gt;e&lt;span class="_ _7"&gt;&lt;/span&gt;d pro&lt;span class="_ _7"&gt;&lt;/span&gt;gr&lt;span class="_ _7"&gt;&lt;/span&gt;am&lt;span class="_ _7"&gt;&lt;/span&gt;me&lt;span class="_ _7"&gt;&lt;/span&gt;s&lt;span class="_ _7"&gt;&lt;/span&gt;, se&lt;span class="_ _7"&gt;&lt;/span&gt;e No&lt;span class="_ _7"&gt;&lt;/span&gt;te 9 – Sh&lt;span class="_ _7"&gt;&lt;/span&gt;are-&lt;/span&gt;&lt;span style="display:inherit;clear:left;"&gt;based remuneration. &lt;/span&gt;&lt;span style="display:inherit;clear:left;"&gt;Restructuring&lt;/span&gt;&lt;span style="display:inherit;clear:left;"&gt;Volvo Ca&lt;span class="_ _7"&gt;&lt;/span&gt;r Gro&lt;span class="_ _7"&gt;&lt;/span&gt;up f&lt;span class="_ _7"&gt;&lt;/span&gt;ro&lt;span class="_ _7"&gt;&lt;/span&gt;m tim&lt;span class="_ _7"&gt;&lt;/span&gt;e-to-&lt;span class="_ _2"&gt;&lt;/span&gt;ti&lt;span class="_ _7"&gt;&lt;/span&gt;me e&lt;span class="_ _7"&gt;&lt;/span&gt;ng&lt;span class="_ _7"&gt;&lt;/span&gt;age i&lt;span class="_ _7"&gt;&lt;/span&gt;n re&lt;span class="_ _7"&gt;&lt;/span&gt;st&lt;span class="_ _7"&gt;&lt;/span&gt;ru&lt;span class="_ _7"&gt;&lt;/span&gt;ctu&lt;span class="_ _7"&gt;&lt;/span&gt;ri&lt;span class="_ _7"&gt;&lt;/span&gt;ng pr&lt;span class="_ _7"&gt;&lt;/span&gt;o-&lt;/span&gt;&lt;span style="display:inherit;clear:left;"&gt;gr&lt;span class="_ _7"&gt;&lt;/span&gt;am&lt;span class="_ _7"&gt;&lt;/span&gt;me&lt;span class="_ _7"&gt;&lt;/span&gt;s to re&lt;span class="_ _7"&gt;&lt;/span&gt;du&lt;span class="_ _7"&gt;&lt;/span&gt;ce co&lt;span class="_ _7"&gt;&lt;/span&gt;s&lt;span class="_ _7"&gt;&lt;/span&gt;t an&lt;span class="_ _7"&gt;&lt;/span&gt;d dr&lt;span class="_ _7"&gt;&lt;/span&gt;ive e&lt;span class="_ _7"&gt;&lt;/span&gt;f&lt;span class="_ _7"&gt;&lt;/span&gt;f&lt;span class="_ _7"&gt;&lt;/span&gt;ic&lt;span class="_ _7"&gt;&lt;/span&gt;ien&lt;span class="_ _7"&gt;&lt;/span&gt;ci&lt;span class="_ _7"&gt;&lt;/span&gt;es&lt;span class="_ _7"&gt;&lt;/span&gt;. Su&lt;span class="_ _7"&gt;&lt;/span&gt;ch p&lt;span class="_ _7"&gt;&lt;/span&gt;rog&lt;span class="_ _7"&gt;&lt;/span&gt;r&lt;span class="_ _7"&gt;&lt;/span&gt;amm&lt;span class="_ _7"&gt;&lt;/span&gt;es &lt;/span&gt;&lt;span style="display:inherit;clear:left;"&gt;may i&lt;span class="_ _7"&gt;&lt;/span&gt;nvol&lt;span class="_ _7"&gt;&lt;/span&gt;ve a re&lt;span class="_ _7"&gt;&lt;/span&gt;dun&lt;span class="_ _7"&gt;&lt;/span&gt;da&lt;span class="_ _7"&gt;&lt;/span&gt;nc&lt;span class="_ _7"&gt;&lt;/span&gt;y of e&lt;span class="_ _7"&gt;&lt;/span&gt;mpl&lt;span class="_ _7"&gt;&lt;/span&gt;oyee&lt;span class="_ _7"&gt;&lt;/span&gt;s&lt;span class="_ _7"&gt;&lt;/span&gt;. Wh&lt;span class="_ _7"&gt;&lt;/span&gt;en a d&lt;span class="_ _7"&gt;&lt;/span&gt;et&lt;span class="_ _7"&gt;&lt;/span&gt;ail&lt;span class="_ _7"&gt;&lt;/span&gt;ed a&lt;span class="_ _7"&gt;&lt;/span&gt;nd fo&lt;span class="_ _7"&gt;&lt;/span&gt;rm&lt;span class="_ _7"&gt;&lt;/span&gt;al &lt;/span&gt;&lt;span style="display:inherit;clear:left;"&gt;pl&lt;span class="_ _7"&gt;&lt;/span&gt;an o&lt;span class="_ _7"&gt;&lt;/span&gt;f re&lt;span class="_ _7"&gt;&lt;/span&gt;st&lt;span class="_ _7"&gt;&lt;/span&gt;ru&lt;span class="_ _7"&gt;&lt;/span&gt;ct&lt;span class="_ _7"&gt;&lt;/span&gt;uri&lt;span class="_ _7"&gt;&lt;/span&gt;ng h&lt;span class="_ _7"&gt;&lt;/span&gt;as b&lt;span class="_ _7"&gt;&lt;/span&gt;ee&lt;span class="_ _7"&gt;&lt;/span&gt;n pub&lt;span class="_ _7"&gt;&lt;/span&gt;li&lt;span class="_ _7"&gt;&lt;/span&gt;cly an&lt;span class="_ _7"&gt;&lt;/span&gt;no&lt;span class="_ _7"&gt;&lt;/span&gt;un&lt;span class="_ _7"&gt;&lt;/span&gt;ce&lt;span class="_ _7"&gt;&lt;/span&gt;d, th&lt;span class="_ _7"&gt;&lt;/span&gt;e am&lt;span class="_ _7"&gt;&lt;/span&gt;ou&lt;span class="_ _7"&gt;&lt;/span&gt;nt&lt;span class="_ _7"&gt;&lt;/span&gt;s of &lt;/span&gt;&lt;span style="display:inherit;clear:left;"&gt;pro&lt;span class="_ _7"&gt;&lt;/span&gt;vi&lt;span class="_ _7"&gt;&lt;/span&gt;si&lt;span class="_ _7"&gt;&lt;/span&gt;on ar&lt;span class="_ _7"&gt;&lt;/span&gt;e de&lt;span class="_ _7"&gt;&lt;/span&gt;ter&lt;span class="_ _7"&gt;&lt;/span&gt;mi&lt;span class="_ _7"&gt;&lt;/span&gt;ne&lt;span class="_ _7"&gt;&lt;/span&gt;d ba&lt;span class="_ _7"&gt;&lt;/span&gt;se&lt;span class="_ _7"&gt;&lt;/span&gt;d on t&lt;span class="_ _7"&gt;&lt;/span&gt;he tot&lt;span class="_ _7"&gt;&lt;/span&gt;al d&lt;span class="_ _7"&gt;&lt;/span&gt;ir&lt;span class="_ _7"&gt;&lt;/span&gt;ec&lt;span class="_ _7"&gt;&lt;/span&gt;t exp&lt;span class="_ _7"&gt;&lt;/span&gt;en&lt;span class="_ _7"&gt;&lt;/span&gt;di&lt;span class="_ _7"&gt;&lt;/span&gt;tur&lt;span class="_ _7"&gt;&lt;/span&gt;e  &lt;/span&gt;&lt;span style="display:inherit;clear:left;"&gt;ari&lt;span class="_ _7"&gt;&lt;/span&gt;si&lt;span class="_ _7"&gt;&lt;/span&gt;ng f&lt;span class="_ _7"&gt;&lt;/span&gt;ro&lt;span class="_ _7"&gt;&lt;/span&gt;m the r&lt;span class="_ _7"&gt;&lt;/span&gt;es&lt;span class="_ _7"&gt;&lt;/span&gt;tr&lt;span class="_ _7"&gt;&lt;/span&gt;uc&lt;span class="_ _7"&gt;&lt;/span&gt;tu&lt;span class="_ _7"&gt;&lt;/span&gt;rin&lt;span class="_ _7"&gt;&lt;/span&gt;g wh&lt;span class="_ _7"&gt;&lt;/span&gt;en th&lt;span class="_ _7"&gt;&lt;/span&gt;e re&lt;span class="_ _7"&gt;&lt;/span&gt;cog&lt;span class="_ _7"&gt;&lt;/span&gt;ni&lt;span class="_ _7"&gt;&lt;/span&gt;ti&lt;span class="_ _7"&gt;&lt;/span&gt;on  &lt;span class="_ _b3"&gt;&lt;/span&gt;cri&lt;span class="_ _7"&gt;&lt;/span&gt;ter&lt;span class="_ _7"&gt;&lt;/span&gt;ia f&lt;span class="_ _7"&gt;&lt;/span&gt;or  &lt;/span&gt;&lt;span style="display:inherit;clear:left;"&gt;pro&lt;span class="_ _7"&gt;&lt;/span&gt;vi&lt;span class="_ _7"&gt;&lt;/span&gt;si&lt;span class="_ _7"&gt;&lt;/span&gt;on&lt;span class="_ _7"&gt;&lt;/span&gt;s are m&lt;span class="_ _7"&gt;&lt;/span&gt;et&lt;span class="_ _7"&gt;&lt;/span&gt;, s&lt;span class="_ _7"&gt;&lt;/span&gt;ee No&lt;span class="_ _7"&gt;&lt;/span&gt;te 23 – Cu&lt;span class="_ _7"&gt;&lt;/span&gt;rre&lt;span class="_ _7"&gt;&lt;/span&gt;nt a&lt;span class="_ _7"&gt;&lt;/span&gt;nd ot&lt;span class="_ _7"&gt;&lt;/span&gt;he&lt;span class="_ _7"&gt;&lt;/span&gt;r non-c&lt;span class="_ _7"&gt;&lt;/span&gt;ur&lt;span class="_ _7"&gt;&lt;/span&gt;ren&lt;span class="_ _7"&gt;&lt;/span&gt;t &lt;/span&gt;&lt;span style="display:inherit;clear:left;"&gt;provisions.&lt;/span&gt;&lt;span style="display:inherit;clear:left;position:relative;height:222.603515625px;"&gt;&lt;span class="pp-font-color-override-1" style="position: absolute; display: inline-block; left: 0px; top: 0.0136718px; width: 77.959px; white-space: pre; word-spacing: 0px; letter-spacing: 0px; margin-left: 0px; font-size: 9.6px; font-family: ff6f; -webkit-text-stroke: 0.144px rgba(0, 0, 0, 0);"&gt;&lt;span style="display: inline-block;"&gt;Aver&lt;/span&gt;&lt;span style="word-spacing: 0px; letter-spacing: 0px; display: inline-block; margin-left: 0px; width: 0.410156px; font-size: 9.6px; font-family: ff6f; -webkit-text-stroke: 0.144px rgba(0, 0, 0, 0);"&gt;&lt;/span&gt;&lt;span style="display: inline-block;"&gt;age n&lt;/span&gt;&lt;span style="word-spacing: 0px; letter-spacing: 0px; display: inline-block; margin-left: 0px; width: 0.410156px; font-size: 9.6px; font-family: ff6f; -webkit-text-stroke: 0.144px rgba(0, 0, 0, 0);"&gt;&lt;/span&gt;&lt;span style="display: inline-block;"&gt;um&lt;/span&gt;&lt;span style="word-spacing: 0px; letter-spacing: 0px; display: inline-block; margin-left: 0px; width: 0.410156px; font-size: 9.6px; font-family: ff6f; -webkit-text-stroke: 0.144px rgba(0, 0, 0, 0);"&gt;&lt;/span&gt;&lt;span style="display: inline-block;"&gt;be&lt;/span&gt;&lt;span style="word-spacing: 0px; letter-spacing: 0px; display: inline-block; margin-left: 0px; width: 0.410156px; font-size: 9.6px; font-family: ff6f; -webkit-text-stroke: 0.144px rgba(0, 0, 0, 0);"&gt;&lt;/span&gt;&lt;span style="display: inline-block;"&gt;r of &lt;/span&gt;&lt;/span&gt;&lt;span class="pp-font-color-override-1" style="position: absolute; display: inline-block; left: 182.812px; top: 0.769531px; width: 39.7441px; white-space: pre; word-spacing: 0px; letter-spacing: 0px; margin-left: 0px; font-size: 9.6px; font-family: ff6c; -webkit-text-stroke: 0.144px rgba(0, 0, 0, 0);"&gt;&lt;span style="display: inline-block;"&gt;O&lt;/span&gt;&lt;span style="word-spacing: 0px; letter-spacing: 0px; display: inline-block; margin-left: 0px; width: 0.410156px; font-size: 9.6px; font-family: ff6c; -webkit-text-stroke: 0.144px rgba(0, 0, 0, 0);"&gt;&lt;/span&gt;&lt;span style="display: inline-block;"&gt;f who&lt;/span&gt;&lt;span style="word-spacing: 0px; letter-spacing: 0px; display: inline-block; margin-left: 0px; width: 0.410156px; font-size: 9.6px; font-family: ff6c; -webkit-text-stroke: 0.144px rgba(0, 0, 0, 0);"&gt;&lt;/span&gt;&lt;span style="display: inline-block;"&gt;m &lt;/span&gt;&lt;/span&gt;&lt;span class="pp-font-color-override-1" style="position: absolute; display: inline-block; left: 301.891px; top: 0.769531px; width: 39.7441px; white-space: pre; word-spacing: 0px; letter-spacing: 0px; margin-left: 0px; font-size: 9.6px; font-family: ff6c; -webkit-text-stroke: 0.144px rgba(0, 0, 0, 0);"&gt;&lt;span style="display: inline-block;"&gt;O&lt;/span&gt;&lt;span style="word-spacing: 0px; letter-spacing: 0px; display: inline-block; margin-left: 0px; width: 0.410156px; font-size: 9.6px; font-family: ff6c; -webkit-text-stroke: 0.144px rgba(0, 0, 0, 0);"&gt;&lt;/span&gt;&lt;span style="display: inline-block;"&gt;f who&lt;/span&gt;&lt;span style="word-spacing: 0px; letter-spacing: 0px; display: inline-block; margin-left: 0px; width: 0.410156px; font-size: 9.6px; font-family: ff6c; -webkit-text-stroke: 0.144px rgba(0, 0, 0, 0);"&gt;&lt;/span&gt;&lt;span style="display: inline-block;"&gt;m &lt;/span&gt;&lt;/span&gt;&lt;span class="pp-font-color-override-1" style="position: absolute; display: inline-block; left: 98.625px; top: 11.2559px; width: 5.16211px; white-space: pre; word-spacing: -0.0306075px; letter-spacing: 0.0306075px; margin-left: 0px; font-size: 6.1215px; font-family: ff6f; -webkit-text-stroke: 0.0918225px rgba(0, 0, 0, 0);"&gt;&lt;span style="display: inline-block;"&gt;1)&lt;/span&gt;&lt;/span&gt;&lt;span class="pp-font-color-override-1" style="position: absolute; display: inline-block; left: 0px; top: 12.0137px; width: 82.4473px; white-space: pre; word-spacing: 0px; letter-spacing: 0px; margin-left: 0px; font-size: 9.6px; font-family: ff6f; -webkit-text-stroke: 0.144px rgba(0, 0, 0, 0);"&gt;&lt;span style="display: inline-block;"&gt;em&lt;/span&gt;&lt;span style="word-spacing: 0px; letter-spacing: 0px; display: inline-block; margin-left: 0px; width: 0.410156px; font-size: 9.6px; font-family: ff6f; -webkit-text-stroke: 0.144px rgba(0, 0, 0, 0);"&gt;&lt;/span&gt;&lt;span style="display: inline-block;"&gt;plo&lt;/span&gt;&lt;span style="word-spacing: 0px; letter-spacing: 0px; display: inline-block; margin-left: 0px; width: 0.410156px; font-size: 9.6px; font-family: ff6f; -webkit-text-stroke: 0.144px rgba(0, 0, 0, 0);"&gt;&lt;/span&gt;&lt;span style="display: inline-block;"&gt;yee&lt;/span&gt;&lt;span style="word-spacing: 0px; letter-spacing: 0px; display: inline-block; margin-left: 0px; width: 0.410156px; font-size: 9.6px; font-family: ff6f; -webkit-text-stroke: 0.144px rgba(0, 0, 0, 0);"&gt;&lt;/span&gt;&lt;span style="display: inline-block;"&gt;s by r&lt;/span&gt;&lt;span style="word-spacing: 0px; letter-spacing: 0px; display: inline-block; margin-left: 0px; width: 0.410156px; font-size: 9.6px; font-family: ff6f; -webkit-text-stroke: 0.144px rgba(0, 0, 0, 0);"&gt;&lt;/span&gt;&lt;span style="display: inline-block;"&gt;eg&lt;/span&gt;&lt;span style="word-spacing: 0px; letter-spacing: 0px; display: inline-block; margin-left: 0px; width: 0.410156px; font-size: 9.6px; font-family: ff6f; -webkit-text-stroke: 0.144px rgba(0, 0, 0, 0);"&gt;&lt;/span&gt;&lt;span style="display: inline-block;"&gt;io&lt;/span&gt;&lt;span style="word-spacing: 0px; letter-spacing: 0px; display: inline-block; margin-left: 0px; width: 0.410156px; font-size: 9.6px; font-family: ff6f; -webkit-text-stroke: 0.144px rgba(0, 0, 0, 0);"&gt;&lt;/span&gt;&lt;span style="display: inline-block;"&gt;n&lt;/span&gt;&lt;/span&gt;&lt;span class="pp-font-color-override-1" style="position: absolute; display: inline-block; left: 138.938px; top: 12.0137px; width: 19.3535px; white-space: pre; word-spacing: -0.0384px; letter-spacing: 0.0384px; margin-left: 0px; font-size: 9.6px; font-family: ff6f; -webkit-text-stroke: 0.144px rgba(0, 0, 0, 0);"&gt;&lt;span style="display: inline-block;"&gt;2025&lt;/span&gt;&lt;/span&gt;&lt;span class="pp-font-color-override-1" style="position: absolute; display: inline-block; left: 180.531px; top: 11.2695px; width: 93.4395px; white-space: pre; word-spacing: -0.2016px; letter-spacing: 0.2016px; margin-left: 0px; font-size: 9.6px; font-family: ff6c; -webkit-text-stroke: 0.144px rgba(0, 0, 0, 0);"&gt;&lt;span style="display: inline-block;"&gt;women,&lt;/span&gt;&lt;span style="word-spacing: -0.2016px; letter-spacing: 0.2016px; display: inline-block; margin-left: -0.684px; width: 0px; font-size: 9.6px; font-family: ff6c; -webkit-text-stroke: 0.144px rgba(0, 0, 0, 0);"&gt;&lt;/span&gt;&lt;span style="display: inline-block;"&gt;%&lt;/span&gt;&lt;span style="word-spacing: -0.2016px; letter-spacing: 0.2016px; display: inline-block; margin-left: 0px; width: 35.0918px; font-size: 9.6px; font-family: ff6c;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 class="pp-font-color-override-1" style="position: absolute; display: inline-block; left: 298.891px; top: 11.2695px; width: 39.3809px; white-space: pre; word-spacing: -0.2016px; letter-spacing: 0.2016px; margin-left: 0px; font-size: 9.6px; font-family: ff6c; -webkit-text-stroke: 0.144px rgba(0, 0, 0, 0);"&gt;&lt;span style="display: inline-block;"&gt;women,&lt;/span&gt;&lt;span style="word-spacing: -0.2016px; letter-spacing: 0.2016px; display: inline-block; margin-left: -0.684px; width: 0px; font-size: 9.6px; font-family: ff6c; -webkit-text-stroke: 0.144px rgba(0, 0, 0, 0);"&gt;&lt;/span&gt;&lt;span style="display: inline-block;"&gt;%&lt;/span&gt;&lt;/span&gt;&lt;span class="pp-font-color-override-1" style="position: absolute; display: inline-block; left: 0px; top: 33.8848px; width: 124.611px; white-space: pre; word-spacing: -0.0735px; letter-spacing: 0.0735px; margin-left: 0px; font-size: 10.5px; font-family: ff70; -webkit-text-stroke: 0.1575px rgba(0, 0, 0, 0);"&gt;&lt;span style="display: inline-block;"&gt;Swed&lt;/span&gt;&lt;span style="word-spacing: -0.0735px; letter-spacing: 0.0735px; display: inline-block; margin-left: 0px; width: 0.410156px; font-size: 10.5px; font-family: ff70; -webkit-text-stroke: 0.1575px rgba(0, 0, 0, 0);"&gt;&lt;/span&gt;&lt;span style="display: inline-block;"&gt;en&lt;/span&gt;&lt;span style="word-spacing: -0.0735px; letter-spacing: 0.0735px; display: inline-block; margin-left: 0px; width: 90.5096px; font-size: 10.5px; font-family: ff70; -webkit-text-stroke: 0.1575px rgba(0, 0, 0, 0);"&gt;&lt;span style="display: inline-block;"&gt; &lt;/span&gt;&lt;/span&gt;&lt;/span&gt;&lt;span class="pp-font-color-override-1" style="position: absolute; display: inline-block; left: 124.611px; top: 33.8848px; width: 76.7461px; white-space: pre; word-spacing: 0.0315px; letter-spacing: -0.0315px; margin-left: 0px; font-size: 10.5px; font-family: ff70; -webkit-text-stroke: 0.1575px rgba(0, 0, 0, 0);"&gt;&lt;span style="display: inline-block;"&gt;22&lt;/span&gt;&lt;span style="word-spacing: 0.0315px; letter-spacing: -0.0315px; display: inline-block; margin-left: 0px; width: 0.410156px; font-size: 10.5px; font-family: ff70; -webkit-text-stroke: 0.1575px rgba(0, 0, 0, 0);"&gt;&lt;/span&gt;&lt;span style="display: inline-block;"&gt;,&lt;/span&gt;&lt;span style="word-spacing: 0.0315px; letter-spacing: -0.0315px; display: inline-block; margin-left: 0px; width: 0.410156px; font-size: 10.5px; font-family: ff70; -webkit-text-stroke: 0.1575px rgba(0, 0, 0, 0);"&gt;&lt;/span&gt;&lt;span style="display: inline-block;"&gt;379&lt;/span&gt;&lt;span style="word-spacing: 0.0315px; letter-spacing: -0.0315px; display: inline-block; margin-left: 0px; width: 47.2324px; font-size: 10.5px; font-family: ff70; -webkit-text-stroke: 0.1575px rgba(0, 0, 0, 0);"&gt;&lt;span style="display: inline-block;"&gt;&lt;span style="width: 2.625px; display: inline-block;"&gt; &lt;/span&gt;&lt;/span&gt;&lt;/span&gt;&lt;/span&gt;&lt;span class="pp-font-color-override-1" style="position: absolute; display: inline-block; left: 201.357px; top: 33.8848px; width: 121.576px; white-space: pre; word-spacing: 0.063px; letter-spacing: -0.063px; margin-left: 0px; font-size: 10.5px; font-family: ff70; -webkit-text-stroke: 0.1575px rgba(0, 0, 0, 0);"&gt;&lt;span style="display: inline-block;"&gt;25&lt;/span&gt;&lt;span style="word-spacing: 0.063px; letter-spacing: -0.063px; display: inline-block; margin-left: 0px; width: 24.7441px; font-size: 10.5px; font-family: ff70; -webkit-text-stroke: 0.1575px rgba(0, 0, 0, 0);"&gt;&lt;span style="display: inline-block;"&gt;&lt;span style="width: 2.625px; display: inline-block;"&gt; &lt;/span&gt;&lt;/span&gt;&lt;/span&gt;&lt;span class="pp-font-color-override-1" style="word-spacing: -0.0315px; letter-spacing: 0.0315px; display: inline-block; margin-left: 0px; font-size: 10.5px; font-family: ff70; -webkit-text-stroke: 0.1575px rgba(0, 0, 0, 0);"&gt;&lt;span style="display: inline-block;"&gt;21,6&lt;/span&gt;&lt;span style="word-spacing: -0.0315px; letter-spacing: 0.0315px; display: inline-block; margin-left: 0px; width: 0.410156px; font-size: 10.5px; font-family: ff70; -webkit-text-stroke: 0.1575px rgba(0, 0, 0, 0);"&gt;&lt;/span&gt;&lt;span style="display: inline-block;"&gt;40&lt;/span&gt;&lt;span style="word-spacing: -0.0315px; letter-spacing: 0.0315px; display: inline-block; margin-left: 0px; width: 46.4768px; font-size: 10.5px; font-family: ff70; -webkit-text-stroke: 0.1575px rgba(0, 0, 0, 0);"&gt;&lt;span style="display: inline-block;"&gt; &lt;/span&gt;&lt;/span&gt;&lt;span class="pp-font-color-override-1" style="word-spacing: 0px; letter-spacing: 0px; display: inline-block; margin-left: 0px; font-size: 10.5px; font-family: ff70; -webkit-text-stroke: 0.1575px rgba(0, 0, 0, 0);"&gt;&lt;span style="display: inline-block;"&gt;28&lt;/span&gt;&lt;/span&gt;&lt;/span&gt;&lt;/span&gt;&lt;span class="pp-font-color-override-1" style="position: absolute; display: inline-block; left: 0px; top: 49.8379px; width: 78.1055px; white-space: pre; word-spacing: -0.1365px; letter-spacing: 0.168px; margin-left: 0px; font-size: 10.5px; font-family: ff70; -webkit-text-stroke: 0.1575px rgba(0, 0, 0, 0);"&gt;&lt;span style="display: inline-block;"&gt;Nordic countries &lt;/span&gt;&lt;span class="pp-font-color-override-1" style="word-spacing: 0px; letter-spacing: 0px; display: inline-block; margin-left: 0px; font-size: 10.5px; font-family: ff70; -webkit-text-stroke: 0.1575px rgba(0, 0, 0, 0);"&gt;&lt;span style="display: inline-block;"&gt; &lt;/span&gt;&lt;/span&gt;&lt;/span&gt;&lt;span class="pp-font-color-override-1" style="position: absolute; display: inline-block; left: 0px; top: 61.8379px; width: 133.488px; white-space: pre; word-spacing: -0.1155px; letter-spacing: 0.147px; margin-left: 0px; font-size: 10.5px; font-family: ff70; -webkit-text-stroke: 0.1575px rgba(0, 0, 0, 0);"&gt;&lt;span style="display: inline-block;"&gt;other than Sweden&lt;/span&gt;&lt;span style="word-spacing: -0.1155px; letter-spacing: 0.147px; display: inline-block; margin-left: 0px; width: 53.0741px; font-size: 10.5px; font-family: ff70; -webkit-text-stroke: 0.1575px rgba(0, 0, 0, 0);"&gt;&lt;span style="display: inline-block;"&gt; &lt;/span&gt;&lt;/span&gt;&lt;/span&gt;&lt;span class="pp-font-color-override-1" style="position: absolute; display: inline-block; left: 133.488px; top: 61.8379px; width: 62.1973px; white-space: pre; word-spacing: 0.147px; letter-spacing: -0.147px; margin-left: 0px; font-size: 10.5px; font-family: ff70; -webkit-text-stroke: 0.1575px rgba(0, 0, 0, 0);"&gt;&lt;span style="display: inline-block;"&gt;7&lt;/span&gt;&lt;span style="word-spacing: 0.147px; letter-spacing: -0.147px; display: inline-block; margin-left: 0px; width: 0.410156px; font-size: 10.5px; font-family: ff70; -webkit-text-stroke: 0.1575px rgba(0, 0, 0, 0);"&gt;&lt;/span&gt;&lt;span style="display: inline-block;"&gt;97&lt;/span&gt;&lt;span style="word-spacing: 0.147px; letter-spacing: -0.147px; display: inline-block; margin-left: 0px; width: 46.4768px; font-size: 10.5px; font-family: ff70; -webkit-text-stroke: 0.1575px rgba(0, 0, 0, 0);"&gt;&lt;span style="display: inline-block;"&gt;&lt;span style="width: 2.625px; display: inline-block;"&gt; &lt;/span&gt;&lt;/span&gt;&lt;/span&gt;&lt;/span&gt;&lt;span class="pp-font-color-override-1" style="position: absolute; display: inline-block; left: 195.686px; top: 61.8379px; width: 112.494px; white-space: pre; word-spacing: -0.084px; letter-spacing: 0.084px; margin-left: 0px; font-size: 10.5px; font-family: ff70; -webkit-text-stroke: 0.1575px rgba(0, 0, 0, 0);"&gt;&lt;span style="display: inline-block;"&gt;35&lt;/span&gt;&lt;span style="word-spacing: -0.084px; letter-spacing: 0.084px; display: inline-block; margin-left: 0px; width: 39.9315px; font-size: 10.5px; font-family: ff70; -webkit-text-stroke: 0.1575px rgba(0, 0, 0, 0);"&gt;&lt;span style="display: inline-block;"&gt; &lt;/span&gt;&lt;/span&gt;&lt;span class="pp-font-color-override-1" style="word-spacing: 0.0735px; letter-spacing: -0.0735px; display: inline-block; margin-left: 0px; font-size: 10.5px; font-family: ff70; -webkit-text-stroke: 0.1575px rgba(0, 0, 0, 0);"&gt;&lt;span style="display: inline-block;"&gt;76&lt;/span&gt;&lt;span style="word-spacing: 0.0735px; letter-spacing: -0.0735px; display: inline-block; margin-left: 0px; width: 0.410156px; font-size: 10.5px; font-family: ff70; -webkit-text-stroke: 0.1575px rgba(0, 0, 0, 0);"&gt;&lt;/span&gt;&lt;span style="display: inline-block;"&gt;3&lt;/span&gt;&lt;span style="word-spacing: 0.0735px; letter-spacing: -0.0735px; display: inline-block; margin-left: 0px; width: 45.9491px; font-size: 10.5px; font-family: ff70; -webkit-text-stroke: 0.1575px rgba(0, 0, 0, 0);"&gt;&lt;span style="display: inline-block;"&gt;&lt;span style="width: 2.625px; display: inline-block;"&gt; &lt;/span&gt;&lt;/span&gt;&lt;/span&gt;&lt;/span&gt;&lt;/span&gt;&lt;span class="pp-font-color-override-1" style="position: absolute; display: inline-block; left: 308.18px; top: 61.8379px; width: 10.7988px; white-space: pre; word-spacing: -0.1155px; letter-spacing: 0.147px; margin-left: 0px; font-size: 10.5px; font-family: ff70; -webkit-text-stroke: 0.1575px rgba(0, 0, 0, 0);"&gt;&lt;span class="pp-font-color-override-1" style="word-spacing: -0.147px; letter-spacing: 0.147px; display: inline-block; margin-left: 0px; font-size: 10.5px; font-family: ff70; -webkit-text-stroke: 0.1575px rgba(0, 0, 0, 0);"&gt;&lt;span style="display: inline-block;"&gt;39&lt;/span&gt;&lt;/span&gt;&lt;/span&gt;&lt;span class="pp-font-color-override-1" style="position: absolute; display: inline-block; left: 0px; top: 77.8066px; width: 133.031px; white-space: pre; word-spacing: -0.147px; letter-spacing: 0.147px; margin-left: 0px; font-size: 10.5px; font-family: ff70; -webkit-text-stroke: 0.1575px rgba(0, 0, 0, 0);"&gt;&lt;span style="display: inline-block;"&gt;Belg&lt;/span&gt;&lt;span style="word-spacing: -0.147px; letter-spacing: 0.147px; display: inline-block; margin-left: 0px; width: 0.410156px; font-size: 10.5px; font-family: ff70; -webkit-text-stroke: 0.1575px rgba(0, 0, 0, 0);"&gt;&lt;/span&gt;&lt;span style="display: inline-block;"&gt;ium&lt;/span&gt;&lt;span style="word-spacing: -0.147px; letter-spacing: 0.147px; display: inline-block; margin-left: 0px; width: 95.4199px; font-size: 10.5px; font-family: ff70; -webkit-text-stroke: 0.1575px rgba(0, 0, 0, 0);"&gt;&lt;span style="display: inline-block;"&gt; &lt;/span&gt;&lt;/span&gt;&lt;/span&gt;&lt;span class="pp-font-color-override-1" style="position: absolute; display: inline-block; left: 133.031px; top: 77.8066px; width: 72.2227px; white-space: pre; word-spacing: -0.084px; letter-spacing: 0.084px; margin-left: 0px; font-size: 10.5px; font-family: ff70; -webkit-text-stroke: 0.1575px rgba(0, 0, 0, 0);"&gt;&lt;span style="display: inline-block;"&gt;5,735&lt;/span&gt;&lt;span style="word-spacing: -0.084px; letter-spacing: 0.084px; display: inline-block; margin-left: 0px; width: 48.1759px; font-size: 10.5px; font-family: ff70; -webkit-text-stroke: 0.1575px rgba(0, 0, 0, 0);"&gt;&lt;span style="display: inline-block;"&gt; &lt;/span&gt;&lt;/span&gt;&lt;/span&gt;&lt;span class="pp-font-color-override-1" style="position: absolute; display: inline-block; left: 205.254px; top: 77.8066px; width: 125.982px; white-space: pre; word-spacing: 0.0735px; letter-spacing: -0.0735px; margin-left: 0px; font-size: 10.5px; font-family: ff70; -webkit-text-stroke: 0.1575px rgba(0, 0, 0, 0);"&gt;&lt;span style="display: inline-block;"&gt;14&lt;/span&gt;&lt;span style="word-spacing: 0.0735px; letter-spacing: -0.0735px; display: inline-block; margin-left: 0px; width: 33.5273px; font-size: 10.5px; font-family: ff70; -webkit-text-stroke: 0.1575px rgba(0, 0, 0, 0);"&gt;&lt;span style="display: inline-block;"&gt;&lt;span style="width: 2.625px; display: inline-block;"&gt; &lt;/span&gt;&lt;/span&gt;&lt;/span&gt;&lt;span class="pp-font-color-override-1" style="word-spacing: 0.3885px; letter-spacing: -0.3885px; display: inline-block; margin-left: 0px; font-size: 10.5px; font-family: ff70; -webkit-text-stroke: 0.1575px rgba(0, 0, 0, 0);"&gt;&lt;span style="display: inline-block;"&gt;5&lt;/span&gt;&lt;span style="word-spacing: 0.3885px; letter-spacing: -0.3885px; display: inline-block; margin-left: 0px; width: 0.410156px; font-size: 10.5px; font-family: ff70; -webkit-text-stroke: 0.1575px rgba(0, 0, 0, 0);"&gt;&lt;/span&gt;&lt;span style="display: inline-block;"&gt;,1&lt;/span&gt;&lt;span style="word-spacing: 0.3885px; letter-spacing: -0.3885px; display: inline-block; margin-left: 0px; width: 0.410156px; font-size: 10.5px; font-family: ff70; -webkit-text-stroke: 0.1575px rgba(0, 0, 0, 0);"&gt;&lt;/span&gt;&lt;span style="display: inline-block;"&gt;9&lt;/span&gt;&lt;span style="word-spacing: 0.3885px; letter-spacing: -0.3885px; display: inline-block; margin-left: 0px; width: 0.410156px; font-size: 10.5px; font-family: ff70; -webkit-text-stroke: 0.1575px rgba(0, 0, 0, 0);"&gt;&lt;/span&gt;&lt;span style="display: inline-block;"&gt;2&lt;/span&gt;&lt;span style="word-spacing: 0.3885px; letter-spacing: -0.3885px; display: inline-block; margin-left: 0px; width: 48.867px; font-size: 10.5px; font-family: ff70; -webkit-text-stroke: 0.1575px rgba(0, 0, 0, 0);"&gt;&lt;span style="display: inline-block;"&gt;&lt;span style="width: 2.625px; display: inline-block;"&gt; &lt;/span&gt;&lt;/span&gt;&lt;/span&gt;&lt;span class="pp-font-color-override-1" style="word-spacing: 0.0945px; letter-spacing: -0.0945px; display: inline-block; margin-left: 0px; font-size: 10.5px; font-family: ff70; -webkit-text-stroke: 0.1575px rgba(0, 0, 0, 0);"&gt;&lt;span style="display: inline-block;"&gt;15&lt;/span&gt;&lt;/span&gt;&lt;/span&gt;&lt;/span&gt;&lt;span class="pp-font-color-override-1" style="position: absolute; display: inline-block; left: 0px; top: 93.7598px; width: 95.6543px; white-space: pre; word-spacing: 0px; letter-spacing: 0.0315px; margin-left: 0px; font-size: 10.5px; font-family: ff70; -webkit-text-stroke: 0.1575px rgba(0, 0, 0, 0);"&gt;&lt;span style="display: inline-block;"&gt;Europ&lt;/span&gt;&lt;span style="word-spacing: 0px; letter-spacing: 0.0315px; display: inline-block; margin-left: 0px; width: 0.410156px; font-size: 10.5px; font-family: ff70; -webkit-text-stroke: 0.1575px rgba(0, 0, 0, 0);"&gt;&lt;/span&gt;&lt;span style="display: inline-block;"&gt;e oth&lt;/span&gt;&lt;span style="word-spacing: 0px; letter-spacing: 0.0315px; display: inline-block; margin-left: 0px; width: 0.410156px; font-size: 10.5px; font-family: ff70; -webkit-text-stroke: 0.1575px rgba(0, 0, 0, 0);"&gt;&lt;/span&gt;&lt;span style="display: inline-block;"&gt;er t&lt;/span&gt;&lt;span style="word-spacing: 0px; letter-spacing: 0.0315px; display: inline-block; margin-left: 0px; width: 0.410156px; font-size: 10.5px; font-family: ff70; -webkit-text-stroke: 0.1575px rgba(0, 0, 0, 0);"&gt;&lt;/span&gt;&lt;span style="display: inline-block;"&gt;ha&lt;/span&gt;&lt;span style="word-spacing: 0px; letter-spacing: 0.0315px; display: inline-block; margin-left: 0px; width: 0.410156px; font-size: 10.</t>
  </si>
  <si>
    <t>f1__s8__6__78-1</t>
  </si>
  <si>
    <t>ifrs-full:DescriptionOfAccountingPolicyForSharebasedPaymentTransactionsExplanatory</t>
  </si>
  <si>
    <t>&lt;span style="display:inherit;clear:left;"&gt;ACCOUNTING&lt;span class="_ _2"&gt;&lt;/span&gt; POLICIES&lt;/span&gt;&lt;span style="display:inherit;clear:left;"&gt;Incentive&lt;span class="_ _2"&gt;&lt;/span&gt; programmes&lt;/span&gt;&lt;span style="display:inherit;clear:left;"&gt;Volvo Ca&lt;span class="_ _7"&gt;&lt;/span&gt;r Gro&lt;span class="_ _7"&gt;&lt;/span&gt;up m&lt;span class="_ _7"&gt;&lt;/span&gt;an&lt;span class="_ _7"&gt;&lt;/span&gt;age&lt;span class="_ _7"&gt;&lt;/span&gt;s a tot&lt;span class="_ _7"&gt;&lt;/span&gt;al o&lt;span class="_ _7"&gt;&lt;/span&gt;f fo&lt;span class="_ _7"&gt;&lt;/span&gt;ur di&lt;span class="_ _7"&gt;&lt;/span&gt;f&lt;span class="_ _7"&gt;&lt;/span&gt;f&lt;span class="_ _7"&gt;&lt;/span&gt;er&lt;span class="_ _7"&gt;&lt;/span&gt;ent g&lt;span class="_ _7"&gt;&lt;/span&gt;lob&lt;span class="_ _7"&gt;&lt;/span&gt;al i&lt;span class="_ _7"&gt;&lt;/span&gt;nc&lt;span class="_ _7"&gt;&lt;/span&gt;ent&lt;span class="_ _7"&gt;&lt;/span&gt;ive &lt;/span&gt;&lt;span style="display:inherit;clear:left;"&gt;pro&lt;span class="_ _7"&gt;&lt;/span&gt;gr&lt;span class="_ _7"&gt;&lt;/span&gt;am&lt;span class="_ _7"&gt;&lt;/span&gt;me&lt;span class="_ _7"&gt;&lt;/span&gt;s&lt;span class="_ _7"&gt;&lt;/span&gt;, wh&lt;span class="_ _7"&gt;&lt;/span&gt;ere&lt;span class="_ _7"&gt;&lt;/span&gt;of t&lt;span class="_ _7"&gt;&lt;/span&gt;w&lt;span class="_ _7"&gt;&lt;/span&gt;o are s&lt;span class="_ _7"&gt;&lt;/span&gt;ho&lt;span class="_ _7"&gt;&lt;/span&gt;r&lt;span class="_ _7"&gt;&lt;/span&gt;t&lt;span class="_ _2"&gt;&lt;/span&gt;-term a&lt;span class="_ _7"&gt;&lt;/span&gt;nd t&lt;span class="_ _7"&gt;&lt;/span&gt;wo a&lt;span class="_ _7"&gt;&lt;/span&gt;re lo&lt;span class="_ _7"&gt;&lt;/span&gt;ng-term&lt;span class="_ _7"&gt;&lt;/span&gt;.&lt;span class="fc9"&gt;  &lt;/span&gt;&lt;/span&gt;&lt;span style="display:inherit;clear:left;"&gt;Short&lt;span class="_ _6"&gt;&lt;/span&gt;-t&lt;span class="_ _2"&gt;&lt;/span&gt;erm&lt;/span&gt;&lt;span style="display:inherit;clear:left;"&gt;• &lt;span class="_ _17"&gt; &lt;/span&gt;&lt;span class="lsc7 wsed"&gt;The Short&lt;span class="_ _2"&gt;&lt;/span&gt;-&lt;span class="_ _6"&gt;&lt;/span&gt;T&lt;span class="_ _6"&gt;&lt;/span&gt;er&lt;span class="_ _7"&gt;&lt;/span&gt;m V&lt;span class="_ _2"&gt;&lt;/span&gt;ariable Pa&lt;span class="_ _2"&gt;&lt;/span&gt;y Programme for&lt;span class="_ _2"&gt;&lt;/span&gt; Senior Leaders &lt;/span&gt;&lt;/span&gt;&lt;span style="display:inherit;clear:left;"&gt;(STVP&lt;span class="_ _2"&gt;&lt;/span&gt; for Senior Leaders)&lt;/span&gt;&lt;span style="display:inherit;clear:left;"&gt;• &lt;span class="_ _17"&gt; &lt;/span&gt;T&lt;span class="_ _7"&gt;&lt;/span&gt;he Volvo B&lt;span class="_ _7"&gt;&lt;/span&gt;onu&lt;span class="_ _7"&gt;&lt;/span&gt;s pr&lt;span class="_ _7"&gt;&lt;/span&gt;og&lt;span class="_ _7"&gt;&lt;/span&gt;ra&lt;span class="_ _7"&gt;&lt;/span&gt;mm&lt;span class="_ _7"&gt;&lt;/span&gt;e&lt;span class="fc9"&gt; &lt;/span&gt;&lt;/span&gt;&lt;span style="display:inherit;clear:left;"&gt;L&lt;span class="_ _7"&gt;&lt;/span&gt;o&lt;span class="_ _7"&gt;&lt;/span&gt;n&lt;span class="_ _7"&gt;&lt;/span&gt;g&lt;span class="_ _7"&gt;&lt;/span&gt;-t&lt;span class="_ _7"&gt;&lt;/span&gt;e&lt;span class="_ _7"&gt;&lt;/span&gt;r&lt;span class="_ _7"&gt;&lt;/span&gt;m&lt;/span&gt;&lt;span style="display:inherit;clear:left;"&gt;• &lt;span class="_ _17"&gt; &lt;/span&gt;T&lt;span class="_ _7"&gt;&lt;/span&gt;he Pe&lt;span class="_ _7"&gt;&lt;/span&gt;r&lt;span class="_ _7"&gt;&lt;/span&gt;fo&lt;span class="_ _7"&gt;&lt;/span&gt;rm&lt;span class="_ _7"&gt;&lt;/span&gt;an&lt;span class="_ _7"&gt;&lt;/span&gt;ce s&lt;span class="_ _7"&gt;&lt;/span&gt;har&lt;span class="_ _7"&gt;&lt;/span&gt;e pr&lt;span class="_ _7"&gt;&lt;/span&gt;og&lt;span class="_ _7"&gt;&lt;/span&gt;ra&lt;span class="_ _7"&gt;&lt;/span&gt;mme (&lt;span class="_ _7"&gt;&lt;/span&gt;PSP)&lt;/span&gt;&lt;span style="display:inherit;clear:left;"&gt;• &lt;span class="_ _17"&gt; &lt;/span&gt;T&lt;span class="_ _7"&gt;&lt;/span&gt;he Emp&lt;span class="_ _7"&gt;&lt;/span&gt;loy&lt;span class="_ _7"&gt;&lt;/span&gt;ee s&lt;span class="_ _7"&gt;&lt;/span&gt;ha&lt;span class="_ _7"&gt;&lt;/span&gt;re ma&lt;span class="_ _7"&gt;&lt;/span&gt;tch&lt;span class="_ _7"&gt;&lt;/span&gt;ing p&lt;span class="_ _7"&gt;&lt;/span&gt;rog&lt;span class="_ _7"&gt;&lt;/span&gt;r&lt;span class="_ _7"&gt;&lt;/span&gt;amm&lt;span class="_ _7"&gt;&lt;/span&gt;e (ESM&lt;span class="_ _7"&gt;&lt;/span&gt;P)&lt;/span&gt;&lt;span style="display:inherit;clear:left;"&gt;Th&lt;span class="_ _7"&gt;&lt;/span&gt;e de&lt;span class="_ _7"&gt;&lt;/span&gt;sig&lt;span class="_ _7"&gt;&lt;/span&gt;n an&lt;span class="_ _7"&gt;&lt;/span&gt;d pa&lt;span class="_ _7"&gt;&lt;/span&gt;y-out o&lt;span class="_ _7"&gt;&lt;/span&gt;f all p&lt;span class="_ _7"&gt;&lt;/span&gt;ro&lt;span class="_ _7"&gt;&lt;/span&gt;gr&lt;span class="_ _7"&gt;&lt;/span&gt;am&lt;span class="_ _7"&gt;&lt;/span&gt;me&lt;span class="_ _7"&gt;&lt;/span&gt;s ar&lt;span class="_ _7"&gt;&lt;/span&gt;e sub&lt;span class="_ _7"&gt;&lt;/span&gt;je&lt;span class="_ _7"&gt;&lt;/span&gt;ct to a&lt;span class="_ _7"&gt;&lt;/span&gt;pp&lt;span class="_ _7"&gt;&lt;/span&gt;rov&lt;span class="_ _7"&gt;&lt;/span&gt;al &lt;/span&gt;&lt;span style="display:inherit;clear:left;"&gt;by th&lt;span class="_ _7"&gt;&lt;/span&gt;e Bo&lt;span class="_ _7"&gt;&lt;/span&gt;ard o&lt;span class="_ _7"&gt;&lt;/span&gt;f Di&lt;span class="_ _7"&gt;&lt;/span&gt;re&lt;span class="_ _7"&gt;&lt;/span&gt;cto&lt;span class="_ _7"&gt;&lt;/span&gt;r&lt;span class="_ _7"&gt;&lt;/span&gt;s. T&lt;span class="_ _7"&gt;&lt;/span&gt;he s&lt;span class="_ _7"&gt;&lt;/span&gt;ha&lt;span class="_ _7"&gt;&lt;/span&gt;re-b&lt;span class="_ _7"&gt;&lt;/span&gt;as&lt;span class="_ _7"&gt;&lt;/span&gt;ed p&lt;span class="_ _7"&gt;&lt;/span&gt;rog&lt;span class="_ _7"&gt;&lt;/span&gt;r&lt;span class="_ _7"&gt;&lt;/span&gt;amm&lt;span class="_ _7"&gt;&lt;/span&gt;e&lt;span class="_ _7"&gt;&lt;/span&gt;s are s&lt;span class="_ _7"&gt;&lt;/span&gt;ub&lt;span class="_ _7"&gt;&lt;/span&gt;je&lt;span class="_ _7"&gt;&lt;/span&gt;ct &lt;/span&gt;&lt;span style="display:inherit;clear:left;"&gt;to de&lt;span class="_ _7"&gt;&lt;/span&gt;ci&lt;span class="_ _7"&gt;&lt;/span&gt;sio&lt;span class="_ _7"&gt;&lt;/span&gt;n by th&lt;span class="_ _7"&gt;&lt;/span&gt;e An&lt;span class="_ _7"&gt;&lt;/span&gt;nua&lt;span class="_ _7"&gt;&lt;/span&gt;l Ge&lt;span class="_ _7"&gt;&lt;/span&gt;ne&lt;span class="_ _7"&gt;&lt;/span&gt;ra&lt;span class="_ _7"&gt;&lt;/span&gt;l Me&lt;span class="_ _7"&gt;&lt;/span&gt;eti&lt;span class="_ _7"&gt;&lt;/span&gt;ng. &lt;/span&gt;&lt;span style="display:inherit;clear:left;"&gt;Short&lt;span class="_ _6"&gt;&lt;/span&gt;-t&lt;span class="_ _2"&gt;&lt;/span&gt;erm incentiv&lt;span class="_ _2"&gt;&lt;/span&gt;e programmes&lt;/span&gt;&lt;span style="display:inherit;clear:left;"&gt;For th&lt;span class="_ _7"&gt;&lt;/span&gt;e sh&lt;span class="_ _7"&gt;&lt;/span&gt;or&lt;span class="_ _7"&gt;&lt;/span&gt;t-&lt;span class="_ _2"&gt;&lt;/span&gt;ter&lt;span class="_ _7"&gt;&lt;/span&gt;m in&lt;span class="_ _7"&gt;&lt;/span&gt;ce&lt;span class="_ _7"&gt;&lt;/span&gt;nti&lt;span class="_ _7"&gt;&lt;/span&gt;ve pr&lt;span class="_ _7"&gt;&lt;/span&gt;og&lt;span class="_ _7"&gt;&lt;/span&gt;ra&lt;span class="_ _7"&gt;&lt;/span&gt;mm&lt;span class="_ _7"&gt;&lt;/span&gt;es a l&lt;span class="_ _7"&gt;&lt;/span&gt;iab&lt;span class="_ _7"&gt;&lt;/span&gt;ili&lt;span class="_ _7"&gt;&lt;/span&gt;t&lt;span class="_ _7"&gt;&lt;/span&gt;y is r&lt;span class="_ _7"&gt;&lt;/span&gt;ec&lt;span class="_ _7"&gt;&lt;/span&gt;og&lt;span class="_ _7"&gt;&lt;/span&gt;ni&lt;span class="_ _7"&gt;&lt;/span&gt;se&lt;span class="_ _7"&gt;&lt;/span&gt;d if &lt;/span&gt;&lt;span style="display:inherit;clear:left;"&gt;all p&lt;span class="_ _7"&gt;&lt;/span&gt;re&lt;span class="_ _7"&gt;&lt;/span&gt;re&lt;span class="_ _7"&gt;&lt;/span&gt;qui&lt;span class="_ _7"&gt;&lt;/span&gt;si&lt;span class="_ _7"&gt;&lt;/span&gt;te&lt;span class="_ _7"&gt;&lt;/span&gt;s are m&lt;span class="_ _7"&gt;&lt;/span&gt;et a&lt;span class="_ _7"&gt;&lt;/span&gt;nd th&lt;span class="_ _7"&gt;&lt;/span&gt;e co&lt;span class="_ _7"&gt;&lt;/span&gt;s&lt;span class="_ _7"&gt;&lt;/span&gt;t is r&lt;span class="_ _7"&gt;&lt;/span&gt;ec&lt;span class="_ _7"&gt;&lt;/span&gt;ogn&lt;span class="_ _7"&gt;&lt;/span&gt;is&lt;span class="_ _7"&gt;&lt;/span&gt;e&lt;span class="_ _7"&gt;&lt;/span&gt;d as an o&lt;span class="_ _7"&gt;&lt;/span&gt;pe&lt;span class="_ _7"&gt;&lt;/span&gt;ra&lt;span class="_ _7"&gt;&lt;/span&gt;tin&lt;span class="_ _7"&gt;&lt;/span&gt;g &lt;/span&gt;&lt;span style="display:inherit;clear:left;"&gt;expense.&lt;span class="_ _2"&gt;&lt;/span&gt; &lt;/span&gt;&lt;span style="display:inherit;clear:left;"&gt;Long-&lt;span class="_ _2"&gt;&lt;/span&gt;term i&lt;span class="_ _7"&gt;&lt;/span&gt;nc&lt;span class="_ _7"&gt;&lt;/span&gt;enti&lt;span class="_ _7"&gt;&lt;/span&gt;ve prog&lt;span class="_ _7"&gt;&lt;/span&gt;ram&lt;span class="_ _7"&gt;&lt;/span&gt;mes&lt;/span&gt;&lt;span style="display:inherit;clear:left;"&gt;For in&lt;span class="_ _7"&gt;&lt;/span&gt;fo&lt;span class="_ _7"&gt;&lt;/span&gt;rm&lt;span class="_ _7"&gt;&lt;/span&gt;ati&lt;span class="_ _7"&gt;&lt;/span&gt;on o&lt;span class="_ _7"&gt;&lt;/span&gt;n sh&lt;span class="_ _7"&gt;&lt;/span&gt;are&lt;span class="_ _7"&gt;&lt;/span&gt;-bas&lt;span class="_ _7"&gt;&lt;/span&gt;e&lt;span class="_ _7"&gt;&lt;/span&gt;d pro&lt;span class="_ _7"&gt;&lt;/span&gt;gr&lt;span class="_ _7"&gt;&lt;/span&gt;am&lt;span class="_ _7"&gt;&lt;/span&gt;me&lt;span class="_ _7"&gt;&lt;/span&gt;s&lt;span class="_ _7"&gt;&lt;/span&gt;, se&lt;span class="_ _7"&gt;&lt;/span&gt;e No&lt;span class="_ _7"&gt;&lt;/span&gt;te 9 – Sh&lt;span class="_ _7"&gt;&lt;/span&gt;are-&lt;/span&gt;&lt;span style="display:inherit;clear:left;"&gt;based remuneration. &lt;/span&gt;&lt;span style="display:inherit;clear:left;"&gt;Restructuring&lt;/span&gt;&lt;span style="display:inherit;clear:left;"&gt;Volvo Ca&lt;span class="_ _7"&gt;&lt;/span&gt;r Gro&lt;span class="_ _7"&gt;&lt;/span&gt;up f&lt;span class="_ _7"&gt;&lt;/span&gt;ro&lt;span class="_ _7"&gt;&lt;/span&gt;m tim&lt;span class="_ _7"&gt;&lt;/span&gt;e-to-&lt;span class="_ _2"&gt;&lt;/span&gt;ti&lt;span class="_ _7"&gt;&lt;/span&gt;me e&lt;span class="_ _7"&gt;&lt;/span&gt;ng&lt;span class="_ _7"&gt;&lt;/span&gt;age i&lt;span class="_ _7"&gt;&lt;/span&gt;n re&lt;span class="_ _7"&gt;&lt;/span&gt;st&lt;span class="_ _7"&gt;&lt;/span&gt;ru&lt;span class="_ _7"&gt;&lt;/span&gt;ctu&lt;span class="_ _7"&gt;&lt;/span&gt;ri&lt;span class="_ _7"&gt;&lt;/span&gt;ng pr&lt;span class="_ _7"&gt;&lt;/span&gt;o-&lt;/span&gt;&lt;span style="display:inherit;clear:left;"&gt;gr&lt;span class="_ _7"&gt;&lt;/span&gt;am&lt;span class="_ _7"&gt;&lt;/span&gt;me&lt;span class="_ _7"&gt;&lt;/span&gt;s to re&lt;span class="_ _7"&gt;&lt;/span&gt;du&lt;span class="_ _7"&gt;&lt;/span&gt;ce co&lt;span class="_ _7"&gt;&lt;/span&gt;s&lt;span class="_ _7"&gt;&lt;/span&gt;t an&lt;span class="_ _7"&gt;&lt;/span&gt;d dr&lt;span class="_ _7"&gt;&lt;/span&gt;ive e&lt;span class="_ _7"&gt;&lt;/span&gt;f&lt;span class="_ _7"&gt;&lt;/span&gt;f&lt;span class="_ _7"&gt;&lt;/span&gt;ic&lt;span class="_ _7"&gt;&lt;/span&gt;ien&lt;span class="_ _7"&gt;&lt;/span&gt;ci&lt;span class="_ _7"&gt;&lt;/span&gt;es&lt;span class="_ _7"&gt;&lt;/span&gt;. Su&lt;span class="_ _7"&gt;&lt;/span&gt;ch p&lt;span class="_ _7"&gt;&lt;/span&gt;rog&lt;span class="_ _7"&gt;&lt;/span&gt;r&lt;span class="_ _7"&gt;&lt;/span&gt;amm&lt;span class="_ _7"&gt;&lt;/span&gt;es &lt;/span&gt;&lt;span style="display:inherit;clear:left;"&gt;may i&lt;span class="_ _7"&gt;&lt;/span&gt;nvol&lt;span class="_ _7"&gt;&lt;/span&gt;ve a re&lt;span class="_ _7"&gt;&lt;/span&gt;dun&lt;span class="_ _7"&gt;&lt;/span&gt;da&lt;span class="_ _7"&gt;&lt;/span&gt;nc&lt;span class="_ _7"&gt;&lt;/span&gt;y of e&lt;span class="_ _7"&gt;&lt;/span&gt;mpl&lt;span class="_ _7"&gt;&lt;/span&gt;oyee&lt;span class="_ _7"&gt;&lt;/span&gt;s&lt;span class="_ _7"&gt;&lt;/span&gt;. Wh&lt;span class="_ _7"&gt;&lt;/span&gt;en a d&lt;span class="_ _7"&gt;&lt;/span&gt;et&lt;span class="_ _7"&gt;&lt;/span&gt;ail&lt;span class="_ _7"&gt;&lt;/span&gt;ed a&lt;span class="_ _7"&gt;&lt;/span&gt;nd fo&lt;span class="_ _7"&gt;&lt;/span&gt;rm&lt;span class="_ _7"&gt;&lt;/span&gt;al &lt;/span&gt;&lt;span style="display:inherit;clear:left;"&gt;pl&lt;span class="_ _7"&gt;&lt;/span&gt;an o&lt;span class="_ _7"&gt;&lt;/span&gt;f re&lt;span class="_ _7"&gt;&lt;/span&gt;st&lt;span class="_ _7"&gt;&lt;/span&gt;ru&lt;span class="_ _7"&gt;&lt;/span&gt;ct&lt;span class="_ _7"&gt;&lt;/span&gt;uri&lt;span class="_ _7"&gt;&lt;/span&gt;ng h&lt;span class="_ _7"&gt;&lt;/span&gt;as b&lt;span class="_ _7"&gt;&lt;/span&gt;ee&lt;span class="_ _7"&gt;&lt;/span&gt;n pub&lt;span class="_ _7"&gt;&lt;/span&gt;li&lt;span class="_ _7"&gt;&lt;/span&gt;cly an&lt;span class="_ _7"&gt;&lt;/span&gt;no&lt;span class="_ _7"&gt;&lt;/span&gt;un&lt;span class="_ _7"&gt;&lt;/span&gt;ce&lt;span class="_ _7"&gt;&lt;/span&gt;d, th&lt;span class="_ _7"&gt;&lt;/span&gt;e am&lt;span class="_ _7"&gt;&lt;/span&gt;ou&lt;span class="_ _7"&gt;&lt;/span&gt;nt&lt;span class="_ _7"&gt;&lt;/span&gt;s of &lt;/span&gt;&lt;span style="display:inherit;clear:left;"&gt;pro&lt;span class="_ _7"&gt;&lt;/span&gt;vi&lt;span class="_ _7"&gt;&lt;/span&gt;si&lt;span class="_ _7"&gt;&lt;/span&gt;on ar&lt;span class="_ _7"&gt;&lt;/span&gt;e de&lt;span class="_ _7"&gt;&lt;/span&gt;ter&lt;span class="_ _7"&gt;&lt;/span&gt;mi&lt;span class="_ _7"&gt;&lt;/span&gt;ne&lt;span class="_ _7"&gt;&lt;/span&gt;d ba&lt;span class="_ _7"&gt;&lt;/span&gt;se&lt;span class="_ _7"&gt;&lt;/span&gt;d on t&lt;span class="_ _7"&gt;&lt;/span&gt;he tot&lt;span class="_ _7"&gt;&lt;/span&gt;al d&lt;span class="_ _7"&gt;&lt;/span&gt;ir&lt;span class="_ _7"&gt;&lt;/span&gt;ec&lt;span class="_ _7"&gt;&lt;/span&gt;t exp&lt;span class="_ _7"&gt;&lt;/span&gt;en&lt;span class="_ _7"&gt;&lt;/span&gt;di&lt;span class="_ _7"&gt;&lt;/span&gt;tur&lt;span class="_ _7"&gt;&lt;/span&gt;e  &lt;/span&gt;&lt;span style="display:inherit;clear:left;"&gt;ari&lt;span class="_ _7"&gt;&lt;/span&gt;si&lt;span class="_ _7"&gt;&lt;/span&gt;ng f&lt;span class="_ _7"&gt;&lt;/span&gt;ro&lt;span class="_ _7"&gt;&lt;/span&gt;m the r&lt;span class="_ _7"&gt;&lt;/span&gt;es&lt;span class="_ _7"&gt;&lt;/span&gt;tr&lt;span class="_ _7"&gt;&lt;/span&gt;uc&lt;span class="_ _7"&gt;&lt;/span&gt;tu&lt;span class="_ _7"&gt;&lt;/span&gt;rin&lt;span class="_ _7"&gt;&lt;/span&gt;g wh&lt;span class="_ _7"&gt;&lt;/span&gt;en th&lt;span class="_ _7"&gt;&lt;/span&gt;e re&lt;span class="_ _7"&gt;&lt;/span&gt;cog&lt;span class="_ _7"&gt;&lt;/span&gt;ni&lt;span class="_ _7"&gt;&lt;/span&gt;ti&lt;span class="_ _7"&gt;&lt;/span&gt;on  &lt;span class="_ _b3"&gt;&lt;/span&gt;cri&lt;span class="_ _7"&gt;&lt;/span&gt;ter&lt;span class="_ _7"&gt;&lt;/span&gt;ia f&lt;span class="_ _7"&gt;&lt;/span&gt;or  &lt;/span&gt;&lt;span style="display:inherit;clear:left;"&gt;pro&lt;span class="_ _7"&gt;&lt;/span&gt;vi&lt;span class="_ _7"&gt;&lt;/span&gt;si&lt;span class="_ _7"&gt;&lt;/span&gt;on&lt;span class="_ _7"&gt;&lt;/span&gt;s are m&lt;span class="_ _7"&gt;&lt;/span&gt;et&lt;span class="_ _7"&gt;&lt;/span&gt;, s&lt;span class="_ _7"&gt;&lt;/span&gt;ee No&lt;span class="_ _7"&gt;&lt;/span&gt;te 23 – Cu&lt;span class="_ _7"&gt;&lt;/span&gt;rre&lt;span class="_ _7"&gt;&lt;/span&gt;nt a&lt;span class="_ _7"&gt;&lt;/span&gt;nd ot&lt;span class="_ _7"&gt;&lt;/span&gt;he&lt;span class="_ _7"&gt;&lt;/span&gt;r non-c&lt;span class="_ _7"&gt;&lt;/span&gt;ur&lt;span class="_ _7"&gt;&lt;/span&gt;ren&lt;span class="_ _7"&gt;&lt;/span&gt;t &lt;/span&gt;&lt;span style="display:inherit;clear:left;"&gt;provisions.&lt;/span&gt;&lt;span style="display:inherit;clear:left;"&gt;ACCOUNTING&lt;span class="_ _2"&gt;&lt;/span&gt; POLICIES&lt;/span&gt;&lt;span style="display:inherit;clear:left;"&gt;Sha&lt;span class="_ _7"&gt;&lt;/span&gt;re-base&lt;span class="_ _7"&gt;&lt;/span&gt;d long-&lt;span class="_ _2"&gt;&lt;/span&gt;term p&lt;span class="_ _7"&gt;&lt;/span&gt;rogra&lt;span class="_ _7"&gt;&lt;/span&gt;mme&lt;span class="_ _7"&gt;&lt;/span&gt;s&lt;/span&gt;&lt;span style="display:inherit;clear:left;"&gt;Th&lt;span class="_ _7"&gt;&lt;/span&gt;e fai&lt;span class="_ _7"&gt;&lt;/span&gt;r va&lt;span class="_ _7"&gt;&lt;/span&gt;lue o&lt;span class="_ _7"&gt;&lt;/span&gt;f the s&lt;span class="_ _7"&gt;&lt;/span&gt;ha&lt;span class="_ _7"&gt;&lt;/span&gt;re-b&lt;span class="_ _7"&gt;&lt;/span&gt;as&lt;span class="_ _7"&gt;&lt;/span&gt;ed p&lt;span class="_ _7"&gt;&lt;/span&gt;rog&lt;span class="_ _7"&gt;&lt;/span&gt;r&lt;span class="_ _7"&gt;&lt;/span&gt;amm&lt;span class="_ _7"&gt;&lt;/span&gt;e&lt;span class="_ _7"&gt;&lt;/span&gt;s are b&lt;span class="_ _7"&gt;&lt;/span&gt;as&lt;span class="_ _7"&gt;&lt;/span&gt;e&lt;span class="_ _7"&gt;&lt;/span&gt;d on th&lt;span class="_ _7"&gt;&lt;/span&gt;e &lt;/span&gt;&lt;span style="display:inherit;clear:left;"&gt;share price r&lt;span class="_ _2"&gt;&lt;/span&gt;educed by expected&lt;span class="_ _2"&gt;&lt;/span&gt; dividen&lt;span class="_ _7"&gt;&lt;/span&gt;ds connected&lt;span class="_ _2"&gt;&lt;/span&gt; with the &lt;/span&gt;&lt;span style="display:inherit;clear:left;"&gt;sh&lt;span class="_ _7"&gt;&lt;/span&gt;are d&lt;span class="_ _7"&gt;&lt;/span&gt;ur&lt;span class="_ _7"&gt;&lt;/span&gt;ing th&lt;span class="_ _7"&gt;&lt;/span&gt;e ve&lt;span class="_ _7"&gt;&lt;/span&gt;s&lt;span class="_ _7"&gt;&lt;/span&gt;ting p&lt;span class="_ _7"&gt;&lt;/span&gt;er&lt;span class="_ _7"&gt;&lt;/span&gt;io&lt;span class="_ _7"&gt;&lt;/span&gt;d&lt;span class="_ _7"&gt;&lt;/span&gt;. Add&lt;span class="_ _7"&gt;&lt;/span&gt;iti&lt;span class="_ _7"&gt;&lt;/span&gt;on&lt;span class="_ _7"&gt;&lt;/span&gt;al s&lt;span class="_ _7"&gt;&lt;/span&gt;oci&lt;span class="_ _7"&gt;&lt;/span&gt;al ex&lt;span class="_ _7"&gt;&lt;/span&gt;p&lt;span class="_ _7"&gt;&lt;/span&gt;en&lt;span class="_ _7"&gt;&lt;/span&gt;se&lt;span class="_ _7"&gt;&lt;/span&gt;s ar&lt;span class="_ _7"&gt;&lt;/span&gt;e &lt;/span&gt;&lt;span style="display:inherit;clear:left;"&gt; &lt;span class="_ _1"&gt;&lt;/span&gt;r&lt;span class="_ _7"&gt;&lt;/span&gt;ec&lt;span class="_ _7"&gt;&lt;/span&gt;ogn&lt;span class="_ _7"&gt;&lt;/span&gt;is&lt;span class="_ _7"&gt;&lt;/span&gt;e&lt;span class="_ _7"&gt;&lt;/span&gt;d as a li&lt;span class="_ _7"&gt;&lt;/span&gt;ab&lt;span class="_ _7"&gt;&lt;/span&gt;ili&lt;span class="_ _7"&gt;&lt;/span&gt;t&lt;span class="_ _7"&gt;&lt;/span&gt;y, reval&lt;span class="_ _7"&gt;&lt;/span&gt;ue&lt;span class="_ _7"&gt;&lt;/span&gt;d at ea&lt;span class="_ _7"&gt;&lt;/span&gt;ch b&lt;span class="_ _7"&gt;&lt;/span&gt;al&lt;span class="_ _7"&gt;&lt;/span&gt;an&lt;span class="_ _7"&gt;&lt;/span&gt;ce s&lt;span class="_ _7"&gt;&lt;/span&gt;he&lt;span class="_ _7"&gt;&lt;/span&gt;et da&lt;span class="_ _7"&gt;&lt;/span&gt;te. &lt;/span&gt;&lt;span style="display:inherit;clear:left;"&gt;Th&lt;span class="_ _7"&gt;&lt;/span&gt;e aim o&lt;span class="_ _7"&gt;&lt;/span&gt;f the&lt;span class="_ _7"&gt;&lt;/span&gt;s&lt;span class="_ _7"&gt;&lt;/span&gt;e sh&lt;span class="_ _7"&gt;&lt;/span&gt;ar&lt;span class="_ _7"&gt;&lt;/span&gt;e-bas&lt;span class="_ _7"&gt;&lt;/span&gt;e&lt;span class="_ _7"&gt;&lt;/span&gt;d pr&lt;span class="_ _7"&gt;&lt;/span&gt;og&lt;span class="_ _7"&gt;&lt;/span&gt;ram&lt;span class="_ _7"&gt;&lt;/span&gt;me&lt;span class="_ _7"&gt;&lt;/span&gt;s i&lt;span class="_ _7"&gt;&lt;/span&gt;s to ge&lt;span class="_ _7"&gt;&lt;/span&gt;ner&lt;span class="_ _7"&gt;&lt;/span&gt;at&lt;span class="_ _7"&gt;&lt;/span&gt;e eng&lt;span class="_ _7"&gt;&lt;/span&gt;age&lt;span class="ws3"&gt;-&lt;/span&gt;&lt;/span&gt;&lt;span style="display:inherit;clear:left;"&gt;me&lt;span class="_ _7"&gt;&lt;/span&gt;nt an&lt;span class="_ _7"&gt;&lt;/span&gt;d co&lt;span class="_ _7"&gt;&lt;/span&gt;mmi&lt;span class="_ _7"&gt;&lt;/span&gt;tm&lt;span class="_ _7"&gt;&lt;/span&gt;ent to t&lt;span class="_ _7"&gt;&lt;/span&gt;he o&lt;span class="_ _7"&gt;&lt;/span&gt;rg&lt;span class="_ _7"&gt;&lt;/span&gt;ani&lt;span class="_ _7"&gt;&lt;/span&gt;s&lt;span class="_ _7"&gt;&lt;/span&gt;ati&lt;span class="_ _7"&gt;&lt;/span&gt;on o&lt;span class="_ _7"&gt;&lt;/span&gt;n a lon&lt;span class="_ _7"&gt;&lt;/span&gt;g-&lt;span class="_ _2"&gt;&lt;/span&gt;te&lt;span class="_ _7"&gt;&lt;/span&gt;rm b&lt;span class="_ _7"&gt;&lt;/span&gt;as&lt;span class="_ _7"&gt;&lt;/span&gt;is&lt;span class="_ _7"&gt;&lt;/span&gt;. Th&lt;span class="_ _7"&gt;&lt;/span&gt;e &lt;/span&gt;&lt;span style="display:inherit;clear:left;"&gt;PSP i&lt;span class="_ _7"&gt;&lt;/span&gt;s eq&lt;span class="_ _7"&gt;&lt;/span&gt;ui&lt;span class="_ _7"&gt;&lt;/span&gt;t&lt;span class="_ _7"&gt;&lt;/span&gt;y-set&lt;span class="_ _7"&gt;&lt;/span&gt;t&lt;span class="_ _7"&gt;&lt;/span&gt;led w&lt;span class="_ _7"&gt;&lt;/span&gt;hi&lt;span class="_ _7"&gt;&lt;/span&gt;le th&lt;span class="_ _7"&gt;&lt;/span&gt;e ESMP p&lt;span class="_ _7"&gt;&lt;/span&gt;rog&lt;span class="_ _7"&gt;&lt;/span&gt;r&lt;span class="_ _7"&gt;&lt;/span&gt;amm&lt;span class="_ _7"&gt;&lt;/span&gt;e co&lt;span class="_ _7"&gt;&lt;/span&gt;nt&lt;span class="_ _7"&gt;&lt;/span&gt;ain&lt;span class="_ _7"&gt;&lt;/span&gt;s bo&lt;span class="_ _7"&gt;&lt;/span&gt;th &lt;/span&gt;&lt;span style="display:inherit;clear:left;"&gt;equity-settled and&lt;span class="_ _2"&gt;&lt;/span&gt; cash-settled components. For&lt;span class="_ _2"&gt;&lt;/span&gt; components of &lt;/span&gt;&lt;span style="display:inherit;clear:left;"&gt;the p&lt;span class="_ _7"&gt;&lt;/span&gt;ro&lt;span class="_ _7"&gt;&lt;/span&gt;gr&lt;span class="_ _7"&gt;&lt;/span&gt;amm&lt;span class="_ _7"&gt;&lt;/span&gt;e&lt;span class="_ _7"&gt;&lt;/span&gt;s tha&lt;span class="_ _7"&gt;&lt;/span&gt;t are e&lt;span class="_ _7"&gt;&lt;/span&gt;qu&lt;span class="_ _7"&gt;&lt;/span&gt;it&lt;span class="_ _7"&gt;&lt;/span&gt;y-s&lt;span class="_ _7"&gt;&lt;/span&gt;et&lt;span class="_ _7"&gt;&lt;/span&gt;tle&lt;span class="_ _7"&gt;&lt;/span&gt;d&lt;span class="_ _7"&gt;&lt;/span&gt;, the to&lt;span class="_ _7"&gt;&lt;/span&gt;ta&lt;span class="_ _7"&gt;&lt;/span&gt;l co&lt;span class="_ _7"&gt;&lt;/span&gt;mp&lt;span class="_ _7"&gt;&lt;/span&gt;en&lt;span class="_ _7"&gt;&lt;/span&gt;sa&lt;span class="_ _7"&gt;&lt;/span&gt;tio&lt;span class="_ _7"&gt;&lt;/span&gt;n &lt;/span&gt;&lt;span style="display:inherit;clear:left;"&gt;exp&lt;span class="_ _7"&gt;&lt;/span&gt;en&lt;span class="_ _7"&gt;&lt;/span&gt;se i&lt;span class="_ _7"&gt;&lt;/span&gt;s b&lt;span class="_ _7"&gt;&lt;/span&gt;as&lt;span class="_ _7"&gt;&lt;/span&gt;ed o&lt;span class="_ _7"&gt;&lt;/span&gt;n the f&lt;span class="_ _7"&gt;&lt;/span&gt;ai&lt;span class="_ _7"&gt;&lt;/span&gt;r val&lt;span class="_ _7"&gt;&lt;/span&gt;ue at t&lt;span class="_ _7"&gt;&lt;/span&gt;he g&lt;span class="_ _7"&gt;&lt;/span&gt;ra&lt;span class="_ _7"&gt;&lt;/span&gt;nt&lt;span class="_ _2"&gt;&lt;/span&gt;-d&lt;span class="_ _7"&gt;&lt;/span&gt;ate to&lt;span class="_ _7"&gt;&lt;/span&gt;get&lt;span class="_ _7"&gt;&lt;/span&gt;he&lt;span class="_ _7"&gt;&lt;/span&gt;r wit&lt;span class="_ _7"&gt;&lt;/span&gt;h &lt;/span&gt;&lt;span style="display:inherit;clear:left;"&gt;consideration of a&lt;span class="_ _2"&gt;&lt;/span&gt;ny relevant&lt;span class="_ _2"&gt;&lt;/span&gt; per&lt;span class="_ _7"&gt;&lt;/span&gt;formance conditions and&lt;span class="_ _2"&gt;&lt;/span&gt; is recog&lt;span class="_ _2"&gt;&lt;/span&gt;&lt;span class="ls3 ws3"&gt;-&lt;/span&gt;&lt;/span&gt;&lt;span style="display:inherit;clear:left;"&gt;nised over&lt;span class="_ _2"&gt;&lt;/span&gt; the relevant&lt;span class="_ _2"&gt;&lt;/span&gt; ser&lt;span class="_ _7"&gt;&lt;/span&gt;vice period, with a&lt;span class="_ _2"&gt;&lt;/span&gt; corres&lt;span class="_ _7"&gt;&lt;/span&gt;ponding &lt;/span&gt;&lt;span style="display:inherit;clear:left;"&gt;inc&lt;span class="_ _7"&gt;&lt;/span&gt;re&lt;span class="_ _7"&gt;&lt;/span&gt;as&lt;span class="_ _7"&gt;&lt;/span&gt;e in e&lt;span class="_ _7"&gt;&lt;/span&gt;qu&lt;span class="_ _7"&gt;&lt;/span&gt;it&lt;span class="_ _7"&gt;&lt;/span&gt;y. All sh&lt;span class="_ _7"&gt;&lt;/span&gt;ar&lt;span class="_ _7"&gt;&lt;/span&gt;e-bas&lt;span class="_ _7"&gt;&lt;/span&gt;e&lt;span class="_ _7"&gt;&lt;/span&gt;d pay&lt;span class="_ _7"&gt;&lt;/span&gt;m&lt;span class="_ _7"&gt;&lt;/span&gt;ent p&lt;span class="_ _7"&gt;&lt;/span&gt;rog&lt;span class="_ _7"&gt;&lt;/span&gt;r&lt;span class="_ _7"&gt;&lt;/span&gt;amm&lt;span class="_ _7"&gt;&lt;/span&gt;e&lt;span class="_ _7"&gt;&lt;/span&gt;s wit&lt;span class="_ _7"&gt;&lt;/span&gt;h &lt;/span&gt;&lt;span style="display:inherit;clear:left;"&gt;employees ha&lt;span class="_ _2"&gt;&lt;/span&gt;ve a service component while&lt;span class="_ _2"&gt;&lt;/span&gt; one has performance &lt;/span&gt;&lt;span style="display:inherit;clear:left;"&gt;com&lt;span class="_ _7"&gt;&lt;/span&gt;po&lt;span class="_ _7"&gt;&lt;/span&gt;ne&lt;span class="_ _7"&gt;&lt;/span&gt;nt&lt;span class="_ _7"&gt;&lt;/span&gt;s as we&lt;span class="_ _7"&gt;&lt;/span&gt;ll&lt;span class="_ _7"&gt;&lt;/span&gt;. Th&lt;span class="_ _7"&gt;&lt;/span&gt;e am&lt;span class="_ _7"&gt;&lt;/span&gt;ou&lt;span class="_ _7"&gt;&lt;/span&gt;nt re&lt;span class="_ _7"&gt;&lt;/span&gt;co&lt;span class="_ _7"&gt;&lt;/span&gt;gn&lt;span class="_ _7"&gt;&lt;/span&gt;is&lt;span class="_ _7"&gt;&lt;/span&gt;ed a&lt;span class="_ _7"&gt;&lt;/span&gt;s an ex&lt;span class="_ _7"&gt;&lt;/span&gt;pe&lt;span class="_ _7"&gt;&lt;/span&gt;ns&lt;span class="_ _7"&gt;&lt;/span&gt;e i&lt;span class="_ _7"&gt;&lt;/span&gt;s &lt;/span&gt;&lt;span style="display:inherit;clear:left;"&gt;adj&lt;span class="_ _7"&gt;&lt;/span&gt;us&lt;span class="_ _7"&gt;&lt;/span&gt;te&lt;span class="_ _7"&gt;&lt;/span&gt;d to co&lt;span class="_ _7"&gt;&lt;/span&gt;ns&lt;span class="_ _7"&gt;&lt;/span&gt;id&lt;span class="_ _7"&gt;&lt;/span&gt;er th&lt;span class="_ _7"&gt;&lt;/span&gt;e tot&lt;span class="_ _7"&gt;&lt;/span&gt;al n&lt;span class="_ _7"&gt;&lt;/span&gt;umb&lt;span class="_ _7"&gt;&lt;/span&gt;er o&lt;span class="_ _7"&gt;&lt;/span&gt;f awa&lt;span class="_ _7"&gt;&lt;/span&gt;rd&lt;span class="_ _7"&gt;&lt;/span&gt;s fo&lt;span class="_ _7"&gt;&lt;/span&gt;r whi&lt;span class="_ _7"&gt;&lt;/span&gt;ch th&lt;span class="_ _7"&gt;&lt;/span&gt;e re&lt;span class="_ _7"&gt;&lt;/span&gt;le&lt;span class="ls3"&gt;-&lt;/span&gt;&lt;/span&gt;&lt;span style="display:inherit;clear:left;"&gt;vant non&lt;span class="_ _2"&gt;&lt;/span&gt;-mark&lt;span class="_ _2"&gt;&lt;/span&gt;et per&lt;span class="_ _7"&gt;&lt;/span&gt;formance conditions&lt;span class="_ _2"&gt;&lt;/span&gt; and ser&lt;span class="_ _7"&gt;&lt;/span&gt;vice conditions are&lt;span class="_ _2"&gt;&lt;/span&gt; &lt;/span&gt;&lt;span style="display:inherit;clear:left;"&gt;exp&lt;span class="_ _7"&gt;&lt;/span&gt;ec&lt;span class="_ _7"&gt;&lt;/span&gt;te&lt;span class="_ _7"&gt;&lt;/span&gt;d to be m&lt;span class="_ _7"&gt;&lt;/span&gt;et&lt;span class="_ _7"&gt;&lt;/span&gt;. Th&lt;span class="_ _7"&gt;&lt;/span&gt;e re&lt;span class="_ _7"&gt;&lt;/span&gt;su&lt;span class="_ _7"&gt;&lt;/span&gt;lt is th&lt;span class="_ _7"&gt;&lt;/span&gt;at th&lt;span class="_ _7"&gt;&lt;/span&gt;e am&lt;span class="_ _7"&gt;&lt;/span&gt;ou&lt;span class="_ _7"&gt;&lt;/span&gt;nt ulti&lt;span class="_ _7"&gt;&lt;/span&gt;ma&lt;span class="_ _7"&gt;&lt;/span&gt;tely r&lt;span class="_ _7"&gt;&lt;/span&gt;ec&lt;span class="_ _7"&gt;&lt;/span&gt;og&lt;span class="ls3"&gt;-&lt;/span&gt;&lt;/span&gt;&lt;span style="display:inherit;clear:left;"&gt;nis&lt;span class="_ _7"&gt;&lt;/span&gt;e&lt;span class="_ _7"&gt;&lt;/span&gt;d is b&lt;span class="_ _7"&gt;&lt;/span&gt;as&lt;span class="_ _7"&gt;&lt;/span&gt;e&lt;span class="_ _7"&gt;&lt;/span&gt;d on th&lt;span class="_ _7"&gt;&lt;/span&gt;e ac&lt;span class="_ _7"&gt;&lt;/span&gt;tua&lt;span class="_ _7"&gt;&lt;/span&gt;l nu&lt;span class="_ _7"&gt;&lt;/span&gt;mb&lt;span class="_ _7"&gt;&lt;/span&gt;er o&lt;span class="_ _7"&gt;&lt;/span&gt;f awar&lt;span class="_ _7"&gt;&lt;/span&gt;ds t&lt;span class="_ _7"&gt;&lt;/span&gt;hat m&lt;span class="_ _7"&gt;&lt;/span&gt;ee&lt;span class="_ _7"&gt;&lt;/span&gt;t th&lt;span class="_ _7"&gt;&lt;/span&gt;e rel&lt;span class="_ _7"&gt;&lt;/span&gt;eva&lt;span class="_ _7"&gt;&lt;/span&gt;nt &lt;/span&gt;&lt;span style="display:inherit;clear:left;"&gt;ser&lt;span class="_ _7"&gt;&lt;/span&gt;vice and non&lt;span class="_ _2"&gt;&lt;/span&gt;-mark&lt;span class="_ _2"&gt;&lt;/span&gt;et per&lt;span class="_ _7"&gt;&lt;/span&gt;formance conditions&lt;span class="_ _2"&gt;&lt;/span&gt; at the vesting&lt;span class="_ _2"&gt;&lt;/span&gt; date. &lt;/span&gt;&lt;span style="display:inherit;clear:left;"&gt;For share&lt;span class="_ _2"&gt;&lt;/span&gt;-based payment transactions wit&lt;span class="_ _2"&gt;&lt;/span&gt;h non-&lt;span class="_ _2"&gt;&lt;/span&gt;vesting conditions, &lt;/span&gt;&lt;span style="display:inherit;clear:left;"&gt;the g&lt;span class="_ _7"&gt;&lt;/span&gt;r&lt;span class="_ _7"&gt;&lt;/span&gt;ant-date fa&lt;span class="_ _7"&gt;&lt;/span&gt;ir va&lt;span class="_ _7"&gt;&lt;/span&gt;lue i&lt;span class="_ _7"&gt;&lt;/span&gt;s ad&lt;span class="_ _7"&gt;&lt;/span&gt;ju&lt;span class="_ _7"&gt;&lt;/span&gt;ste&lt;span class="_ _7"&gt;&lt;/span&gt;d to r&lt;span class="_ _7"&gt;&lt;/span&gt;ef&lt;span class="_ _7"&gt;&lt;/span&gt;lec&lt;span class="_ _7"&gt;&lt;/span&gt;t th&lt;span class="_ _7"&gt;&lt;/span&gt;es&lt;span class="_ _7"&gt;&lt;/span&gt;e c&lt;span class="_ _7"&gt;&lt;/span&gt;on&lt;span class="_ _7"&gt;&lt;/span&gt;dit&lt;span class="_ _7"&gt;&lt;/span&gt;ion&lt;span class="_ _7"&gt;&lt;/span&gt;s&lt;span class="_ _7"&gt;&lt;/span&gt;.&lt;/span&gt;&lt;span style="display:inherit;clear:left;"&gt;For c&lt;span class="_ _7"&gt;&lt;/span&gt;omp&lt;span class="_ _7"&gt;&lt;/span&gt;on&lt;span class="_ _7"&gt;&lt;/span&gt;en&lt;span class="_ _7"&gt;&lt;/span&gt;ts o&lt;span class="_ _7"&gt;&lt;/span&gt;f the E&lt;span class="_ _7"&gt;&lt;/span&gt;SMP th&lt;span class="_ _7"&gt;&lt;/span&gt;at a&lt;span class="_ _7"&gt;&lt;/span&gt;re c&lt;span class="_ _7"&gt;&lt;/span&gt;as&lt;span class="_ _7"&gt;&lt;/span&gt;h-se&lt;span class="_ _7"&gt;&lt;/span&gt;tt&lt;span class="_ _7"&gt;&lt;/span&gt;le&lt;span class="_ _7"&gt;&lt;/span&gt;d, th&lt;span class="_ _7"&gt;&lt;/span&gt;e li&lt;span class="_ _7"&gt;&lt;/span&gt;abi&lt;span class="_ _7"&gt;&lt;/span&gt;li&lt;span class="_ _7"&gt;&lt;/span&gt;t&lt;span class="_ _7"&gt;&lt;/span&gt;y is &lt;/span&gt;&lt;span style="display:inherit;clear:left;"&gt;val&lt;span class="_ _7"&gt;&lt;/span&gt;ued b&lt;span class="_ _7"&gt;&lt;/span&gt;a&lt;span class="_ _7"&gt;&lt;/span&gt;se&lt;span class="_ _7"&gt;&lt;/span&gt;d on th&lt;span class="_ _7"&gt;&lt;/span&gt;e f&lt;span class="_ _7"&gt;&lt;/span&gt;air v&lt;span class="_ _7"&gt;&lt;/span&gt;alu&lt;span class="_ _7"&gt;&lt;/span&gt;e of th&lt;span class="_ _7"&gt;&lt;/span&gt;e li&lt;span class="_ _7"&gt;&lt;/span&gt;abi&lt;span class="_ _7"&gt;&lt;/span&gt;lit&lt;span class="_ _7"&gt;&lt;/span&gt;y a&lt;span class="_ _7"&gt;&lt;/span&gt;nd i&lt;span class="_ _7"&gt;&lt;/span&gt;s rev&lt;span class="_ _7"&gt;&lt;/span&gt;alu&lt;span class="_ _7"&gt;&lt;/span&gt;ed a&lt;span class="_ _7"&gt;&lt;/span&gt;t the &lt;/span&gt;&lt;span style="display:inherit;clear:left;"&gt;en&lt;span class="_ _7"&gt;&lt;/span&gt;d of e&lt;span class="_ _7"&gt;&lt;/span&gt;ach r&lt;span class="_ _7"&gt;&lt;/span&gt;ep&lt;span class="_ _7"&gt;&lt;/span&gt;or&lt;span class="_ _7"&gt;&lt;/span&gt;ti&lt;span class="_ _7"&gt;&lt;/span&gt;ng p&lt;span class="_ _7"&gt;&lt;/span&gt;er&lt;span class="_ _7"&gt;&lt;/span&gt;io&lt;span class="_ _7"&gt;&lt;/span&gt;d, w&lt;span class="_ _7"&gt;&lt;/span&gt;ith a&lt;span class="_ _7"&gt;&lt;/span&gt;ny ch&lt;span class="_ _7"&gt;&lt;/span&gt;ang&lt;span class="_ _7"&gt;&lt;/span&gt;es i&lt;span class="_ _7"&gt;&lt;/span&gt;n fa&lt;span class="_ _7"&gt;&lt;/span&gt;ir va&lt;span class="_ _7"&gt;&lt;/span&gt;lue r&lt;span class="_ _7"&gt;&lt;/span&gt;ec&lt;span class="_ _7"&gt;&lt;/span&gt;og-&lt;/span&gt;&lt;span style="display:inherit;clear:left;"&gt;nis&lt;span class="_ _7"&gt;&lt;/span&gt;e&lt;span class="_ _7"&gt;&lt;/span&gt;d in th&lt;span class="_ _7"&gt;&lt;/span&gt;e in&lt;span class="_ _7"&gt;&lt;/span&gt;co&lt;span class="_ _7"&gt;&lt;/span&gt;me s&lt;span class="_ _7"&gt;&lt;/span&gt;ta&lt;span class="_ _7"&gt;&lt;/span&gt;tem&lt;span class="_ _7"&gt;&lt;/span&gt;ent f&lt;span class="_ _7"&gt;&lt;/span&gt;or th&lt;span class="_ _7"&gt;&lt;/span&gt;e p&lt;span class="_ _7"&gt;&lt;/span&gt;eri&lt;span class="_ _7"&gt;&lt;/span&gt;od&lt;span class="_ _7"&gt;&lt;/span&gt;.&lt;/span&gt;</t>
  </si>
  <si>
    <t>f1__s8__6__79-1</t>
  </si>
  <si>
    <t>ifrs-full:DisclosureOfSharebasedPaymentArrangementsExplanatory</t>
  </si>
  <si>
    <t>&lt;span style="display:inherit;clear:left;"&gt;ACCOUNTING&lt;span class="_ _2"&gt;&lt;/span&gt; POLICIES&lt;/span&gt;&lt;span style="display:inherit;clear:left;"&gt;Incentive&lt;span class="_ _2"&gt;&lt;/span&gt; programmes&lt;/span&gt;&lt;span style="display:inherit;clear:left;"&gt;Volvo Ca&lt;span class="_ _7"&gt;&lt;/span&gt;r Gro&lt;span class="_ _7"&gt;&lt;/span&gt;up m&lt;span class="_ _7"&gt;&lt;/span&gt;an&lt;span class="_ _7"&gt;&lt;/span&gt;age&lt;span class="_ _7"&gt;&lt;/span&gt;s a tot&lt;span class="_ _7"&gt;&lt;/span&gt;al o&lt;span class="_ _7"&gt;&lt;/span&gt;f fo&lt;span class="_ _7"&gt;&lt;/span&gt;ur di&lt;span class="_ _7"&gt;&lt;/span&gt;f&lt;span class="_ _7"&gt;&lt;/span&gt;f&lt;span class="_ _7"&gt;&lt;/span&gt;er&lt;span class="_ _7"&gt;&lt;/span&gt;ent g&lt;span class="_ _7"&gt;&lt;/span&gt;lob&lt;span class="_ _7"&gt;&lt;/span&gt;al i&lt;span class="_ _7"&gt;&lt;/span&gt;nc&lt;span class="_ _7"&gt;&lt;/span&gt;ent&lt;span class="_ _7"&gt;&lt;/span&gt;ive &lt;/span&gt;&lt;span style="display:inherit;clear:left;"&gt;pro&lt;span class="_ _7"&gt;&lt;/span&gt;gr&lt;span class="_ _7"&gt;&lt;/span&gt;am&lt;span class="_ _7"&gt;&lt;/span&gt;me&lt;span class="_ _7"&gt;&lt;/span&gt;s&lt;span class="_ _7"&gt;&lt;/span&gt;, wh&lt;span class="_ _7"&gt;&lt;/span&gt;ere&lt;span class="_ _7"&gt;&lt;/span&gt;of t&lt;span class="_ _7"&gt;&lt;/span&gt;w&lt;span class="_ _7"&gt;&lt;/span&gt;o are s&lt;span class="_ _7"&gt;&lt;/span&gt;ho&lt;span class="_ _7"&gt;&lt;/span&gt;r&lt;span class="_ _7"&gt;&lt;/span&gt;t&lt;span class="_ _2"&gt;&lt;/span&gt;-term a&lt;span class="_ _7"&gt;&lt;/span&gt;nd t&lt;span class="_ _7"&gt;&lt;/span&gt;wo a&lt;span class="_ _7"&gt;&lt;/span&gt;re lo&lt;span class="_ _7"&gt;&lt;/span&gt;ng-term&lt;span class="_ _7"&gt;&lt;/span&gt;.&lt;span class="fc9"&gt;  &lt;/span&gt;&lt;/span&gt;&lt;span style="display:inherit;clear:left;"&gt;Short&lt;span class="_ _6"&gt;&lt;/span&gt;-t&lt;span class="_ _2"&gt;&lt;/span&gt;erm&lt;/span&gt;&lt;span style="display:inherit;clear:left;"&gt;• &lt;span class="_ _17"&gt; &lt;/span&gt;&lt;span class="lsc7 wsed"&gt;The Short&lt;span class="_ _2"&gt;&lt;/span&gt;-&lt;span class="_ _6"&gt;&lt;/span&gt;T&lt;span class="_ _6"&gt;&lt;/span&gt;er&lt;span class="_ _7"&gt;&lt;/span&gt;m V&lt;span class="_ _2"&gt;&lt;/span&gt;ariable Pa&lt;span class="_ _2"&gt;&lt;/span&gt;y Programme for&lt;span class="_ _2"&gt;&lt;/span&gt; Senior Leaders &lt;/span&gt;&lt;/span&gt;&lt;span style="display:inherit;clear:left;"&gt;(STVP&lt;span class="_ _2"&gt;&lt;/span&gt; for Senior Leaders)&lt;/span&gt;&lt;span style="display:inherit;clear:left;"&gt;• &lt;span class="_ _17"&gt; &lt;/span&gt;T&lt;span class="_ _7"&gt;&lt;/span&gt;he Volvo B&lt;span class="_ _7"&gt;&lt;/span&gt;onu&lt;span class="_ _7"&gt;&lt;/span&gt;s pr&lt;span class="_ _7"&gt;&lt;/span&gt;og&lt;span class="_ _7"&gt;&lt;/span&gt;ra&lt;span class="_ _7"&gt;&lt;/span&gt;mm&lt;span class="_ _7"&gt;&lt;/span&gt;e&lt;span class="fc9"&gt; &lt;/span&gt;&lt;/span&gt;&lt;span style="display:inherit;clear:left;"&gt;L&lt;span class="_ _7"&gt;&lt;/span&gt;o&lt;span class="_ _7"&gt;&lt;/span&gt;n&lt;span class="_ _7"&gt;&lt;/span&gt;g&lt;span class="_ _7"&gt;&lt;/span&gt;-t&lt;span class="_ _7"&gt;&lt;/span&gt;e&lt;span class="_ _7"&gt;&lt;/span&gt;r&lt;span class="_ _7"&gt;&lt;/span&gt;m&lt;/span&gt;&lt;span style="display:inherit;clear:left;"&gt;• &lt;span class="_ _17"&gt; &lt;/span&gt;T&lt;span class="_ _7"&gt;&lt;/span&gt;he Pe&lt;span class="_ _7"&gt;&lt;/span&gt;r&lt;span class="_ _7"&gt;&lt;/span&gt;fo&lt;span class="_ _7"&gt;&lt;/span&gt;rm&lt;span class="_ _7"&gt;&lt;/span&gt;an&lt;span class="_ _7"&gt;&lt;/span&gt;ce s&lt;span class="_ _7"&gt;&lt;/span&gt;har&lt;span class="_ _7"&gt;&lt;/span&gt;e pr&lt;span class="_ _7"&gt;&lt;/span&gt;og&lt;span class="_ _7"&gt;&lt;/span&gt;ra&lt;span class="_ _7"&gt;&lt;/span&gt;mme (&lt;span class="_ _7"&gt;&lt;/span&gt;PSP)&lt;/span&gt;&lt;span style="display:inherit;clear:left;"&gt;• &lt;span class="_ _17"&gt; &lt;/span&gt;T&lt;span class="_ _7"&gt;&lt;/span&gt;he Emp&lt;span class="_ _7"&gt;&lt;/span&gt;loy&lt;span class="_ _7"&gt;&lt;/span&gt;ee s&lt;span class="_ _7"&gt;&lt;/span&gt;ha&lt;span class="_ _7"&gt;&lt;/span&gt;re ma&lt;span class="_ _7"&gt;&lt;/span&gt;tch&lt;span class="_ _7"&gt;&lt;/span&gt;ing p&lt;span class="_ _7"&gt;&lt;/span&gt;rog&lt;span class="_ _7"&gt;&lt;/span&gt;r&lt;span class="_ _7"&gt;&lt;/span&gt;amm&lt;span class="_ _7"&gt;&lt;/span&gt;e (ESM&lt;span class="_ _7"&gt;&lt;/span&gt;P)&lt;/span&gt;&lt;span style="display:inherit;clear:left;"&gt;Th&lt;span class="_ _7"&gt;&lt;/span&gt;e de&lt;span class="_ _7"&gt;&lt;/span&gt;sig&lt;span class="_ _7"&gt;&lt;/span&gt;n an&lt;span class="_ _7"&gt;&lt;/span&gt;d pa&lt;span class="_ _7"&gt;&lt;/span&gt;y-out o&lt;span class="_ _7"&gt;&lt;/span&gt;f all p&lt;span class="_ _7"&gt;&lt;/span&gt;ro&lt;span class="_ _7"&gt;&lt;/span&gt;gr&lt;span class="_ _7"&gt;&lt;/span&gt;am&lt;span class="_ _7"&gt;&lt;/span&gt;me&lt;span class="_ _7"&gt;&lt;/span&gt;s ar&lt;span class="_ _7"&gt;&lt;/span&gt;e sub&lt;span class="_ _7"&gt;&lt;/span&gt;je&lt;span class="_ _7"&gt;&lt;/span&gt;ct to a&lt;span class="_ _7"&gt;&lt;/span&gt;pp&lt;span class="_ _7"&gt;&lt;/span&gt;rov&lt;span class="_ _7"&gt;&lt;/span&gt;al &lt;/span&gt;&lt;span style="display:inherit;clear:left;"&gt;by th&lt;span class="_ _7"&gt;&lt;/span&gt;e Bo&lt;span class="_ _7"&gt;&lt;/span&gt;ard o&lt;span class="_ _7"&gt;&lt;/span&gt;f Di&lt;span class="_ _7"&gt;&lt;/span&gt;re&lt;span class="_ _7"&gt;&lt;/span&gt;cto&lt;span class="_ _7"&gt;&lt;/span&gt;r&lt;span class="_ _7"&gt;&lt;/span&gt;s. T&lt;span class="_ _7"&gt;&lt;/span&gt;he s&lt;span class="_ _7"&gt;&lt;/span&gt;ha&lt;span class="_ _7"&gt;&lt;/span&gt;re-b&lt;span class="_ _7"&gt;&lt;/span&gt;as&lt;span class="_ _7"&gt;&lt;/span&gt;ed p&lt;span class="_ _7"&gt;&lt;/span&gt;rog&lt;span class="_ _7"&gt;&lt;/span&gt;r&lt;span class="_ _7"&gt;&lt;/span&gt;amm&lt;span class="_ _7"&gt;&lt;/span&gt;e&lt;span class="_ _7"&gt;&lt;/span&gt;s are s&lt;span class="_ _7"&gt;&lt;/span&gt;ub&lt;span class="_ _7"&gt;&lt;/span&gt;je&lt;span class="_ _7"&gt;&lt;/span&gt;ct &lt;/span&gt;&lt;span style="display:inherit;clear:left;"&gt;to de&lt;span class="_ _7"&gt;&lt;/span&gt;ci&lt;span class="_ _7"&gt;&lt;/span&gt;sio&lt;span class="_ _7"&gt;&lt;/span&gt;n by th&lt;span class="_ _7"&gt;&lt;/span&gt;e An&lt;span class="_ _7"&gt;&lt;/span&gt;nua&lt;span class="_ _7"&gt;&lt;/span&gt;l Ge&lt;span class="_ _7"&gt;&lt;/span&gt;ne&lt;span class="_ _7"&gt;&lt;/span&gt;ra&lt;span class="_ _7"&gt;&lt;/span&gt;l Me&lt;span class="_ _7"&gt;&lt;/span&gt;eti&lt;span class="_ _7"&gt;&lt;/span&gt;ng. &lt;/span&gt;&lt;span style="display:inherit;clear:left;"&gt;Short&lt;span class="_ _6"&gt;&lt;/span&gt;-t&lt;span class="_ _2"&gt;&lt;/span&gt;erm incentiv&lt;span class="_ _2"&gt;&lt;/span&gt;e programmes&lt;/span&gt;&lt;span style="display:inherit;clear:left;"&gt;For th&lt;span class="_ _7"&gt;&lt;/span&gt;e sh&lt;span class="_ _7"&gt;&lt;/span&gt;or&lt;span class="_ _7"&gt;&lt;/span&gt;t-&lt;span class="_ _2"&gt;&lt;/span&gt;ter&lt;span class="_ _7"&gt;&lt;/span&gt;m in&lt;span class="_ _7"&gt;&lt;/span&gt;ce&lt;span class="_ _7"&gt;&lt;/span&gt;nti&lt;span class="_ _7"&gt;&lt;/span&gt;ve pr&lt;span class="_ _7"&gt;&lt;/span&gt;og&lt;span class="_ _7"&gt;&lt;/span&gt;ra&lt;span class="_ _7"&gt;&lt;/span&gt;mm&lt;span class="_ _7"&gt;&lt;/span&gt;es a l&lt;span class="_ _7"&gt;&lt;/span&gt;iab&lt;span class="_ _7"&gt;&lt;/span&gt;ili&lt;span class="_ _7"&gt;&lt;/span&gt;t&lt;span class="_ _7"&gt;&lt;/span&gt;y is r&lt;span class="_ _7"&gt;&lt;/span&gt;ec&lt;span class="_ _7"&gt;&lt;/span&gt;og&lt;span class="_ _7"&gt;&lt;/span&gt;ni&lt;span class="_ _7"&gt;&lt;/span&gt;se&lt;span class="_ _7"&gt;&lt;/span&gt;d if &lt;/span&gt;&lt;span style="display:inherit;clear:left;"&gt;all p&lt;span class="_ _7"&gt;&lt;/span&gt;re&lt;span class="_ _7"&gt;&lt;/span&gt;re&lt;span class="_ _7"&gt;&lt;/span&gt;qui&lt;span class="_ _7"&gt;&lt;/span&gt;si&lt;span class="_ _7"&gt;&lt;/span&gt;te&lt;span class="_ _7"&gt;&lt;/span&gt;s are m&lt;span class="_ _7"&gt;&lt;/span&gt;et a&lt;span class="_ _7"&gt;&lt;/span&gt;nd th&lt;span class="_ _7"&gt;&lt;/span&gt;e co&lt;span class="_ _7"&gt;&lt;/span&gt;s&lt;span class="_ _7"&gt;&lt;/span&gt;t is r&lt;span class="_ _7"&gt;&lt;/span&gt;ec&lt;span class="_ _7"&gt;&lt;/span&gt;ogn&lt;span class="_ _7"&gt;&lt;/span&gt;is&lt;span class="_ _7"&gt;&lt;/span&gt;e&lt;span class="_ _7"&gt;&lt;/span&gt;d as an o&lt;span class="_ _7"&gt;&lt;/span&gt;pe&lt;span class="_ _7"&gt;&lt;/span&gt;ra&lt;span class="_ _7"&gt;&lt;/span&gt;tin&lt;span class="_ _7"&gt;&lt;/span&gt;g &lt;/span&gt;&lt;span style="display:inherit;clear:left;"&gt;expense.&lt;span class="_ _2"&gt;&lt;/span&gt; &lt;/span&gt;&lt;span style="display:inherit;clear:left;"&gt;Long-&lt;span class="_ _2"&gt;&lt;/span&gt;term i&lt;span class="_ _7"&gt;&lt;/span&gt;nc&lt;span class="_ _7"&gt;&lt;/span&gt;enti&lt;span class="_ _7"&gt;&lt;/span&gt;ve prog&lt;span class="_ _7"&gt;&lt;/span&gt;ram&lt;span class="_ _7"&gt;&lt;/span&gt;mes&lt;/span&gt;&lt;span style="display:inherit;clear:left;"&gt;For in&lt;span class="_ _7"&gt;&lt;/span&gt;fo&lt;span class="_ _7"&gt;&lt;/span&gt;rm&lt;span class="_ _7"&gt;&lt;/span&gt;ati&lt;span class="_ _7"&gt;&lt;/span&gt;on o&lt;span class="_ _7"&gt;&lt;/span&gt;n sh&lt;span class="_ _7"&gt;&lt;/span&gt;are&lt;span class="_ _7"&gt;&lt;/span&gt;-bas&lt;span class="_ _7"&gt;&lt;/span&gt;e&lt;span class="_ _7"&gt;&lt;/span&gt;d pro&lt;span class="_ _7"&gt;&lt;/span&gt;gr&lt;span class="_ _7"&gt;&lt;/span&gt;am&lt;span class="_ _7"&gt;&lt;/span&gt;me&lt;span class="_ _7"&gt;&lt;/span&gt;s&lt;span class="_ _7"&gt;&lt;/span&gt;, se&lt;span class="_ _7"&gt;&lt;/span&gt;e No&lt;span class="_ _7"&gt;&lt;/span&gt;te 9 – Sh&lt;span class="_ _7"&gt;&lt;/span&gt;are-&lt;/span&gt;&lt;span style="display:inherit;clear:left;"&gt;based remuneration. &lt;/span&gt;&lt;span style="display:inherit;clear:left;"&gt;Restructuring&lt;/span&gt;&lt;span style="display:inherit;clear:left;"&gt;Volvo Ca&lt;span class="_ _7"&gt;&lt;/span&gt;r Gro&lt;span class="_ _7"&gt;&lt;/span&gt;up f&lt;span class="_ _7"&gt;&lt;/span&gt;ro&lt;span class="_ _7"&gt;&lt;/span&gt;m tim&lt;span class="_ _7"&gt;&lt;/span&gt;e-to-&lt;span class="_ _2"&gt;&lt;/span&gt;ti&lt;span class="_ _7"&gt;&lt;/span&gt;me e&lt;span class="_ _7"&gt;&lt;/span&gt;ng&lt;span class="_ _7"&gt;&lt;/span&gt;age i&lt;span class="_ _7"&gt;&lt;/span&gt;n re&lt;span class="_ _7"&gt;&lt;/span&gt;st&lt;span class="_ _7"&gt;&lt;/span&gt;ru&lt;span class="_ _7"&gt;&lt;/span&gt;ctu&lt;span class="_ _7"&gt;&lt;/span&gt;ri&lt;span class="_ _7"&gt;&lt;/span&gt;ng pr&lt;span class="_ _7"&gt;&lt;/span&gt;o-&lt;/span&gt;&lt;span style="display:inherit;clear:left;"&gt;gr&lt;span class="_ _7"&gt;&lt;/span&gt;am&lt;span class="_ _7"&gt;&lt;/span&gt;me&lt;span class="_ _7"&gt;&lt;/span&gt;s to re&lt;span class="_ _7"&gt;&lt;/span&gt;du&lt;span class="_ _7"&gt;&lt;/span&gt;ce co&lt;span class="_ _7"&gt;&lt;/span&gt;s&lt;span class="_ _7"&gt;&lt;/span&gt;t an&lt;span class="_ _7"&gt;&lt;/span&gt;d dr&lt;span class="_ _7"&gt;&lt;/span&gt;ive e&lt;span class="_ _7"&gt;&lt;/span&gt;f&lt;span class="_ _7"&gt;&lt;/span&gt;f&lt;span class="_ _7"&gt;&lt;/span&gt;ic&lt;span class="_ _7"&gt;&lt;/span&gt;ien&lt;span class="_ _7"&gt;&lt;/span&gt;ci&lt;span class="_ _7"&gt;&lt;/span&gt;es&lt;span class="_ _7"&gt;&lt;/span&gt;. Su&lt;span class="_ _7"&gt;&lt;/span&gt;ch p&lt;span class="_ _7"&gt;&lt;/span&gt;rog&lt;span class="_ _7"&gt;&lt;/span&gt;r&lt;span class="_ _7"&gt;&lt;/span&gt;amm&lt;span class="_ _7"&gt;&lt;/span&gt;es &lt;/span&gt;&lt;span style="display:inherit;clear:left;"&gt;may i&lt;span class="_ _7"&gt;&lt;/span&gt;nvol&lt;span class="_ _7"&gt;&lt;/span&gt;ve a re&lt;span class="_ _7"&gt;&lt;/span&gt;dun&lt;span class="_ _7"&gt;&lt;/span&gt;da&lt;span class="_ _7"&gt;&lt;/span&gt;nc&lt;span class="_ _7"&gt;&lt;/span&gt;y of e&lt;span class="_ _7"&gt;&lt;/span&gt;mpl&lt;span class="_ _7"&gt;&lt;/span&gt;oyee&lt;span class="_ _7"&gt;&lt;/span&gt;s&lt;span class="_ _7"&gt;&lt;/span&gt;. Wh&lt;span class="_ _7"&gt;&lt;/span&gt;en a d&lt;span class="_ _7"&gt;&lt;/span&gt;et&lt;span class="_ _7"&gt;&lt;/span&gt;ail&lt;span class="_ _7"&gt;&lt;/span&gt;ed a&lt;span class="_ _7"&gt;&lt;/span&gt;nd fo&lt;span class="_ _7"&gt;&lt;/span&gt;rm&lt;span class="_ _7"&gt;&lt;/span&gt;al &lt;/span&gt;&lt;span style="display:inherit;clear:left;"&gt;pl&lt;span class="_ _7"&gt;&lt;/span&gt;an o&lt;span class="_ _7"&gt;&lt;/span&gt;f re&lt;span class="_ _7"&gt;&lt;/span&gt;st&lt;span class="_ _7"&gt;&lt;/span&gt;ru&lt;span class="_ _7"&gt;&lt;/span&gt;ct&lt;span class="_ _7"&gt;&lt;/span&gt;uri&lt;span class="_ _7"&gt;&lt;/span&gt;ng h&lt;span class="_ _7"&gt;&lt;/span&gt;as b&lt;span class="_ _7"&gt;&lt;/span&gt;ee&lt;span class="_ _7"&gt;&lt;/span&gt;n pub&lt;span class="_ _7"&gt;&lt;/span&gt;li&lt;span class="_ _7"&gt;&lt;/span&gt;cly an&lt;span class="_ _7"&gt;&lt;/span&gt;no&lt;span class="_ _7"&gt;&lt;/span&gt;un&lt;span class="_ _7"&gt;&lt;/span&gt;ce&lt;span class="_ _7"&gt;&lt;/span&gt;d, th&lt;span class="_ _7"&gt;&lt;/span&gt;e am&lt;span class="_ _7"&gt;&lt;/span&gt;ou&lt;span class="_ _7"&gt;&lt;/span&gt;nt&lt;span class="_ _7"&gt;&lt;/span&gt;s of &lt;/span&gt;&lt;span style="display:inherit;clear:left;"&gt;pro&lt;span class="_ _7"&gt;&lt;/span&gt;vi&lt;span class="_ _7"&gt;&lt;/span&gt;si&lt;span class="_ _7"&gt;&lt;/span&gt;on ar&lt;span class="_ _7"&gt;&lt;/span&gt;e de&lt;span class="_ _7"&gt;&lt;/span&gt;ter&lt;span class="_ _7"&gt;&lt;/span&gt;mi&lt;span class="_ _7"&gt;&lt;/span&gt;ne&lt;span class="_ _7"&gt;&lt;/span&gt;d ba&lt;span class="_ _7"&gt;&lt;/span&gt;se&lt;span class="_ _7"&gt;&lt;/span&gt;d on t&lt;span class="_ _7"&gt;&lt;/span&gt;he tot&lt;span class="_ _7"&gt;&lt;/span&gt;al d&lt;span class="_ _7"&gt;&lt;/span&gt;ir&lt;span class="_ _7"&gt;&lt;/span&gt;ec&lt;span class="_ _7"&gt;&lt;/span&gt;t exp&lt;span class="_ _7"&gt;&lt;/span&gt;en&lt;span class="_ _7"&gt;&lt;/span&gt;di&lt;span class="_ _7"&gt;&lt;/span&gt;tur&lt;span class="_ _7"&gt;&lt;/span&gt;e  &lt;/span&gt;&lt;span style="display:inherit;clear:left;"&gt;ari&lt;span class="_ _7"&gt;&lt;/span&gt;si&lt;span class="_ _7"&gt;&lt;/span&gt;ng f&lt;span class="_ _7"&gt;&lt;/span&gt;ro&lt;span class="_ _7"&gt;&lt;/span&gt;m the r&lt;span class="_ _7"&gt;&lt;/span&gt;es&lt;span class="_ _7"&gt;&lt;/span&gt;tr&lt;span class="_ _7"&gt;&lt;/span&gt;uc&lt;span class="_ _7"&gt;&lt;/span&gt;tu&lt;span class="_ _7"&gt;&lt;/span&gt;rin&lt;span class="_ _7"&gt;&lt;/span&gt;g wh&lt;span class="_ _7"&gt;&lt;/span&gt;en th&lt;span class="_ _7"&gt;&lt;/span&gt;e re&lt;span class="_ _7"&gt;&lt;/span&gt;cog&lt;span class="_ _7"&gt;&lt;/span&gt;ni&lt;span class="_ _7"&gt;&lt;/span&gt;ti&lt;span class="_ _7"&gt;&lt;/span&gt;on  &lt;span class="_ _b3"&gt;&lt;/span&gt;cri&lt;span class="_ _7"&gt;&lt;/span&gt;ter&lt;span class="_ _7"&gt;&lt;/span&gt;ia f&lt;span class="_ _7"&gt;&lt;/span&gt;or  &lt;/span&gt;&lt;span style="display:inherit;clear:left;"&gt;pro&lt;span class="_ _7"&gt;&lt;/span&gt;vi&lt;span class="_ _7"&gt;&lt;/span&gt;si&lt;span class="_ _7"&gt;&lt;/span&gt;on&lt;span class="_ _7"&gt;&lt;/span&gt;s are m&lt;span class="_ _7"&gt;&lt;/span&gt;et&lt;span class="_ _7"&gt;&lt;/span&gt;, s&lt;span class="_ _7"&gt;&lt;/span&gt;ee No&lt;span class="_ _7"&gt;&lt;/span&gt;te 23 – Cu&lt;span class="_ _7"&gt;&lt;/span&gt;rre&lt;span class="_ _7"&gt;&lt;/span&gt;nt a&lt;span class="_ _7"&gt;&lt;/span&gt;nd ot&lt;span class="_ _7"&gt;&lt;/span&gt;he&lt;span class="_ _7"&gt;&lt;/span&gt;r non-c&lt;span class="_ _7"&gt;&lt;/span&gt;ur&lt;span class="_ _7"&gt;&lt;/span&gt;ren&lt;span class="_ _7"&gt;&lt;/span&gt;t &lt;/span&gt;&lt;span style="display:inherit;clear:left;"&gt;provisions.&lt;/span&gt;&lt;span style="display:inherit;clear:left;"&gt;NOT&lt;span class="_ _7"&gt;&lt;/span&gt;E 9&lt;/span&gt;&lt;span style="display:inherit;clear:left;"&gt;SHAR&lt;span class="_ _7"&gt;&lt;/span&gt;E-BASED REMUNER&lt;span class="_ _7"&gt;&lt;/span&gt;A&lt;span class="_ _2"&gt;&lt;/span&gt;TIO&lt;span class="_ _7"&gt;&lt;/span&gt;N&lt;/span&gt;&lt;span style="display:inherit;clear:left;"&gt;ACCOUNTING&lt;span class="_ _2"&gt;&lt;/span&gt; POLICIES&lt;/span&gt;&lt;span style="display:inherit;clear:left;"&gt;Sha&lt;span class="_ _7"&gt;&lt;/span&gt;re-base&lt;span class="_ _7"&gt;&lt;/span&gt;d long-&lt;span class="_ _2"&gt;&lt;/span&gt;term p&lt;span class="_ _7"&gt;&lt;/span&gt;rogra&lt;span class="_ _7"&gt;&lt;/span&gt;mme&lt;span class="_ _7"&gt;&lt;/span&gt;s&lt;/span&gt;&lt;span style="display:inherit;clear:left;"&gt;Th&lt;span class="_ _7"&gt;&lt;/span&gt;e fai&lt;span class="_ _7"&gt;&lt;/span&gt;r va&lt;span class="_ _7"&gt;&lt;/span&gt;lue o&lt;span class="_ _7"&gt;&lt;/span&gt;f the s&lt;span class="_ _7"&gt;&lt;/span&gt;ha&lt;span class="_ _7"&gt;&lt;/span&gt;re-b&lt;span class="_ _7"&gt;&lt;/span&gt;as&lt;span class="_ _7"&gt;&lt;/span&gt;ed p&lt;span class="_ _7"&gt;&lt;/span&gt;rog&lt;span class="_ _7"&gt;&lt;/span&gt;r&lt;span class="_ _7"&gt;&lt;/span&gt;amm&lt;span class="_ _7"&gt;&lt;/span&gt;e&lt;span class="_ _7"&gt;&lt;/span&gt;s are b&lt;span class="_ _7"&gt;&lt;/span&gt;as&lt;span class="_ _7"&gt;&lt;/span&gt;e&lt;span class="_ _7"&gt;&lt;/span&gt;d on th&lt;span class="_ _7"&gt;&lt;/span&gt;e &lt;/span&gt;&lt;span style="display:inherit;clear:left;"&gt;share price r&lt;span class="_ _2"&gt;&lt;/span&gt;educed by expected&lt;span class="_ _2"&gt;&lt;/span&gt; dividen&lt;span class="_ _7"&gt;&lt;/span&gt;ds connected&lt;span class="_ _2"&gt;&lt;/span&gt; with the &lt;/span&gt;&lt;span style="display:inherit;clear:left;"&gt;sh&lt;span class="_ _7"&gt;&lt;/span&gt;are d&lt;span class="_ _7"&gt;&lt;/span&gt;ur&lt;span class="_ _7"&gt;&lt;/span&gt;ing th&lt;span class="_ _7"&gt;&lt;/span&gt;e ve&lt;span class="_ _7"&gt;&lt;/span&gt;s&lt;span class="_ _7"&gt;&lt;/span&gt;ting p&lt;span class="_ _7"&gt;&lt;/span&gt;er&lt;span class="_ _7"&gt;&lt;/span&gt;io&lt;span class="_ _7"&gt;&lt;/span&gt;d&lt;span class="_ _7"&gt;&lt;/span&gt;. Add&lt;span class="_ _7"&gt;&lt;/span&gt;iti&lt;span class="_ _7"&gt;&lt;/span&gt;on&lt;span class="_ _7"&gt;&lt;/span&gt;al s&lt;span class="_ _7"&gt;&lt;/span&gt;oci&lt;span class="_ _7"&gt;&lt;/span&gt;al ex&lt;span class="_ _7"&gt;&lt;/span&gt;p&lt;span class="_ _7"&gt;&lt;/span&gt;en&lt;span class="_ _7"&gt;&lt;/span&gt;se&lt;span class="_ _7"&gt;&lt;/span&gt;s ar&lt;span class="_ _7"&gt;&lt;/span&gt;e &lt;/span&gt;&lt;span style="display:inherit;clear:left;"&gt; &lt;span class="_ _1"&gt;&lt;/span&gt;r&lt;span class="_ _7"&gt;&lt;/span&gt;ec&lt;span class="_ _7"&gt;&lt;/span&gt;ogn&lt;span class="_ _7"&gt;&lt;/span&gt;is&lt;span class="_ _7"&gt;&lt;/span&gt;e&lt;span class="_ _7"&gt;&lt;/span&gt;d as a li&lt;span class="_ _7"&gt;&lt;/span&gt;ab&lt;span class="_ _7"&gt;&lt;/span&gt;ili&lt;span class="_ _7"&gt;&lt;/span&gt;t&lt;span class="_ _7"&gt;&lt;/span&gt;y, reval&lt;span class="_ _7"&gt;&lt;/span&gt;ue&lt;span class="_ _7"&gt;&lt;/span&gt;d at ea&lt;span class="_ _7"&gt;&lt;/span&gt;ch b&lt;span class="_ _7"&gt;&lt;/span&gt;al&lt;span class="_ _7"&gt;&lt;/span&gt;an&lt;span class="_ _7"&gt;&lt;/span&gt;ce s&lt;span class="_ _7"&gt;&lt;/span&gt;he&lt;span class="_ _7"&gt;&lt;/span&gt;et da&lt;span class="_ _7"&gt;&lt;/span&gt;te. &lt;/span&gt;&lt;span style="display:inherit;clear:left;"&gt;Th&lt;span class="_ _7"&gt;&lt;/span&gt;e aim o&lt;span class="_ _7"&gt;&lt;/span&gt;f the&lt;span class="_ _7"&gt;&lt;/span&gt;s&lt;span class="_ _7"&gt;&lt;/span&gt;e sh&lt;span class="_ _7"&gt;&lt;/span&gt;ar&lt;span class="_ _7"&gt;&lt;/span&gt;e-bas&lt;span class="_ _7"&gt;&lt;/span&gt;e&lt;span class="_ _7"&gt;&lt;/span&gt;d pr&lt;span class="_ _7"&gt;&lt;/span&gt;og&lt;span class="_ _7"&gt;&lt;/span&gt;ram&lt;span class="_ _7"&gt;&lt;/span&gt;me&lt;span class="_ _7"&gt;&lt;/span&gt;s i&lt;span class="_ _7"&gt;&lt;/span&gt;s to ge&lt;span class="_ _7"&gt;&lt;/span&gt;ner&lt;span class="_ _7"&gt;&lt;/span&gt;at&lt;span class="_ _7"&gt;&lt;/span&gt;e eng&lt;span class="_ _7"&gt;&lt;/span&gt;age&lt;span class="ws3"&gt;-&lt;/span&gt;&lt;/span&gt;&lt;span style="display:inherit;clear:left;"&gt;me&lt;span class="_ _7"&gt;&lt;/span&gt;nt an&lt;span class="_ _7"&gt;&lt;/span&gt;d co&lt;span class="_ _7"&gt;&lt;/span&gt;mmi&lt;span class="_ _7"&gt;&lt;/span&gt;tm&lt;span class="_ _7"&gt;&lt;/span&gt;ent to t&lt;span class="_ _7"&gt;&lt;/span&gt;he o&lt;span class="_ _7"&gt;&lt;/span&gt;rg&lt;span class="_ _7"&gt;&lt;/span&gt;ani&lt;span class="_ _7"&gt;&lt;/span&gt;s&lt;span class="_ _7"&gt;&lt;/span&gt;ati&lt;span class="_ _7"&gt;&lt;/span&gt;on o&lt;span class="_ _7"&gt;&lt;/span&gt;n a lon&lt;span class="_ _7"&gt;&lt;/span&gt;g-&lt;span class="_ _2"&gt;&lt;/span&gt;te&lt;span class="_ _7"&gt;&lt;/span&gt;rm b&lt;span class="_ _7"&gt;&lt;/span&gt;as&lt;span class="_ _7"&gt;&lt;/span&gt;is&lt;span class="_ _7"&gt;&lt;/span&gt;. Th&lt;span class="_ _7"&gt;&lt;/span&gt;e &lt;/span&gt;&lt;span style="display:inherit;clear:left;"&gt;PSP i&lt;span class="_ _7"&gt;&lt;/span&gt;s eq&lt;span class="_ _7"&gt;&lt;/span&gt;ui&lt;span class="_ _7"&gt;&lt;/span&gt;t&lt;span class="_ _7"&gt;&lt;/span&gt;y-set&lt;span class="_ _7"&gt;&lt;/span&gt;t&lt;span class="_ _7"&gt;&lt;/span&gt;led w&lt;span class="_ _7"&gt;&lt;/span&gt;hi&lt;span class="_ _7"&gt;&lt;/span&gt;le th&lt;span class="_ _7"&gt;&lt;/span&gt;e ESMP p&lt;span class="_ _7"&gt;&lt;/span&gt;rog&lt;span class="_ _7"&gt;&lt;/span&gt;r&lt;span class="_ _7"&gt;&lt;/span&gt;amm&lt;span class="_ _7"&gt;&lt;/span&gt;e co&lt;span class="_ _7"&gt;&lt;/span&gt;nt&lt;span class="_ _7"&gt;&lt;/span&gt;ain&lt;span class="_ _7"&gt;&lt;/span&gt;s bo&lt;span class="_ _7"&gt;&lt;/span&gt;th &lt;/span&gt;&lt;span style="display:inherit;clear:left;"&gt;equity-settled and&lt;span class="_ _2"&gt;&lt;/span&gt; cash-settled components. For&lt;span class="_ _2"&gt;&lt;/span&gt; components of &lt;/span&gt;&lt;span style="display:inherit;clear:left;"&gt;the p&lt;span class="_ _7"&gt;&lt;/span&gt;ro&lt;span class="_ _7"&gt;&lt;/span&gt;gr&lt;span class="_ _7"&gt;&lt;/span&gt;amm&lt;span class="_ _7"&gt;&lt;/span&gt;e&lt;span class="_ _7"&gt;&lt;/span&gt;s tha&lt;span class="_ _7"&gt;&lt;/span&gt;t are e&lt;span class="_ _7"&gt;&lt;/span&gt;qu&lt;span class="_ _7"&gt;&lt;/span&gt;it&lt;span class="_ _7"&gt;&lt;/span&gt;y-s&lt;span class="_ _7"&gt;&lt;/span&gt;et&lt;span class="_ _7"&gt;&lt;/span&gt;tle&lt;span class="_ _7"&gt;&lt;/span&gt;d&lt;span class="_ _7"&gt;&lt;/span&gt;, the to&lt;span class="_ _7"&gt;&lt;/span&gt;ta&lt;span class="_ _7"&gt;&lt;/span&gt;l co&lt;span class="_ _7"&gt;&lt;/span&gt;mp&lt;span class="_ _7"&gt;&lt;/span&gt;en&lt;span class="_ _7"&gt;&lt;/span&gt;sa&lt;span class="_ _7"&gt;&lt;/span&gt;tio&lt;span class="_ _7"&gt;&lt;/span&gt;n &lt;/span&gt;&lt;span style="display:inherit;clear:left;"&gt;exp&lt;span class="_ _7"&gt;&lt;/span&gt;en&lt;span class="_ _7"&gt;&lt;/span&gt;se i&lt;span class="_ _7"&gt;&lt;/span&gt;s b&lt;span class="_ _7"&gt;&lt;/span&gt;as&lt;span class="_ _7"&gt;&lt;/span&gt;ed o&lt;span class="_ _7"&gt;&lt;/span&gt;n the f&lt;span class="_ _7"&gt;&lt;/span&gt;ai&lt;span class="_ _7"&gt;&lt;/span&gt;r val&lt;span class="_ _7"&gt;&lt;/span&gt;ue at t&lt;span class="_ _7"&gt;&lt;/span&gt;he g&lt;span class="_ _7"&gt;&lt;/span&gt;ra&lt;span class="_ _7"&gt;&lt;/span&gt;nt&lt;span class="_ _2"&gt;&lt;/span&gt;-d&lt;span class="_ _7"&gt;&lt;/span&gt;ate to&lt;span class="_ _7"&gt;&lt;/span&gt;get&lt;span class="_ _7"&gt;&lt;/span&gt;he&lt;span class="_ _7"&gt;&lt;/span&gt;r wit&lt;span class="_ _7"&gt;&lt;/span&gt;h &lt;/span&gt;&lt;span style="display:inherit;clear:left;"&gt;consideration of a&lt;span class="_ _2"&gt;&lt;/span&gt;ny relevant&lt;span class="_ _2"&gt;&lt;/span&gt; per&lt;span class="_ _7"&gt;&lt;/span&gt;formance conditions and&lt;span class="_ _2"&gt;&lt;/span&gt; is recog&lt;span class="_ _2"&gt;&lt;/span&gt;&lt;span class="ls3 ws3"&gt;-&lt;/span&gt;&lt;/span&gt;&lt;span style="display:inherit;clear:left;"&gt;nised over&lt;span class="_ _2"&gt;&lt;/span&gt; the relevant&lt;span class="_ _2"&gt;&lt;/span&gt; ser&lt;span class="_ _7"&gt;&lt;/span&gt;vice period, with a&lt;span class="_ _2"&gt;&lt;/span&gt; corres&lt;span class="_ _7"&gt;&lt;/span&gt;ponding &lt;/span&gt;&lt;span style="display:inherit;clear:left;"&gt;inc&lt;span class="_ _7"&gt;&lt;/span&gt;re&lt;span class="_ _7"&gt;&lt;/span&gt;as&lt;span class="_ _7"&gt;&lt;/span&gt;e in e&lt;span class="_ _7"&gt;&lt;/span&gt;qu&lt;span class="_ _7"&gt;&lt;/span&gt;it&lt;span class="_ _7"&gt;&lt;/span&gt;y. All sh&lt;span class="_ _7"&gt;&lt;/span&gt;ar&lt;span class="_ _7"&gt;&lt;/span&gt;e-bas&lt;span class="_ _7"&gt;&lt;/span&gt;e&lt;span class="_ _7"&gt;&lt;/span&gt;d pay&lt;span class="_ _7"&gt;&lt;/span&gt;m&lt;span class="_ _7"&gt;&lt;/span&gt;ent p&lt;span class="_ _7"&gt;&lt;/span&gt;rog&lt;span class="_ _7"&gt;&lt;/span&gt;r&lt;span class="_ _7"&gt;&lt;/span&gt;amm&lt;span class="_ _7"&gt;&lt;/span&gt;e&lt;span class="_ _7"&gt;&lt;/span&gt;s wit&lt;span class="_ _7"&gt;&lt;/span&gt;h &lt;/span&gt;&lt;span style="display:inherit;clear:left;"&gt;employees ha&lt;span class="_ _2"&gt;&lt;/span&gt;ve a service component while&lt;span class="_ _2"&gt;&lt;/span&gt; one has performance &lt;/span&gt;&lt;span style="display:inherit;clear:left;"&gt;com&lt;span class="_ _7"&gt;&lt;/span&gt;po&lt;span class="_ _7"&gt;&lt;/span&gt;ne&lt;span class="_ _7"&gt;&lt;/span&gt;nt&lt;span class="_ _7"&gt;&lt;/span&gt;s as we&lt;span class="_ _7"&gt;&lt;/span&gt;ll&lt;span class="_ _7"&gt;&lt;/span&gt;. Th&lt;span class="_ _7"&gt;&lt;/span&gt;e am&lt;span class="_ _7"&gt;&lt;/span&gt;ou&lt;span class="_ _7"&gt;&lt;/span&gt;nt re&lt;span class="_ _7"&gt;&lt;/span&gt;co&lt;span class="_ _7"&gt;&lt;/span&gt;gn&lt;span class="_ _7"&gt;&lt;/span&gt;is&lt;span class="_ _7"&gt;&lt;/span&gt;ed a&lt;span class="_ _7"&gt;&lt;/span&gt;s an ex&lt;span class="_ _7"&gt;&lt;/span&gt;pe&lt;span class="_ _7"&gt;&lt;/span&gt;ns&lt;span class="_ _7"&gt;&lt;/span&gt;e i&lt;span class="_ _7"&gt;&lt;/span&gt;s &lt;/span&gt;&lt;span style="display:inherit;clear:left;"&gt;adj&lt;span class="_ _7"&gt;&lt;/span&gt;us&lt;span class="_ _7"&gt;&lt;/span&gt;te&lt;span class="_ _7"&gt;&lt;/span&gt;d to co&lt;span class="_ _7"&gt;&lt;/span&gt;ns&lt;span class="_ _7"&gt;&lt;/span&gt;id&lt;span class="_ _7"&gt;&lt;/span&gt;er th&lt;span class="_ _7"&gt;&lt;/span&gt;e tot&lt;span class="_ _7"&gt;&lt;/span&gt;al n&lt;span class="_ _7"&gt;&lt;/span&gt;umb&lt;span class="_ _7"&gt;&lt;/span&gt;er o&lt;span class="_ _7"&gt;&lt;/span&gt;f awa&lt;span class="_ _7"&gt;&lt;/span&gt;rd&lt;span class="_ _7"&gt;&lt;/span&gt;s fo&lt;span class="_ _7"&gt;&lt;/span&gt;r whi&lt;span class="_ _7"&gt;&lt;/span&gt;ch th&lt;span class="_ _7"&gt;&lt;/span&gt;e re&lt;span class="_ _7"&gt;&lt;/span&gt;le&lt;span class="ls3"&gt;-&lt;/span&gt;&lt;/span&gt;&lt;span style="display:inherit;clear:left;"&gt;vant non&lt;span class="_ _2"&gt;&lt;/span&gt;-mark&lt;span class="_ _2"&gt;&lt;/span&gt;et per&lt;span class="_ _7"&gt;&lt;/span&gt;formance conditions&lt;span class="_ _2"&gt;&lt;/span&gt; and ser&lt;span class="_ _7"&gt;&lt;/span&gt;vice conditions are&lt;span class="_ _2"&gt;&lt;/span&gt; &lt;/span&gt;&lt;span style="display:inherit;clear:left;"&gt;exp&lt;span class="_ _7"&gt;&lt;/span&gt;ec&lt;span class="_ _7"&gt;&lt;/span&gt;te&lt;span class="_ _7"&gt;&lt;/span&gt;d to be m&lt;span class="_ _7"&gt;&lt;/span&gt;et&lt;span class="_ _7"&gt;&lt;/span&gt;. Th&lt;span class="_ _7"&gt;&lt;/span&gt;e re&lt;span class="_ _7"&gt;&lt;/span&gt;su&lt;span class="_ _7"&gt;&lt;/span&gt;lt is th&lt;span class="_ _7"&gt;&lt;/span&gt;at th&lt;span class="_ _7"&gt;&lt;/span&gt;e am&lt;span class="_ _7"&gt;&lt;/span&gt;ou&lt;span class="_ _7"&gt;&lt;/span&gt;nt ulti&lt;span class="_ _7"&gt;&lt;/span&gt;ma&lt;span class="_ _7"&gt;&lt;/span&gt;tely r&lt;span class="_ _7"&gt;&lt;/span&gt;ec&lt;span class="_ _7"&gt;&lt;/span&gt;og&lt;span class="ls3"&gt;-&lt;/span&gt;&lt;/span&gt;&lt;span style="display:inherit;clear:left;"&gt;nis&lt;span class="_ _7"&gt;&lt;/span&gt;e&lt;span class="_ _7"&gt;&lt;/span&gt;d is b&lt;span class="_ _7"&gt;&lt;/span&gt;as&lt;span class="_ _7"&gt;&lt;/span&gt;e&lt;span class="_ _7"&gt;&lt;/span&gt;d on th&lt;span class="_ _7"&gt;&lt;/span&gt;e ac&lt;span class="_ _7"&gt;&lt;/span&gt;tua&lt;span class="_ _7"&gt;&lt;/span&gt;l nu&lt;span class="_ _7"&gt;&lt;/span&gt;mb&lt;span class="_ _7"&gt;&lt;/span&gt;er o&lt;span class="_ _7"&gt;&lt;/span&gt;f awar&lt;span class="_ _7"&gt;&lt;/span&gt;ds t&lt;span class="_ _7"&gt;&lt;/span&gt;hat m&lt;span class="_ _7"&gt;&lt;/span&gt;ee&lt;span class="_ _7"&gt;&lt;/span&gt;t th&lt;span class="_ _7"&gt;&lt;/span&gt;e rel&lt;span class="_ _7"&gt;&lt;/span&gt;eva&lt;span class="_ _7"&gt;&lt;/span&gt;nt &lt;/span&gt;&lt;span style="display:inherit;clear:left;"&gt;ser&lt;span class="_ _7"&gt;&lt;/span&gt;vice and non&lt;span class="_ _2"&gt;&lt;/span&gt;-mark&lt;span class="_ _2"&gt;&lt;/span&gt;et per&lt;span class="_ _7"&gt;&lt;/span&gt;formance conditions&lt;span class="_ _2"&gt;&lt;/span&gt; at the vesting&lt;span class="_ _2"&gt;&lt;/span&gt; date. &lt;/span&gt;&lt;span style="display:inherit;clear:left;"&gt;For share&lt;span class="_ _2"&gt;&lt;/span&gt;-based payment transactions wit&lt;span class="_ _2"&gt;&lt;/span&gt;h non-&lt;span class="_ _2"&gt;&lt;/span&gt;vesting conditions, &lt;/span&gt;&lt;span style="display:inherit;clear:left;"&gt;the g&lt;span class="_ _7"&gt;&lt;/span&gt;r&lt;span class="_ _7"&gt;&lt;/span&gt;ant-date fa&lt;span class="_ _7"&gt;&lt;/span&gt;ir va&lt;span class="_ _7"&gt;&lt;/span&gt;lue i&lt;span class="_ _7"&gt;&lt;/span&gt;s ad&lt;span class="_ _7"&gt;&lt;/span&gt;ju&lt;span class="_ _7"&gt;&lt;/span&gt;ste&lt;span class="_ _7"&gt;&lt;/span&gt;d to r&lt;span class="_ _7"&gt;&lt;/span&gt;ef&lt;span class="_ _7"&gt;&lt;/span&gt;lec&lt;span class="_ _7"&gt;&lt;/span&gt;t th&lt;span class="_ _7"&gt;&lt;/span&gt;es&lt;span class="_ _7"&gt;&lt;/span&gt;e c&lt;span class="_ _7"&gt;&lt;/span&gt;on&lt;span class="_ _7"&gt;&lt;/span&gt;dit&lt;span class="_ _7"&gt;&lt;/span&gt;ion&lt;span class="_ _7"&gt;&lt;/span&gt;s&lt;span class="_ _7"&gt;&lt;/span&gt;.&lt;/span&gt;&lt;span style="display:inherit;clear:left;"&gt;For c&lt;span class="_ _7"&gt;&lt;/span&gt;omp&lt;span class="_ _7"&gt;&lt;/span&gt;on&lt;span class="_ _7"&gt;&lt;/span&gt;en&lt;span class="_ _7"&gt;&lt;/span&gt;ts o&lt;span class="_ _7"&gt;&lt;/span&gt;f the E&lt;span class="_ _7"&gt;&lt;/span&gt;SMP th&lt;span class="_ _7"&gt;&lt;/span&gt;at a&lt;span class="_ _7"&gt;&lt;/span&gt;re c&lt;span class="_ _7"&gt;&lt;/span&gt;as&lt;span class="_ _7"&gt;&lt;/span&gt;h-se&lt;span class="_ _7"&gt;&lt;/span&gt;tt&lt;span class="_ _7"&gt;&lt;/span&gt;le&lt;span class="_ _7"&gt;&lt;/span&gt;d, th&lt;span class="_ _7"&gt;&lt;/span&gt;e li&lt;span class="_ _7"&gt;&lt;/span&gt;abi&lt;span class="_ _7"&gt;&lt;/span&gt;li&lt;span class="_ _7"&gt;&lt;/span&gt;t&lt;span class="_ _7"&gt;&lt;/span&gt;y is &lt;/span&gt;&lt;span style="display:inherit;clear:left;"&gt;val&lt;span class="_ _7"&gt;&lt;/span&gt;ued b&lt;span class="_ _7"&gt;&lt;/span&gt;a&lt;span class="_ _7"&gt;&lt;/span&gt;se&lt;span class="_ _7"&gt;&lt;/span&gt;d on th&lt;span class="_ _7"&gt;&lt;/span&gt;e f&lt;span class="_ _7"&gt;&lt;/span&gt;air v&lt;span class="_ _7"&gt;&lt;/span&gt;alu&lt;span class="_ _7"&gt;&lt;/span&gt;e of th&lt;span class="_ _7"&gt;&lt;/span&gt;e li&lt;span class="_ _7"&gt;&lt;/span&gt;abi&lt;span class="_ _7"&gt;&lt;/span&gt;lit&lt;span class="_ _7"&gt;&lt;/span&gt;y a&lt;span class="_ _7"&gt;&lt;/span&gt;nd i&lt;span class="_ _7"&gt;&lt;/span&gt;s rev&lt;span class="_ _7"&gt;&lt;/span&gt;alu&lt;span class="_ _7"&gt;&lt;/span&gt;ed a&lt;span class="_ _7"&gt;&lt;/span&gt;t the &lt;/span&gt;&lt;span style="display:inherit;clear:left;"&gt;en&lt;span class="_ _7"&gt;&lt;/span&gt;d of e&lt;span class="_ _7"&gt;&lt;/span&gt;ach r&lt;span class="_ _7"&gt;&lt;/span&gt;ep&lt;span class="_ _7"&gt;&lt;/span&gt;or&lt;span class="_ _7"&gt;&lt;/span&gt;ti&lt;span class="_ _7"&gt;&lt;/span&gt;ng p&lt;span class="_ _7"&gt;&lt;/span&gt;er&lt;span class="_ _7"&gt;&lt;/span&gt;io&lt;span class="_ _7"&gt;&lt;/span&gt;d, w&lt;span class="_ _7"&gt;&lt;/span&gt;ith a&lt;span class="_ _7"&gt;&lt;/span&gt;ny ch&lt;span class="_ _7"&gt;&lt;/span&gt;ang&lt;span class="_ _7"&gt;&lt;/span&gt;es i&lt;span class="_ _7"&gt;&lt;/span&gt;n fa&lt;span class="_ _7"&gt;&lt;/span&gt;ir va&lt;span class="_ _7"&gt;&lt;/span&gt;lue r&lt;span class="_ _7"&gt;&lt;/span&gt;ec&lt;span class="_ _7"&gt;&lt;/span&gt;og-&lt;/span&gt;&lt;span style="display:inherit;clear:left;"&gt;&lt;span&gt;&lt;span style="display:inherit;clear:left;"&gt;nis&lt;span class="_ _7"&gt;&lt;/span&gt;e&lt;span class="_ _7"&gt;&lt;/span&gt;d in th&lt;span class="_ _7"&gt;&lt;/span&gt;e in&lt;span class="_ _7"&gt;&lt;/span&gt;co&lt;span class="_ _7"&gt;&lt;/span&gt;me s&lt;span class="_ _7"&gt;&lt;/span&gt;ta&lt;span class="_ _7"&gt;&lt;/span&gt;tem&lt;span class="_ _7"&gt;&lt;/span&gt;ent f&lt;span class="_ _7"&gt;&lt;/span&gt;or th&lt;span class="_ _7"&gt;&lt;/span&gt;e p&lt;span class="_ _7"&gt;&lt;/span&gt;eri&lt;span class="_ _7"&gt;&lt;/span&gt;od&lt;span class="_ _7"&gt;&lt;/span&gt;.&lt;/span&gt;&lt;/span&gt;&lt;span&gt;&lt;span style="display:inherit;clear:left;"&gt; &lt;/span&gt;&lt;/span&gt;&lt;/span&gt;&lt;span style="display:inherit;clear:left;"&gt;Share-&lt;span class="_ _2"&gt;&lt;/span&gt;based incentiv&lt;span class="_ _2"&gt;&lt;/span&gt;e programmes&lt;/span&gt;&lt;span style="display:inherit;clear:left;"&gt;Performance&lt;span class="_ _2"&gt;&lt;/span&gt; Share Plan&lt;span class="_ _2"&gt;&lt;/span&gt; (PSP&lt;span class="_ _2"&gt;&lt;/span&gt;)&lt;/span&gt;&lt;span style="display:inherit;clear:left;"&gt;At the An&lt;span class="_ _7"&gt;&lt;/span&gt;nu&lt;span class="_ _7"&gt;&lt;/span&gt;al Ge&lt;span class="_ _7"&gt;&lt;/span&gt;ne&lt;span class="_ _7"&gt;&lt;/span&gt;ra&lt;span class="_ _7"&gt;&lt;/span&gt;l Me&lt;span class="_ _7"&gt;&lt;/span&gt;eti&lt;span class="_ _7"&gt;&lt;/span&gt;ng 2022, th&lt;span class="_ _7"&gt;&lt;/span&gt;e sh&lt;span class="_ _7"&gt;&lt;/span&gt;ar&lt;span class="_ _7"&gt;&lt;/span&gt;eh&lt;span class="_ _7"&gt;&lt;/span&gt;old&lt;span class="_ _7"&gt;&lt;/span&gt;er&lt;span class="_ _7"&gt;&lt;/span&gt;s a&lt;span class="_ _7"&gt;&lt;/span&gt;dop&lt;span class="_ _7"&gt;&lt;/span&gt;ted a &lt;/span&gt;&lt;span style="display:inherit;clear:left;"&gt;sh&lt;span class="_ _7"&gt;&lt;/span&gt;are-b&lt;span class="_ _7"&gt;&lt;/span&gt;as&lt;span class="_ _7"&gt;&lt;/span&gt;e&lt;span class="_ _7"&gt;&lt;/span&gt;d inc&lt;span class="_ _7"&gt;&lt;/span&gt;en&lt;span class="_ _7"&gt;&lt;/span&gt;tiv&lt;span class="_ _7"&gt;&lt;/span&gt;e pro&lt;span class="_ _7"&gt;&lt;/span&gt;gr&lt;span class="_ _7"&gt;&lt;/span&gt;am&lt;span class="_ _7"&gt;&lt;/span&gt;me (P&lt;span class="_ _7"&gt;&lt;/span&gt;er&lt;span class="_ _7"&gt;&lt;/span&gt;f&lt;span class="_ _7"&gt;&lt;/span&gt;or&lt;span class="_ _7"&gt;&lt;/span&gt;man&lt;span class="_ _7"&gt;&lt;/span&gt;ce S&lt;span class="_ _7"&gt;&lt;/span&gt;ha&lt;span class="_ _7"&gt;&lt;/span&gt;re Pl&lt;span class="_ _7"&gt;&lt;/span&gt;an&lt;span class="_ _7"&gt;&lt;/span&gt;, PS&lt;span class="_ _7"&gt;&lt;/span&gt;P &lt;/span&gt;&lt;span style="display:inherit;clear:left;"&gt;2022), with a pu&lt;span class="_ _7"&gt;&lt;/span&gt;rp&lt;span class="_ _7"&gt;&lt;/span&gt;o&lt;span class="_ _7"&gt;&lt;/span&gt;se to c&lt;span class="_ _7"&gt;&lt;/span&gt;re&lt;span class="_ _7"&gt;&lt;/span&gt;ate a lo&lt;span class="_ _7"&gt;&lt;/span&gt;ng-&lt;span class="_ _2"&gt;&lt;/span&gt;te&lt;span class="_ _7"&gt;&lt;/span&gt;rm f&lt;span class="_ _7"&gt;&lt;/span&gt;oc&lt;span class="_ _7"&gt;&lt;/span&gt;us am&lt;span class="_ _7"&gt;&lt;/span&gt;on&lt;span class="_ _7"&gt;&lt;/span&gt;gs&lt;span class="_ _7"&gt;&lt;/span&gt;t th&lt;span class="_ _7"&gt;&lt;/span&gt;e pa&lt;span class="_ _7"&gt;&lt;/span&gt;r&lt;span class="_ _2"&gt;&lt;/span&gt;-&lt;/span&gt;&lt;span style="display:inherit;clear:left;"&gt;tic&lt;span class="_ _7"&gt;&lt;/span&gt;ip&lt;span class="_ _7"&gt;&lt;/span&gt;ant&lt;span class="_ _7"&gt;&lt;/span&gt;s on r&lt;span class="_ _7"&gt;&lt;/span&gt;ea&lt;span class="_ _7"&gt;&lt;/span&gt;chi&lt;span class="_ _7"&gt;&lt;/span&gt;ng Volvo Ca&lt;span class="_ _7"&gt;&lt;/span&gt;r Gr&lt;span class="_ _7"&gt;&lt;/span&gt;oup&lt;span class="_ _7"&gt;&lt;/span&gt;´s long-&lt;span class="_ _2"&gt;&lt;/span&gt;te&lt;span class="_ _7"&gt;&lt;/span&gt;rm a&lt;span class="_ _7"&gt;&lt;/span&gt;mbi&lt;span class="_ _7"&gt;&lt;/span&gt;ti&lt;span class="_ _7"&gt;&lt;/span&gt;on&lt;span class="_ _7"&gt;&lt;/span&gt;s, a&lt;span class="_ _7"&gt;&lt;/span&gt;s we&lt;span class="_ _7"&gt;&lt;/span&gt;ll &lt;/span&gt;&lt;span style="display:inherit;clear:left;"&gt;as to f&lt;span class="_ _7"&gt;&lt;/span&gt;aci&lt;span class="_ _7"&gt;&lt;/span&gt;li&lt;span class="_ _7"&gt;&lt;/span&gt;tat&lt;span class="_ _7"&gt;&lt;/span&gt;e re&lt;span class="_ _7"&gt;&lt;/span&gt;cru&lt;span class="_ _7"&gt;&lt;/span&gt;itm&lt;span class="_ _7"&gt;&lt;/span&gt;en&lt;span class="_ _7"&gt;&lt;/span&gt;t an&lt;span class="_ _7"&gt;&lt;/span&gt;d rete&lt;span class="_ _7"&gt;&lt;/span&gt;nti&lt;span class="_ _7"&gt;&lt;/span&gt;on o&lt;span class="_ _7"&gt;&lt;/span&gt;f em&lt;span class="_ _7"&gt;&lt;/span&gt;plo&lt;span class="_ _7"&gt;&lt;/span&gt;yee&lt;span class="_ _7"&gt;&lt;/span&gt;s wi&lt;span class="_ _7"&gt;&lt;/span&gt;th key &lt;/span&gt;&lt;span style="display:inherit;clear:left;"&gt;com&lt;span class="_ _7"&gt;&lt;/span&gt;pe&lt;span class="_ _7"&gt;&lt;/span&gt;ten&lt;span class="_ _7"&gt;&lt;/span&gt;ci&lt;span class="_ _7"&gt;&lt;/span&gt;es&lt;span class="_ _7"&gt;&lt;/span&gt;. Si&lt;span class="_ _7"&gt;&lt;/span&gt;nc&lt;span class="_ _7"&gt;&lt;/span&gt;e the B&lt;span class="_ _7"&gt;&lt;/span&gt;o&lt;span class="_ _7"&gt;&lt;/span&gt;ard o&lt;span class="_ _7"&gt;&lt;/span&gt;f Di&lt;span class="_ _7"&gt;&lt;/span&gt;re&lt;span class="_ _7"&gt;&lt;/span&gt;cto&lt;span class="_ _7"&gt;&lt;/span&gt;r&lt;span class="_ _7"&gt;&lt;/span&gt;s al&lt;span class="_ _7"&gt;&lt;/span&gt;so b&lt;span class="_ _7"&gt;&lt;/span&gt;el&lt;span class="_ _7"&gt;&lt;/span&gt;iev&lt;span class="_ _7"&gt;&lt;/span&gt;es t&lt;span class="_ _7"&gt;&lt;/span&gt;hat l&lt;span class="_ _7"&gt;&lt;/span&gt;ong-&lt;/span&gt;&lt;span style="display:inherit;clear:left;"&gt;ter&lt;span class="_ _7"&gt;&lt;/span&gt;m sh&lt;span class="_ _7"&gt;&lt;/span&gt;ar&lt;span class="_ _7"&gt;&lt;/span&gt;e own&lt;span class="_ _7"&gt;&lt;/span&gt;er&lt;span class="_ _7"&gt;&lt;/span&gt;s&lt;span class="_ _7"&gt;&lt;/span&gt;hip i&lt;span class="_ _7"&gt;&lt;/span&gt;s an im&lt;span class="_ _7"&gt;&lt;/span&gt;po&lt;span class="_ _7"&gt;&lt;/span&gt;r&lt;span class="_ _7"&gt;&lt;/span&gt;t&lt;span class="_ _7"&gt;&lt;/span&gt;ant w&lt;span class="_ _7"&gt;&lt;/span&gt;ay to cre&lt;span class="_ _7"&gt;&lt;/span&gt;ate a&lt;span class="_ _7"&gt;&lt;/span&gt;lig&lt;span class="_ _7"&gt;&lt;/span&gt;nm&lt;span class="_ _7"&gt;&lt;/span&gt;ent &lt;/span&gt;&lt;span style="display:inherit;clear:left;"&gt;be&lt;span class="_ _7"&gt;&lt;/span&gt;tw&lt;span class="_ _7"&gt;&lt;/span&gt;ee&lt;span class="_ _7"&gt;&lt;/span&gt;n the EM&lt;span class="_ _7"&gt;&lt;/span&gt;T and Volvo C&lt;span class="_ _7"&gt;&lt;/span&gt;ar&lt;span class="_ _7"&gt;&lt;/span&gt;´s sha&lt;span class="_ _7"&gt;&lt;/span&gt;reh&lt;span class="_ _7"&gt;&lt;/span&gt;ol&lt;span class="_ _7"&gt;&lt;/span&gt;de&lt;span class="_ _7"&gt;&lt;/span&gt;rs&lt;span class="_ _7"&gt;&lt;/span&gt;, i&lt;span class="_ _7"&gt;&lt;/span&gt;t ha&lt;span class="_ _7"&gt;&lt;/span&gt;s imp&lt;span class="_ _7"&gt;&lt;/span&gt;le&lt;span class="_ _7"&gt;&lt;/span&gt;men&lt;span class="_ _7"&gt;&lt;/span&gt;ted &lt;/span&gt;&lt;span style="display:inherit;clear:left;"&gt;a po&lt;span class="_ _7"&gt;&lt;/span&gt;lic&lt;span class="_ _7"&gt;&lt;/span&gt;y se&lt;span class="_ _7"&gt;&lt;/span&gt;t&lt;span class="_ _7"&gt;&lt;/span&gt;tin&lt;span class="_ _7"&gt;&lt;/span&gt;g out r&lt;span class="_ _7"&gt;&lt;/span&gt;ec&lt;span class="_ _7"&gt;&lt;/span&gt;om&lt;span class="_ _7"&gt;&lt;/span&gt;me&lt;span class="_ _7"&gt;&lt;/span&gt;nd&lt;span class="_ _7"&gt;&lt;/span&gt;ati&lt;span class="_ _7"&gt;&lt;/span&gt;on&lt;span class="_ _7"&gt;&lt;/span&gt;s for c&lt;span class="_ _7"&gt;&lt;/span&gt;er&lt;span class="_ _7"&gt;&lt;/span&gt;t&lt;span class="_ _7"&gt;&lt;/span&gt;ai&lt;span class="_ _7"&gt;&lt;/span&gt;n leve&lt;span class="_ _7"&gt;&lt;/span&gt;ls o&lt;span class="_ _7"&gt;&lt;/span&gt;f sh&lt;span class="_ _7"&gt;&lt;/span&gt;ar&lt;span class="_ _7"&gt;&lt;/span&gt;e &lt;/span&gt;&lt;span style="display:inherit;clear:left;"&gt;own&lt;span class="_ _7"&gt;&lt;/span&gt;er&lt;span class="_ _7"&gt;&lt;/span&gt;s&lt;span class="_ _7"&gt;&lt;/span&gt;hip f&lt;span class="_ _7"&gt;&lt;/span&gt;or m&lt;span class="_ _7"&gt;&lt;/span&gt;emb&lt;span class="_ _7"&gt;&lt;/span&gt;er&lt;span class="_ _7"&gt;&lt;/span&gt;s o&lt;span class="_ _7"&gt;&lt;/span&gt;f the EM&lt;span class="_ _7"&gt;&lt;/span&gt;T&lt;span class="_ _2"&gt;&lt;/span&gt;. Th&lt;span class="_ _7"&gt;&lt;/span&gt;e PSP o&lt;span class="_ _7"&gt;&lt;/span&gt;f&lt;span class="_ _7"&gt;&lt;/span&gt;fe&lt;span class="_ _7"&gt;&lt;/span&gt;r&lt;span class="_ _7"&gt;&lt;/span&gt;s an op&lt;span class="_ _7"&gt;&lt;/span&gt;po&lt;span class="_ _7"&gt;&lt;/span&gt;r&lt;span class="_ _7"&gt;&lt;/span&gt;tu&lt;span class="_ _7"&gt;&lt;/span&gt;nit&lt;span class="_ _7"&gt;&lt;/span&gt;y &lt;/span&gt;&lt;span style="display:inherit;clear:left;"&gt;for s&lt;span class="_ _7"&gt;&lt;/span&gt;uc&lt;span class="_ _7"&gt;&lt;/span&gt;h mem&lt;span class="_ _7"&gt;&lt;/span&gt;be&lt;span class="_ _7"&gt;&lt;/span&gt;r&lt;span class="_ _7"&gt;&lt;/span&gt;s to in&lt;span class="_ _7"&gt;&lt;/span&gt;cre&lt;span class="_ _7"&gt;&lt;/span&gt;as&lt;span class="_ _7"&gt;&lt;/span&gt;e th&lt;span class="_ _7"&gt;&lt;/span&gt;ei&lt;span class="_ _7"&gt;&lt;/span&gt;r ho&lt;span class="_ _7"&gt;&lt;/span&gt;ldi&lt;span class="_ _7"&gt;&lt;/span&gt;ng&lt;span class="_ _7"&gt;&lt;/span&gt;s to ach&lt;span class="_ _7"&gt;&lt;/span&gt;ie&lt;span class="_ _7"&gt;&lt;/span&gt;ve the r&lt;span class="_ _7"&gt;&lt;/span&gt;ec&lt;span class="_ _7"&gt;&lt;/span&gt;om-&lt;/span&gt;&lt;span style="display:inherit;clear:left;"&gt;mended shar&lt;span class="_ _2"&gt;&lt;/span&gt;e ownership.&lt;span class="_ _2"&gt;&lt;/span&gt; &lt;/span&gt;&lt;span style="display:inherit;clear:left;"&gt;A new s&lt;span class="_ _7"&gt;&lt;/span&gt;ha&lt;span class="_ _7"&gt;&lt;/span&gt;re-b&lt;span class="_ _7"&gt;&lt;/span&gt;as&lt;span class="_ _7"&gt;&lt;/span&gt;ed i&lt;span class="_ _7"&gt;&lt;/span&gt;nc&lt;span class="_ _7"&gt;&lt;/span&gt;ent&lt;span class="_ _7"&gt;&lt;/span&gt;ive p&lt;span class="_ _7"&gt;&lt;/span&gt;rog&lt;span class="_ _7"&gt;&lt;/span&gt;r&lt;span class="_ _7"&gt;&lt;/span&gt;amm&lt;span class="_ _7"&gt;&lt;/span&gt;e, P&lt;span class="_ _7"&gt;&lt;/span&gt;SP 2023, w&lt;span class="_ _7"&gt;&lt;/span&gt;as ad&lt;span class="_ _7"&gt;&lt;/span&gt;op&lt;span class="_ _7"&gt;&lt;/span&gt;ted &lt;/span&gt;&lt;span style="display:inherit;clear:left;"&gt;at th&lt;span class="_ _7"&gt;&lt;/span&gt;e Ann&lt;span class="_ _7"&gt;&lt;/span&gt;ua&lt;span class="_ _7"&gt;&lt;/span&gt;l Ge&lt;span class="_ _7"&gt;&lt;/span&gt;ner&lt;span class="_ _7"&gt;&lt;/span&gt;al M&lt;span class="_ _7"&gt;&lt;/span&gt;ee&lt;span class="_ _7"&gt;&lt;/span&gt;tin&lt;span class="_ _7"&gt;&lt;/span&gt;g 2023 and a&lt;span class="_ _7"&gt;&lt;/span&gt;t the A&lt;span class="_ _7"&gt;&lt;/span&gt;nnu&lt;span class="_ _7"&gt;&lt;/span&gt;al G&lt;span class="_ _7"&gt;&lt;/span&gt;en&lt;span class="_ _7"&gt;&lt;/span&gt;er&lt;span class="_ _7"&gt;&lt;/span&gt;al &lt;/span&gt;&lt;span style="display:inherit;clear:left;"&gt;Me&lt;span class="_ _7"&gt;&lt;/span&gt;eti&lt;span class="_ _7"&gt;&lt;/span&gt;ng 2024 a thir&lt;span class="_ _7"&gt;&lt;/span&gt;d sh&lt;span class="_ _7"&gt;&lt;/span&gt;are&lt;span class="_ _7"&gt;&lt;/span&gt;-bas&lt;span class="_ _7"&gt;&lt;/span&gt;e&lt;span class="_ _7"&gt;&lt;/span&gt;d inc&lt;span class="_ _7"&gt;&lt;/span&gt;en&lt;span class="_ _7"&gt;&lt;/span&gt;tiv&lt;span class="_ _7"&gt;&lt;/span&gt;e pro&lt;span class="_ _7"&gt;&lt;/span&gt;gr&lt;span class="_ _7"&gt;&lt;/span&gt;am&lt;span class="_ _7"&gt;&lt;/span&gt;me w&lt;span class="_ _7"&gt;&lt;/span&gt;as &lt;/span&gt;&lt;span style="display:inherit;clear:left;"&gt;ado&lt;span class="_ _7"&gt;&lt;/span&gt;pte&lt;span class="_ _7"&gt;&lt;/span&gt;d&lt;span class="_ _7"&gt;&lt;/span&gt;, PSP 2024. A f&lt;span class="_ _7"&gt;&lt;/span&gt;our&lt;span class="_ _9"&gt;&lt;/spa</t>
  </si>
  <si>
    <t>f1__s8__6__8</t>
  </si>
  <si>
    <t>ifrs-full:PrincipalPlaceOfBusiness</t>
  </si>
  <si>
    <t>Gothenburg</t>
  </si>
  <si>
    <t>f1__s8__6__80-1</t>
  </si>
  <si>
    <t>ifrs-full:DisclosureOfInformationAboutKeyManagementPersonnelExplanatory</t>
  </si>
  <si>
    <t>&lt;span style="display:inherit;clear:left;position:relative;height:159.23828125px;"&gt;&lt;span class="pp-font-color-override-1" style="position: absolute; display: inline-block; left: 133.141px; top: 0.748047px; width: 30.2637px; white-space: pre; word-spacing: 0px; letter-spacing: 0px; margin-left: 0px; font-size: 9.6px; font-family: ff6f; -webkit-text-stroke: 0.144px rgba(0, 0, 0, 0);"&gt;&lt;span style="display: inline-block;"&gt;31 De&lt;/span&gt;&lt;span style="word-spacing: 0px; letter-spacing: 0px; display: inline-block; margin-left: 0px; width: 0.410156px; font-size: 9.6px; font-family: ff6f; -webkit-text-stroke: 0.144px rgba(0, 0, 0, 0);"&gt;&lt;/span&gt;&lt;span style="display: inline-block;"&gt;c &lt;/span&gt;&lt;/span&gt;&lt;span class="pp-font-color-override-1" style="position: absolute; display: inline-block; left: 182.812px; top: 0.0039062px; width: 39.7441px; white-space: pre; word-spacing: 0px; letter-spacing: 0px; margin-left: 0px; font-size: 9.6px; font-family: ff6c; -webkit-text-stroke: 0.144px rgba(0, 0, 0, 0);"&gt;&lt;span style="display: inline-block;"&gt;O&lt;/span&gt;&lt;span style="word-spacing: 0px; letter-spacing: 0px; display: inline-block; margin-left: 0px; width: 0.410156px; font-size: 9.6px; font-family: ff6c; -webkit-text-stroke: 0.144px rgba(0, 0, 0, 0);"&gt;&lt;/span&gt;&lt;span style="display: inline-block;"&gt;f who&lt;/span&gt;&lt;span style="word-spacing: 0px; letter-spacing: 0px; display: inline-block; margin-left: 0px; width: 0.410156px; font-size: 9.6px; font-family: ff6c; -webkit-text-stroke: 0.144px rgba(0, 0, 0, 0);"&gt;&lt;/span&gt;&lt;span style="display: inline-block;"&gt;m &lt;/span&gt;&lt;/span&gt;&lt;span class="pp-font-color-override-1" style="position: absolute; display: inline-block; left: 252.906px; top: 0.0039062px; width: 28.0195px; white-space: pre; word-spacing: -2.2272px; letter-spacing: 0px; margin-left: 0px; font-size: 9.6px; font-family: ff6c; -webkit-text-stroke: 0.144px rgba(0, 0, 0, 0);"&gt;&lt;span style="display: inline-block;"&gt;31 &lt;/span&gt;&lt;span style="word-spacing: -2.2272px; letter-spacing: 0px; display: inline-block; margin-left: 0px; width: 2.03906px; font-size: 9.6px; font-family: ff6c; -webkit-text-stroke: 0.144px rgba(0, 0, 0, 0);"&gt;&lt;span style="display: inline-block;"&gt; &lt;/span&gt;&lt;/span&gt;&lt;span style="display: inline-block;"&gt;D&lt;/span&gt;&lt;span style="word-spacing: -2.2272px; letter-spacing: 0px; display: inline-block; margin-left: 0px; width: 0.410156px; font-size: 9.6px; font-family: ff6c; -webkit-text-stroke: 0.144px rgba(0, 0, 0, 0);"&gt;&lt;/span&gt;&lt;span style="display: inline-block;"&gt;ec  &lt;/span&gt;&lt;/span&gt;&lt;span class="pp-font-color-override-1" style="position: absolute; display: inline-block; left: 301.891px; top: 0.0039062px; width: 39.7441px; white-space: pre; word-spacing: 0px; letter-spacing: 0px; margin-left: 0px; font-size: 9.6px; font-family: ff6c; -webkit-text-stroke: 0.144px rgba(0, 0, 0, 0);"&gt;&lt;span style="display: inline-block;"&gt;O&lt;/span&gt;&lt;span style="word-spacing: 0px; letter-spacing: 0px; display: inline-block; margin-left: 0px; width: 0.410156px; font-size: 9.6px; font-family: ff6c; -webkit-text-stroke: 0.144px rgba(0, 0, 0, 0);"&gt;&lt;/span&gt;&lt;span style="display: inline-block;"&gt;f who&lt;/span&gt;&lt;span style="word-spacing: 0px; letter-spacing: 0px; display: inline-block; margin-left: 0px; width: 0.410156px; font-size: 9.6px; font-family: ff6c; -webkit-text-stroke: 0.144px rgba(0, 0, 0, 0);"&gt;&lt;/span&gt;&lt;span style="display: inline-block;"&gt;m &lt;/span&gt;&lt;/span&gt;&lt;span class="pp-font-color-override-1" style="position: absolute; display: inline-block; left: 138.938px; top: 11.248px; width: 19.3535px; white-space: pre; word-spacing: -0.0384px; letter-spacing: 0.0384px; margin-left: 0px; font-size: 9.6px; font-family: ff6f; -webkit-text-stroke: 0.144px rgba(0, 0, 0, 0);"&gt;&lt;span style="display: inline-block;"&gt;2025&lt;/span&gt;&lt;/span&gt;&lt;span class="pp-font-color-override-1" style="position: absolute; display: inline-block; left: 180.531px; top: 10.5039px; width: 39.3809px; white-space: pre; word-spacing: -0.2016px; letter-spacing: 0.2016px; margin-left: 0px; font-size: 9.6px; font-family: ff6c; -webkit-text-stroke: 0.144px rgba(0, 0, 0, 0);"&gt;&lt;span style="display: inline-block;"&gt;women,&lt;/span&gt;&lt;span style="word-spacing: -0.2016px; letter-spacing: 0.2016px; display: inline-block; margin-left: -0.684px; width: 0px; font-size: 9.6px; font-family: ff6c; -webkit-text-stroke: 0.144px rgba(0, 0, 0, 0);"&gt;&lt;/span&gt;&lt;span style="display: inline-block;"&gt;%&lt;/span&gt;&lt;/span&gt;&lt;span class="pp-font-color-override-1" style="position: absolute; display: inline-block; left: 258.891px; top: 10.5039px; width: 18.9668px; white-space: pre; word-spacing: 0.0576px; letter-spacing: -0.0576px; margin-left: 0px; font-size: 9.6px; font-family: ff6c; -webkit-text-stroke: 0.144px rgba(0, 0, 0, 0);"&gt;&lt;span style="display: inline-block;"&gt;2024&lt;/span&gt;&lt;/span&gt;&lt;span class="pp-font-color-override-1" style="position: absolute; display: inline-block; left: 298.891px; top: 10.5039px; width: 39.3809px; white-space: pre; word-spacing: -0.2016px; letter-spacing: 0.2016px; margin-left: 0px; font-size: 9.6px; font-family: ff6c; -webkit-text-stroke: 0.144px rgba(0, 0, 0, 0);"&gt;&lt;span style="display: inline-block;"&gt;women,&lt;/span&gt;&lt;span style="word-spacing: -0.2016px; letter-spacing: 0.2016px; display: inline-block; margin-left: -0.684px; width: 0px; font-size: 9.6px; font-family: ff6c; -webkit-text-stroke: 0.144px rgba(0, 0, 0, 0);"&gt;&lt;/span&gt;&lt;span style="display: inline-block;"&gt;%&lt;/span&gt;&lt;/span&gt;&lt;span class="pp-font-color-override-1" style="position: absolute; display: inline-block; left: 151.172px; top: 25.8164px; width: 65.502px; white-space: pre; word-spacing: -0.2016px; letter-spacing: 0.2016px; margin-left: 0px; font-size: 9.6px; font-family: ff6c; -webkit-text-stroke: 0.144px rgba(0, 0, 0, 0);"&gt;&lt;span style="display: inline-block;"&gt;Board members &lt;/span&gt;&lt;span style="word-spacing: -0.2016px; letter-spacing: 0.2016px; display: inline-block; margin-left: -2.76px; width: 0px; font-size: 9.6px; font-family: ff6c; -webkit-text-stroke: 0.144px rgba(0, 0, 0, 0);"&gt;&lt;/span&gt;&lt;span class="pp-font-color-override-1" style="word-spacing: 0px; letter-spacing: 0px; display: inline-block; margin-left: 0px; font-size: 9.6px; font-family: ff6c; -webkit-text-stroke: 0.144px rgba(0, 0, 0, 0);"&gt;&lt;span style="display: inline-block;"&gt; &lt;/span&gt;&lt;/span&gt;&lt;/span&gt;&lt;span class="pp-font-color-override-1" style="position: absolute; display: inline-block; left: 269.406px; top: 25.8164px; width: 65.502px; white-space: pre; word-spacing: -0.2016px; letter-spacing: 0.2016px; margin-left: 0px; font-size: 9.6px; font-family: ff6c; -webkit-text-stroke: 0.144px rgba(0, 0, 0, 0);"&gt;&lt;span style="display: inline-block;"&gt;Board members &lt;/span&gt;&lt;span style="word-spacing: -0.2016px; letter-spacing: 0.2016px; display: inline-block; margin-left: -2.76px; width: 0px; font-size: 9.6px; font-family: ff6c; -webkit-text-stroke: 0.144px rgba(0, 0, 0, 0);"&gt;&lt;/span&gt;&lt;span class="pp-font-color-override-1" style="word-spacing: 0px; letter-spacing: 0px; display: inline-block; margin-left: 0px; font-size: 9.6px; font-family: ff6c; -webkit-text-stroke: 0.144px rgba(0, 0, 0, 0);"&gt;&lt;span style="display: inline-block;"&gt; &lt;/span&gt;&lt;/span&gt;&lt;/span&gt;&lt;span class="pp-font-color-override-1" style="position: absolute; display: inline-block; left: 0px; top: 37.0605px; width: 47.877px; white-space: pre; word-spacing: 0px; letter-spacing: 0px; margin-left: 0px; font-size: 9.6px; font-family: ff6f; -webkit-text-stroke: 0.144px rgba(0, 0, 0, 0);"&gt;&lt;span style="display: inline-block;"&gt;Num&lt;/span&gt;&lt;span style="word-spacing: 0px; letter-spacing: 0px; display: inline-block; margin-left: 0px; width: 0.410156px; font-size: 9.6px; font-family: ff6f; -webkit-text-stroke: 0.144px rgba(0, 0, 0, 0);"&gt;&lt;/span&gt;&lt;span style="display: inline-block;"&gt;b&lt;/span&gt;&lt;span style="word-spacing: 0px; letter-spacing: 0px; display: inline-block; margin-left: 0px; width: 0.410156px; font-size: 9.6px; font-family: ff6f; -webkit-text-stroke: 0.144px rgba(0, 0, 0, 0);"&gt;&lt;/span&gt;&lt;span style="display: inline-block;"&gt;er o&lt;/span&gt;&lt;span style="word-spacing: 0px; letter-spacing: 0px; display: inline-block; margin-left: 0px; width: 0.410156px; font-size: 9.6px; font-family: ff6f; -webkit-text-stroke: 0.144px rgba(0, 0, 0, 0);"&gt;&lt;/span&gt;&lt;span style="display: inline-block;"&gt;f  &lt;/span&gt;&lt;/span&gt;&lt;span class="pp-font-color-override-1" style="position: absolute; display: inline-block; left: 150.094px; top: 36.3164px; width: 69.7676px; white-space: pre; word-spacing: 0px; letter-spacing: 0px; margin-left: 0px; font-size: 9.6px; font-family: ff6c; -webkit-text-stroke: 0.144px rgba(0, 0, 0, 0);"&gt;&lt;span style="display: inline-block;"&gt;(Chi&lt;/span&gt;&lt;span style="word-spacing: 0px; letter-spacing: 0px; display: inline-block; margin-left: 0px; width: 0.410156px; font-size: 9.6px; font-family: ff6c; -webkit-text-stroke: 0.144px rgba(0, 0, 0, 0);"&gt;&lt;/span&gt;&lt;span style="display: inline-block;"&gt;ef E&lt;/span&gt;&lt;span style="word-spacing: 0px; letter-spacing: 0px; display: inline-block; margin-left: 0px; width: 0.410156px; font-size: 9.6px; font-family: ff6c; -webkit-text-stroke: 0.144px rgba(0, 0, 0, 0);"&gt;&lt;/span&gt;&lt;span style="display: inline-block;"&gt;xe&lt;/span&gt;&lt;span style="word-spacing: 0px; letter-spacing: 0px; display: inline-block; margin-left: 0px; width: 0.410156px; font-size: 9.6px; font-family: ff6c; -webkit-text-stroke: 0.144px rgba(0, 0, 0, 0);"&gt;&lt;/span&gt;&lt;span style="display: inline-block;"&gt;cu&lt;/span&gt;&lt;span style="word-spacing: 0px; letter-spacing: 0px; display: inline-block; margin-left: 0px; width: 0.410156px; font-size: 9.6px; font-family: ff6c; -webkit-text-stroke: 0.144px rgba(0, 0, 0, 0);"&gt;&lt;/span&gt;&lt;span style="display: inline-block;"&gt;tiv&lt;/span&gt;&lt;span style="word-spacing: 0px; letter-spacing: 0px; display: inline-block; margin-left: 0px; width: 0.410156px; font-size: 9.6px; font-family: ff6c; -webkit-text-stroke: 0.144px rgba(0, 0, 0, 0);"&gt;&lt;/span&gt;&lt;span style="display: inline-block;"&gt;e &lt;/span&gt;&lt;/span&gt;&lt;span class="pp-font-color-override-1" style="position: absolute; display: inline-block; left: 269.406px; top: 36.3164px; width: 69.7676px; white-space: pre; word-spacing: 0px; letter-spacing: 0px; margin-left: 0px; font-size: 9.6px; font-family: ff6c; -webkit-text-stroke: 0.144px rgba(0, 0, 0, 0);"&gt;&lt;span style="display: inline-block;"&gt;(Chi&lt;/span&gt;&lt;span style="word-spacing: 0px; letter-spacing: 0px; display: inline-block; margin-left: 0px; width: 0.410156px; font-size: 9.6px; font-family: ff6c; -webkit-text-stroke: 0.144px rgba(0, 0, 0, 0);"&gt;&lt;/span&gt;&lt;span style="display: inline-block;"&gt;ef E&lt;/span&gt;&lt;span style="word-spacing: 0px; letter-spacing: 0px; display: inline-block; margin-left: 0px; width: 0.410156px; font-size: 9.6px; font-family: ff6c; -webkit-text-stroke: 0.144px rgba(0, 0, 0, 0);"&gt;&lt;/span&gt;&lt;span style="display: inline-block;"&gt;xe&lt;/span&gt;&lt;span style="word-spacing: 0px; letter-spacing: 0px; display: inline-block; margin-left: 0px; width: 0.410156px; font-size: 9.6px; font-family: ff6c; -webkit-text-stroke: 0.144px rgba(0, 0, 0, 0);"&gt;&lt;/span&gt;&lt;span style="display: inline-block;"&gt;cu&lt;/span&gt;&lt;span style="word-spacing: 0px; letter-spacing: 0px; display: inline-block; margin-left: 0px; width: 0.410156px; font-size: 9.6px; font-family: ff6c; -webkit-text-stroke: 0.144px rgba(0, 0, 0, 0);"&gt;&lt;/span&gt;&lt;span style="display: inline-block;"&gt;tiv&lt;/span&gt;&lt;span style="word-spacing: 0px; letter-spacing: 0px; display: inline-block; margin-left: 0px; width: 0.410156px; font-size: 9.6px; font-family: ff6c; -webkit-text-stroke: 0.144px rgba(0, 0, 0, 0);"&gt;&lt;/span&gt;&lt;span style="display: inline-block;"&gt;e &lt;/span&gt;&lt;/span&gt;&lt;span class="pp-font-color-override-1" style="position: absolute; display: inline-block; left: 0px; top: 47.5605px; width: 82.1719px; white-space: pre; word-spacing: 0px; letter-spacing: 0px; margin-left: 0px; font-size: 9.6px; font-family: ff6f; -webkit-text-stroke: 0.144px rgba(0, 0, 0, 0);"&gt;&lt;span style="display: inline-block;"&gt;Bo&lt;/span&gt;&lt;span style="word-spacing: 0px; letter-spacing: 0px; display: inline-block; margin-left: 0px; width: 0.410156px; font-size: 9.6px; font-family: ff6f; -webkit-text-stroke: 0.144px rgba(0, 0, 0, 0);"&gt;&lt;/span&gt;&lt;span style="display: inline-block;"&gt;ar&lt;/span&gt;&lt;span style="word-spacing: 0px; letter-spacing: 0px; display: inline-block; margin-left: 0px; width: 0.410156px; font-size: 9.6px; font-family: ff6f; -webkit-text-stroke: 0.144px rgba(0, 0, 0, 0);"&gt;&lt;/span&gt;&lt;span style="display: inline-block;"&gt;d me&lt;/span&gt;&lt;span style="word-spacing: 0px; letter-spacing: 0px; display: inline-block; margin-left: 0px; width: 0.410156px; font-size: 9.6px; font-family: ff6f; -webkit-text-stroke: 0.144px rgba(0, 0, 0, 0);"&gt;&lt;/span&gt;&lt;span style="display: inline-block;"&gt;mb&lt;/span&gt;&lt;span style="word-spacing: 0px; letter-spacing: 0px; display: inline-block; margin-left: 0px; width: 0.410156px; font-size: 9.6px; font-family: ff6f; -webkit-text-stroke: 0.144px rgba(0, 0, 0, 0);"&gt;&lt;/span&gt;&lt;span style="display: inline-block;"&gt;er&lt;/span&gt;&lt;span style="word-spacing: 0px; letter-spacing: 0px; display: inline-block; margin-left: 0px; width: 0.410156px; font-size: 9.6px; font-family: ff6f; -webkit-text-stroke: 0.144px rgba(0, 0, 0, 0);"&gt;&lt;/span&gt;&lt;span style="display: inline-block;"&gt;s an&lt;/span&gt;&lt;span style="word-spacing: 0px; letter-spacing: 0px; display: inline-block; margin-left: 0px; width: 0.410156px; font-size: 9.6px; font-family: ff6f; -webkit-text-stroke: 0.144px rgba(0, 0, 0, 0);"&gt;&lt;/span&gt;&lt;span style="display: inline-block;"&gt;d &lt;/span&gt;&lt;/span&gt;&lt;span class="pp-font-color-override-1" style="position: absolute; display: inline-block; left: 136.969px; top: 46.8164px; width: 79.7988px; white-space: pre; word-spacing: -0.2016px; letter-spacing: 0.2016px; margin-left: 0px; font-size: 9.6px; font-family: ff6c; -webkit-text-stroke: 0.144px rgba(0, 0, 0, 0);"&gt;&lt;span style="display: inline-block;"&gt;Of&lt;/span&gt;&lt;span style="word-spacing: -0.2016px; letter-spacing: 0.2016px; display: inline-block; margin-left: 0px; width: 0.410156px; font-size: 9.6px; font-family: ff6c; -webkit-text-stroke: 0.144px rgba(0, 0, 0, 0);"&gt;&lt;/span&gt;&lt;span style="display: inline-block;"&gt;ficers and senior &lt;/span&gt;&lt;/span&gt;&lt;span class="pp-font-color-override-1" style="position: absolute; display: inline-block; left: 256.031px; top: 46.8164px; width: 79.7988px; white-space: pre; word-spacing: -0.2016px; letter-spacing: 0.2016px; margin-left: 0px; font-size: 9.6px; font-family: ff6c; -webkit-text-stroke: 0.144px rgba(0, 0, 0, 0);"&gt;&lt;span style="display: inline-block;"&gt;Of&lt;/span&gt;&lt;span style="word-spacing: -0.2016px; letter-spacing: 0.2016px; display: inline-block; margin-left: 0px; width: 0.410156px; font-size: 9.6px; font-family: ff6c; -webkit-text-stroke: 0.144px rgba(0, 0, 0, 0);"&gt;&lt;/span&gt;&lt;span style="display: inline-block;"&gt;ficers and senior &lt;/span&gt;&lt;/span&gt;&lt;span class="pp-font-color-override-1" style="position: absolute; display: inline-block; left: 83.5312px; top: 58.4062px; width: 4.58203px; white-space: pre; word-spacing: 0.0391777px; letter-spacing: -0.0391777px; margin-left: 0px; font-size: 5.5968px; font-family: ff6f; -webkit-text-stroke: 0.083952px rgba(0, 0, 0, 0);"&gt;&lt;span style="display: inline-block;"&gt;2)&lt;/span&gt;&lt;/span&gt;&lt;span class="pp-font-color-override-1" style="position: absolute; display: inline-block; left: 0px; top: 58.0605px; width: 68.7539px; white-space: pre; word-spacing: -0.192px; letter-spacing: 0.192px; margin-left: 0px; font-size: 9.6px; font-family: ff6f; -webkit-text-stroke: 0.144px rgba(0, 0, 0, 0);"&gt;&lt;span style="display: inline-block;"&gt;senior ex&lt;/span&gt;&lt;span style="word-spacing: -0.192px; letter-spacing: 0.192px; display: inline-block; margin-left: -0.684px; width: 0px; font-size: 9.6px; font-family: ff6f; -webkit-text-stroke: 0.144px rgba(0, 0, 0, 0);"&gt;&lt;/span&gt;&lt;span style="display: inline-block;"&gt;ecutives&lt;/span&gt;&lt;/span&gt;&lt;span class="pp-font-color-override-1" style="position: absolute; display: inline-block; left: 162.422px; top: 57.3164px; width: 55.2949px; white-space: pre; word-spacing: -0.144px; letter-spacing: 0.144px; margin-left: 0px; font-size: 9.6px; font-family: ff6c; -webkit-text-stroke: 0.144px rgba(0, 0, 0, 0);"&gt;&lt;span style="display: inline-block;"&gt;executives),&lt;/span&gt;&lt;span style="word-spacing: -0.144px; letter-spacing: 0.144px; display: inline-block; margin-left: -0.684px; width: 0px; font-size: 9.6px; font-family: ff6c; -webkit-text-stroke: 0.144px rgba(0, 0, 0, 0);"&gt;&lt;/span&gt;&lt;span style="display: inline-block;"&gt;%&lt;/span&gt;&lt;/span&gt;&lt;span class="pp-font-color-override-1" style="position: absolute; display: inline-block; left: 281.719px; top: 57.3164px; width: 55.2949px; white-space: pre; word-spacing: -0.144px; letter-spacing: 0.144px; margin-left: 0px; font-size: 9.6px; font-family: ff6c; -webkit-text-stroke: 0.144px rgba(0, 0, 0, 0);"&gt;&lt;span style="display: inline-block;"&gt;executives),&lt;/span&gt;&lt;span style="word-spacing: -0.144px; letter-spacing: 0.144px; display: inline-block; margin-left: -0.684px; width: 0px; font-size: 9.6px; font-family: ff6c; -webkit-text-stroke: 0.144px rgba(0, 0, 0, 0);"&gt;&lt;/span&gt;&lt;span style="display: inline-block;"&gt;%&lt;/span&gt;&lt;/span&gt;&lt;span class="pp-font-color-override-1" style="position: absolute; display: inline-block; left: 153.156px; top: 79.9473px; width: 10.5px; white-space: pre; word-spacing: 0px; letter-spacing: 0px; margin-left: 0px; font-size: 10.5px; font-family: ff70; -webkit-text-stroke: 0.1575px rgba(0, 0, 0, 0);"&gt;&lt;span style="display: inline-block;"&gt;10&lt;/span&gt;&lt;/span&gt;&lt;span class="pp-font-color-override-1" style="position: absolute; display: inline-block; left: 209.875px; top: 79.9473px; width: 11.0508px; white-space: pre; word-spacing: -0.273px; letter-spacing: 0.273px; margin-left: 0px; font-size: 10.5px; font-family: ff70; -webkit-text-stroke: 0.1575px rgba(0, 0, 0, 0);"&gt;&lt;span style="display: inline-block;"&gt;40&lt;/span&gt;&lt;/span&gt;&lt;span class="pp-font-color-override-1" style="position: absolute; display: inline-block; left: 277.625px; top: 79.9473px; width: 5.25px; white-space: pre; word-spacing: 0px; letter-spacing: 0px; margin-left: 0px; font-size: 10.5px; font-family: ff70; -webkit-text-stroke: 0.1575px rgba(0, 0, 0, 0);"&gt;&lt;span style="display: inline-block;"&gt;9&lt;/span&gt;&lt;/span&gt;&lt;span class="pp-font-color-override-1" style="position: absolute; display: inline-block; left: 329.281px; top: 79.9473px; width: 11.3438px; white-space: pre; word-spacing: -0.42px; letter-spacing: 0.42px; margin-left: 0px; font-size: 10.5px; font-family: ff70; -webkit-text-stroke: 0.1575px rgba(0, 0, 0, 0);"&gt;&lt;span style="display: inline-block;"&gt;44&lt;/span&gt;&lt;/span&gt;&lt;span class="pp-font-color-override-1" style="position: absolute; display: inline-block; left: 0px; top: 91.9473px; width: 69.8906px; white-space: pre; word-spacing: -0.0525px; letter-spacing: 0.084px; margin-left: 0px; font-size: 10.5px; font-family: ff70; -webkit-text-stroke: 0.1575px rgba(0, 0, 0, 0);"&gt;&lt;span style="display: inline-block;"&gt;Parent c&lt;/span&gt;&lt;span style="word-spacing: -0.0525px; letter-spacing: 0.084px; display: inline-block; margin-left: 0px; width: 0.410156px; font-size: 10.5px; font-family: ff70; -webkit-text-stroke: 0.1575px rgba(0, 0, 0, 0);"&gt;&lt;/span&gt;&lt;span style="display: inline-block;"&gt;omp&lt;/span&gt;&lt;span style="word-spacing: -0.0525px; letter-spacing: 0.084px; display: inline-block; margin-left: 0px; width: 0.410156px; font-size: 10.5px; font-family: ff70; -webkit-text-stroke: 0.1575px rgba(0, 0, 0, 0);"&gt;&lt;/span&gt;&lt;span style="display: inline-block;"&gt;any&lt;/span&gt;&lt;/span&gt;&lt;span class="pp-font-color-override-1" style="position: absolute; display: inline-block; left: 147.125px; top: 91.9473px; width: 17.2441px; white-space: pre; word-spacing: 0.084px; letter-spacing: -0.084px; margin-left: 0px; font-size: 10.5px; font-family: ff70; -webkit-text-stroke: 0.1575px rgba(0, 0, 0, 0);"&gt;&lt;span style="display: inline-block;"&gt;(—)&lt;/span&gt;&lt;/span&gt;&lt;span class="pp-font-color-override-1" style="position: absolute; display: inline-block; left: 205.719px; top: 91.9473px; width: 17.2441px; white-space: pre; word-spacing: 0.084px; letter-spacing: -0.084px; margin-left: 0px; font-size: 10.5px; font-family: ff70; -webkit-text-stroke: 0.1575px rgba(0, 0, 0, 0);"&gt;&lt;span style="display: inline-block;"&gt;(—)&lt;/span&gt;&lt;/span&gt;&lt;span class="pp-font-color-override-1" style="position: absolute; display: inline-block; left: 266.172px; top: 91.9473px; width: 17.2441px; white-space: pre; word-spacing: 0.084px; letter-spacing: -0.084px; margin-left: 0px; font-size: 10.5px; font-family: ff70; -webkit-text-stroke: 0.1575px rgba(0, 0, 0, 0);"&gt;&lt;span style="display: inline-block;"&gt;(—)&lt;/span&gt;&lt;/span&gt;&lt;span class="pp-font-color-override-1" style="position: absolute; display: inline-block; left: 325.844px; top: 91.9473px; width: 17.2441px; white-space: pre; word-spacing: 0.084px; letter-spacing: -0.084px; margin-left: 0px; font-size: 10.5px; font-family: ff70; -webkit-text-stroke: 0.1575px rgba(0, 0, 0, 0);"&gt;&lt;span style="display: inline-block;"&gt;(—)&lt;/span&gt;&lt;/span&gt;&lt;span class="pp-font-color-override-1" style="position: absolute; display: inline-block; left: 151.172px; top: 107.9px; width: 10.207px; white-space: pre; word-spacing: 0.147px; letter-spacing: -0.147px; margin-left: 0px; font-size: 10.5px; font-family: ff70; -webkit-text-stroke: 0.1575px rgba(0, 0, 0, 0);"&gt;&lt;span style="display: inline-block;"&gt;97&lt;/span&gt;&lt;/span&gt;&lt;span class="pp-font-color-override-1" style="position: absolute; display: inline-block; left: 210.953px; top: 107.9px; width: 10.5px; white-space: pre; word-spacing: 0px; letter-spacing: 0px; margin-left: 0px; font-size: 10.5px; font-family: ff70; -webkit-text-stroke: 0.1575px rgba(0, 0, 0, 0);"&gt;&lt;span style="display: inline-block;"&gt;28&lt;/span&gt;&lt;/span&gt;&lt;span class="pp-font-color-override-1" style="position: absolute; display: inline-block; left: 266.172px; top: 107.9px; width: 15.75px; white-space: pre; word-spacing: 0px; letter-spacing: 0px; margin-left: 0px; font-size: 10.5px; font-family: ff70; -webkit-text-stroke: 0.1575px rgba(0, 0, 0, 0);"&gt;&lt;span style="display: inline-block;"&gt;102&lt;/span&gt;&lt;/span&gt;&lt;span class="pp-font-color-override-1" style="position: absolute; display: inline-block; left: 331.703px; top: 107.9px; width: 10.5px; white-space: pre; word-spacing: 0px; letter-spacing: 0px; margin-left: 0px; font-size: 10.5px; font-family: ff70; -webkit-text-stroke: 0.1575px rgba(0, 0, 0, 0);"&gt;&lt;span style="display: inline-block;"&gt;27&lt;/span&gt;&lt;/span&gt;&lt;span class="pp-font-color-override-1" style="position: absolute; display: inline-block; left: 0px; top: 119.9px; width: 53.4785px; white-space: pre; word-spacing: -0.1785px; letter-spacing: 0.1785px; margin-left: 0px; font-size: 10.5px; font-family: ff70; -webkit-text-stroke: 0.1575px rgba(0, 0, 0, 0);"&gt;&lt;span style="display: inline-block;"&gt;Subsidiaries&lt;/span&gt;&lt;/span&gt;&lt;span class="pp-font-color-override-1" style="position: absolute; display: inline-block; left: 138.938px; top: 119.9px; width: 23.209px; white-space: pre; word-spacing: -0.0105px; letter-spacing: 0.0105px; margin-left: 0px; font-size: 10.5px; font-family: ff70; -webkit-text-stroke: 0.1575px rgba(0, 0, 0, 0);"&gt;&lt;span style="display: inline-block;"&gt;(267&lt;/span&gt;&lt;span style="word-spacing: -0.0105px; letter-spacing: 0.0105px; display: inline-block; margin-left: 0px; width: 0.410156px; font-size: 10.5px; font-family: ff70; -webkit-text-stroke: 0.1575px rgba(0, 0, 0, 0);"&gt;&lt;/span&gt;&lt;span style="display: inline-block;"&gt;)&lt;/span&gt;&lt;/span&gt;&lt;span class="pp-font-color-override-1" style="position: absolute; display: inline-block; left: 204.297px; top: 119.9px; width: 17.0332px; white-space: pre; word-spacing: 0.1155px; letter-spacing: -0.1155px; margin-left: 0px; font-size: 10.5px; font-family: ff70; -webkit-text-stroke: 0.1575px rgba(0, 0, 0, 0);"&gt;&lt;span style="display: inline-block;"&gt;(32)&lt;/span&gt;&lt;/span&gt;&lt;span class="pp-font-color-override-1" style="position: absolute; display: inline-block; left: 256.031px; top: 119.9px; width: 22.582px; white-space: pre; word-spacing: 0.1155px; letter-spacing: -0.1155px; margin-left: 0px; font-size: 10.5px; font-family: ff70; -webkit-text-stroke: 0.1575px rgba(0, 0, 0, 0);"&gt;&lt;span style="display: inline-block;"&gt;(2&lt;/span&gt;&lt;span style="word-spacing: 0.1155px; letter-spacing: -0.1155px; display: inline-block; margin-left: 0px; width: 0.410156px; font-size: 10.5px; font-family: ff70; -webkit-text-stroke: 0.1575px rgba(0, 0, 0, 0);"&gt;&lt;/span&gt;&lt;span style="display: inline-block;"&gt;90)&lt;/span&gt;&lt;/span&gt;&lt;span class="pp-font-color-override-1" style="position: absolute; display: inline-block; left: 323.406px; top: 119.9px; width: 17.4492px; white-space: pre; word-spacing: 0.1155px; letter-spacing: -0.1155px; margin-left: 0px; font-size: 10.5px; font-family: ff70; -webkit-text-stroke: 0.1575px rgba(0, 0, 0, 0);"&gt;&lt;span style="display: inline-block;"&gt;(37&lt;/span&gt;&lt;span style="word-spacing: 0.1155px; letter-spacing: -0.1155px; display: inline-block; margin-left: 0px; width: 0.410156px; font-size: 10.5px; font-family: ff70; -webkit-text-stroke: 0.1575px rgba(0, 0, 0, 0);"&gt;&lt;/span&gt;&lt;span style="display: inline-block;"&gt;)&lt;/span&gt;&lt;/span&gt;&lt;span class="pp-font-color-override-1" style="position: absolute; display: inline-block; left: 147.125px; top: 135.617px; width: 15.75px; white-space: pre; word-spacing: 0px; letter-spacing: 0px; margin-left: 0px; font-size: 10.5px; font-family: ff6f; -webkit-text-stroke: 0.1575px rgba(0, 0, 0, 0);"&gt;&lt;span style="display: inline-block;"&gt;107&lt;/span&gt;&lt;/span&gt;&lt;span class="pp-font-color-override-1" style="position: absolute; display: inline-block; left: 209.875px; top: 135.617px; width: 10.7109px; white-space: pre; word-spacing: -0.105px; letter-spacing: 0.105px; margin-left: 0px; font-size: 10.5px; font-family: ff6f; -webkit-text-stroke: 0.1575px rgba(0, 0, 0, 0);"&gt;&lt;span style="display: inline-block;"&gt;29&lt;/span&gt;&lt;/span&gt;&lt;span class="pp-font-color-override-1" style="position: absolute; display: inline-block; left: 269.406px; top: 135.617px; width: 14.3438px; white-space: pre; word-spacing: 0.21px; letter-spacing: -0.21px; margin-left: 0px; font-size: 10.5px; font-family: ff6f; -webkit-text-stroke: 0.1575px rgba(0, 0, 0, 0);"&gt;&lt;span style="display: inline-block;"&gt;111&lt;/span&gt;&lt;/span&gt;&lt;span class="pp-font-color-override-1" style="position: absolute; display: inline-block; left: 329.281px; top: 135.617px; width: 10.7109px; white-space: pre; word-spacing: -0.105px; letter-spacing: 0.105px; margin-left: 0px; font-size: 10.5px; font-family: ff6f; -webkit-text-stroke: 0.1575px rgba(0, 0, 0, 0);"&gt;&lt;span style="display: inline-block;"&gt;29&lt;/span&gt;&lt;/span&gt;&lt;span class="pp-font-color-override-1" style="position: absolute; display: inline-block; left: 0px; top: 147.617px; width: 22.4414px; white-space: pre; word-spacing: -0.1995px; letter-spacing: 0.1995px; margin-left: 0px; font-size: 10.5px; font-family: ff6f; -webkit-text-stroke: 0.1575px rgba(0, 0, 0, 0);"&gt;&lt;span style="display: inline-block;"&gt;T&lt;/span&gt;&lt;span style="word-spacing: -0.1995px; letter-spacing: 0.1995px; display: inline-block; margin-left: -1.13625px; width: 0px; font-size: 10.5px; font-family: ff6f; -webkit-text-stroke: 0.1575px rgba(0, 0, 0, 0);"&gt;&lt;/span&gt;&lt;span style="display: inline-block;"&gt;ot&lt;/span&gt;&lt;span style="word-spacing: -0.1995px; letter-spacing: 0.1995px; display: inline-block; margin-left: 0px; width: 0.410156px; font-size: 10.5px; font-family: ff6f; -webkit-text-stroke: 0.1575px rgba(0, 0, 0, 0);"&gt;&lt;/span&gt;&lt;span style="display: inline-block;"&gt;al&lt;/span&gt;&lt;/span&gt;&lt;span class="pp-font-color-override-1" style="position: absolute; display: inline-block; left: 135.797px; top: 147.617px; width: 23.0566px; white-space: pre; word-spacing: 0.021px; letter-spacing: -0.021px; margin-left: 0px; font-size: 10.5px; font-family: ff6f; -webkit-text-stroke: 0.1575px rgba(0, 0, 0, 0);"&gt;&lt;span style="display: inline-block;"&gt;(267&lt;/span&gt;&lt;span style="word-spacing: 0.021px; letter-spacing: -0.021px; display: inline-block; margin-left: 0px; width: 0.410156px; font-size: 10.5px; font-family: ff6f; -webkit-text-stroke: 0.1575px rgba(0, 0, 0, 0);"&gt;&lt;/span&gt;&lt;span style="display: inline-block;"&gt;)&lt;/span&gt;&lt;/span&gt;&lt;span class="pp-font-color-override-1" style="position: absolute; display: inline-block; left: 202.969px; top: 147.617px; width: 16.8633px; white-space: pre; word-spacing: 0.1575px; letter-spacing: -0.1575px; margin-left: 0px; font-size: 10.5px; font-family: ff6f; -webkit-text-stroke: 0.1575px rgba(0, 0, 0, 0);"&gt;&lt;span style="display: inline-block;"&gt;(32)&lt;/span&gt;&lt;/span&gt;&lt;span class="pp-font-color-override-1" style="position: absolute; display: inline-block; left: 254.156px; top: 147.617px; width: 22.8457px; white-space: pre; word-spacing: 0.063px; letter-spacing: -0.063px; margin-left: 0px; font-size: 10.5px; font-family: ff6f; -webkit-text-stroke: 0.1575px rgba(0, 0, 0, 0);"&gt;&lt;span style="display: inline-block;"&gt;(29&lt;/span&gt;&lt;span style="word-spacing: 0.063px; letter-spacing: -0.063px; display: inline-block; margin-left: 0px; width: 0.410156px; font-size: 10.5px; font-family: ff6f; -webkit-text-stroke: 0.1575px rgba(0, 0, 0, 0);"&gt;&lt;/span&gt;&lt;span style="display: inline-block;"&gt;0)&lt;/span&gt;&lt;/span&gt;&lt;span class="pp-font-color-override-1" style="position: absolute; display: inline-block; left: 322.297px; top: 147.617px; width: 17.7949px; white-space: pre; word-spacing: 0.1575px; letter-spacing: -0.1575px; margin-left: 0px; font-size: 10.5px; font-family: ff6f; -webkit-text-stroke: 0.1575px rgba(0, 0, 0, 0);"&gt;&lt;span style="display: inline-block;"&gt;(37&lt;/span&gt;&lt;span style="word-spacing: 0.1575px; letter-spacing: -0.1575px; display: inline-block; margin-left: 0px; width: 0.925781px; font-size: 10.5px; font-family: ff6f; -webkit-text-stroke: 0.1575px rgba(0, 0, 0, 0);"&gt;&lt;/span&gt;&lt;span style="display: inline-block;"&gt;)&lt;/span&gt;&lt;/span&gt;&lt;/span&gt;&lt;span style="display:inherit;clear:left;position:relative;height:170.14453125px;"&gt;&lt;span class="pp-font-color-override-1" style="position: absolute; display: inline-block; left: 158.641px; top: 0.0039062px; width: 134.156px;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95.4199px;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inline-block;"&gt;20&lt;/span&gt;&lt;span style="word-spacing: 0.0576px; letter-spacing: -0.0576px; display: inline-block; margin-left: 0px; width: 0.410156px; font-size: 9.6px; font-family: ff6c; -webkit-text-stroke: 0.144px rgba(0, 0, 0, 0);"&gt;&lt;/span&gt;&lt;span style="display: inline-block;"&gt;24&lt;/span&gt;&lt;/span&gt;&lt;/span&gt;&lt;span class="pp-font-color-override-1" style="position: absolute; display: inline-block; left: 196.969px; top: 15.5195px; width: 27.2109px; white-space: pre; word-spacing: -0.2496px; letter-spacing: 0.2496px; margin-left: 0px; font-size: 9.6px; font-family: ff6c; -webkit-text-stroke: 0.144px rgba(0, 0, 0, 0);"&gt;&lt;span style="display: inline-block;"&gt;Social&lt;/span&gt;&lt;span style="word-spacing: -0.2496px; letter-spacing: 0.2496px; display: inline-block; margin-left: -0.684px; width: 0px; font-size: 9.6px; font-family: ff6c; -webkit-text-stroke: 0.144px rgba(0, 0, 0, 0);"&gt;&lt;/span&gt;&lt;span style="display: inline-block;"&gt; &lt;/span&gt;&lt;/span&gt;&lt;span class="pp-font-color-override-1" style="position: absolute; display: inline-block; left: 316.391px; top: 15.5195px; width: 27.2109px; white-space: pre; word-spacing: -0.2496px; letter-spacing: 0.2496px; margin-left: 0px; font-size: 9.6px; font-family: ff6c; -webkit-text-stroke: 0.144px rgba(0, 0, 0, 0);"&gt;&lt;span style="display: inline-block;"&gt;Social&lt;/span&gt;&lt;span style="word-spacing: -0.2496px; letter-spacing: 0.2496px; display: inline-block; margin-left: -0.684px; width: 0px; font-size: 9.6px; font-family: ff6c; -webkit-text-stroke: 0.144px rgba(0, 0, 0, 0);"&gt;&lt;/span&gt;&lt;span style="display: inline-block;"&gt; &lt;/span&gt;&lt;/span&gt;&lt;span class="pp-font-color-override-1" style="position: absolute; display: inline-block; left: 115.75px; top: 26.0195px; width: 44.8242px; white-space: pre; word-spacing: 0px; letter-spacing: 0px; margin-left: 0px; font-size: 9.6px; font-family: ff6c; -webkit-text-stroke: 0.144px rgba(0, 0, 0, 0);"&gt;&lt;span style="display: inline-block;"&gt;Wage&lt;/span&gt;&lt;span style="word-spacing: 0px; letter-spacing: 0px; display: inline-block; margin-left: 0px; width: 0.410156px; font-size: 9.6px; font-family: ff6c; -webkit-text-stroke: 0.144px rgba(0, 0, 0, 0);"&gt;&lt;/span&gt;&lt;span style="display: inline-block;"&gt;s an&lt;/span&gt;&lt;span style="word-spacing: 0px; letter-spacing: 0px; display: inline-block; margin-left: 0px; width: 0.410156px; font-size: 9.6px; font-family: ff6c; -webkit-text-stroke: 0.144px rgba(0, 0, 0, 0);"&gt;&lt;/span&gt;&lt;span style="display: inline-block;"&gt;d &lt;/span&gt;&lt;/span&gt;&lt;span class="pp-font-color-override-1" style="position: absolute; display: inline-block; left: 187.766px; top: 26.0195px; width: 32.3848px; white-space: pre; word-spacing: -2.2272px; letter-spacing: 0px</t>
  </si>
  <si>
    <t>f1__s8__6__81-1</t>
  </si>
  <si>
    <t>ifrs-full:DisclosureOfEmployeeBenefitsExplanatory</t>
  </si>
  <si>
    <t>&lt;span style="display:inherit;clear:left;"&gt;Incentive&lt;span class="_ _2"&gt;&lt;/span&gt; programmes&lt;/span&gt;&lt;span style="display:inherit;clear:left;"&gt;Short&lt;span class="_ _6"&gt;&lt;/span&gt;-t&lt;span class="_ _2"&gt;&lt;/span&gt;erm incentiv&lt;span class="_ _2"&gt;&lt;/span&gt;e programmes&lt;/span&gt;&lt;span style="display:inherit;clear:left;"&gt;Vo&lt;span class="_ _7"&gt;&lt;/span&gt;l&lt;span class="_ _7"&gt;&lt;/span&gt;vo&lt;span class="_ _7"&gt;&lt;/span&gt; B&lt;span class="_ _9"&gt;&lt;/span&gt;o&lt;span class="_ _7"&gt;&lt;/span&gt;n&lt;span class="_ _9"&gt;&lt;/span&gt;u&lt;span class="_ _7"&gt;&lt;/span&gt;s&lt;/span&gt;&lt;span style="display:inherit;clear:left;"&gt;Th&lt;span class="_ _7"&gt;&lt;/span&gt;e Volvo Bo&lt;span class="_ _7"&gt;&lt;/span&gt;nus p&lt;span class="_ _7"&gt;&lt;/span&gt;ro&lt;span class="_ _7"&gt;&lt;/span&gt;gr&lt;span class="_ _7"&gt;&lt;/span&gt;am&lt;span class="_ _7"&gt;&lt;/span&gt;me in&lt;span class="_ _7"&gt;&lt;/span&gt;clu&lt;span class="_ _7"&gt;&lt;/span&gt;de&lt;span class="_ _7"&gt;&lt;/span&gt;s al&lt;span class="_ _7"&gt;&lt;/span&gt;l Volvo Ca&lt;span class="_ _7"&gt;&lt;/span&gt;r Gro&lt;span class="_ _7"&gt;&lt;/span&gt;up e&lt;span class="_ _7"&gt;&lt;/span&gt;mp&lt;span class="_ _7"&gt;&lt;/span&gt;loy-&lt;/span&gt;&lt;span style="display:inherit;clear:left;"&gt;ee&lt;span class="_ _7"&gt;&lt;/span&gt;s&lt;span class="_ _7"&gt;&lt;/span&gt;, exce&lt;span class="_ _7"&gt;&lt;/span&gt;pt th&lt;span class="_ _7"&gt;&lt;/span&gt;os&lt;span class="_ _7"&gt;&lt;/span&gt;e wh&lt;span class="_ _7"&gt;&lt;/span&gt;o pa&lt;span class="_ _7"&gt;&lt;/span&gt;r&lt;span class="_ _7"&gt;&lt;/span&gt;ti&lt;span class="_ _7"&gt;&lt;/span&gt;cip&lt;span class="_ _7"&gt;&lt;/span&gt;ate&lt;span class="_ _7"&gt;&lt;/span&gt;s in t&lt;span class="_ _7"&gt;&lt;/span&gt;he ST&lt;span class="_ _7"&gt;&lt;/span&gt;V&lt;span class="_ _7"&gt;&lt;/span&gt;P for S&lt;span class="_ _7"&gt;&lt;/span&gt;en&lt;span class="_ _7"&gt;&lt;/span&gt;io&lt;span class="_ _7"&gt;&lt;/span&gt;r Le&lt;span class="_ _7"&gt;&lt;/span&gt;ade&lt;span class="_ _7"&gt;&lt;/span&gt;r&lt;span class="_ _7"&gt;&lt;/span&gt;s&lt;span class="_ _7"&gt;&lt;/span&gt;. &lt;/span&gt;&lt;span style="display:inherit;clear:left;"&gt;Th&lt;span class="_ _7"&gt;&lt;/span&gt;e pur&lt;span class="_ _7"&gt;&lt;/span&gt;po&lt;span class="_ _7"&gt;&lt;/span&gt;s&lt;span class="_ _7"&gt;&lt;/span&gt;e of t&lt;span class="_ _7"&gt;&lt;/span&gt;he Volvo B&lt;span class="_ _7"&gt;&lt;/span&gt;onu&lt;span class="_ _7"&gt;&lt;/span&gt;s is t&lt;span class="_ _7"&gt;&lt;/span&gt;o st&lt;span class="_ _7"&gt;&lt;/span&gt;re&lt;span class="_ _7"&gt;&lt;/span&gt;ng&lt;span class="_ _7"&gt;&lt;/span&gt;th&lt;span class="_ _7"&gt;&lt;/span&gt;en g&lt;span class="_ _7"&gt;&lt;/span&gt;lob&lt;span class="_ _7"&gt;&lt;/span&gt;al a&lt;span class="_ _7"&gt;&lt;/span&gt;lig&lt;span class="_ _7"&gt;&lt;/span&gt;nm&lt;span class="_ _7"&gt;&lt;/span&gt;ent &lt;/span&gt;&lt;span style="display:inherit;clear:left;"&gt;amo&lt;span class="_ _7"&gt;&lt;/span&gt;ng e&lt;span class="_ _7"&gt;&lt;/span&gt;mpl&lt;span class="_ _7"&gt;&lt;/span&gt;oye&lt;span class="_ _7"&gt;&lt;/span&gt;es a&lt;span class="_ _7"&gt;&lt;/span&gt;rou&lt;span class="_ _7"&gt;&lt;/span&gt;nd Volvo C&lt;span class="_ _7"&gt;&lt;/span&gt;ar G&lt;span class="_ _7"&gt;&lt;/span&gt;ro&lt;span class="_ _7"&gt;&lt;/span&gt;up’s vi&lt;span class="_ _7"&gt;&lt;/span&gt;si&lt;span class="_ _7"&gt;&lt;/span&gt;on&lt;span class="_ _7"&gt;&lt;/span&gt;, obj&lt;span class="_ _7"&gt;&lt;/span&gt;ec&lt;span class="_ _7"&gt;&lt;/span&gt;ti&lt;span class="_ _7"&gt;&lt;/span&gt;ve&lt;span class="_ _7"&gt;&lt;/span&gt;s and &lt;/span&gt;&lt;span style="display:inherit;clear:left;position:relative;height:233.44140625px;"&gt;&lt;span class="pp-font-color-override-1" style="position: absolute; display: inline-block; left: 261.516px; top: 0.0039062px; width: 336.006px; white-space: pre; word-spacing: -0.0384px; letter-spacing: 0.0384px; margin-left: 0px; font-size: 9.6px; font-family: ff6f; -webkit-text-stroke: 0.144px rgba(0, 0, 0, 0);"&gt;&lt;span style="display: inline-block;"&gt;2025&lt;/span&gt;&lt;span style="word-spacing: -0.0384px; letter-spacing: 0.0384px; display: inline-block; margin-left: 0px; width: 297.685px; font-size: 9.6px; font-family: ff6f; -webkit-text-stroke: 0.144px rgba(0, 0, 0, 0);"&gt;&lt;span style="display: inline-block;"&gt; &lt;/span&gt;&lt;/span&gt;&lt;span class="pp-font-color-override-1" style="word-spacing: 0.0576px; letter-spacing: -0.0576px; display: inline-block; margin-left: 0px; font-size: 9.6px; font-family: ff6c; -webkit-text-stroke: 0.144px rgba(0, 0, 0, 0);"&gt;&lt;span style="display: inline-block;"&gt;2024&lt;/span&gt;&lt;/span&gt;&lt;/span&gt;&lt;span class="pp-font-color-override-1" style="position: absolute; display: inline-block; left: 0px; top: 16.0762px; width: 84.457px; white-space: pre; word-spacing: -0.24px; letter-spacing: 0.24px; margin-left: 0px; font-size: 9.6px; font-family: ff6f; -webkit-text-stroke: 0.144px rgba(0, 0, 0, 0);"&gt;&lt;span style="display: inline-block;"&gt;Expensed compe&lt;/span&gt;&lt;span style="word-spacing: -0.24px; letter-spacing: 0.24px; display: inline-block; margin-left: -0.684px; width: 0px; font-size: 9.6px; font-family: ff6f; -webkit-text-stroke: 0.144px rgba(0, 0, 0, 0);"&gt;&lt;/span&gt;&lt;span style="display: inline-block;"&gt;nsa&lt;/span&gt;&lt;span class="pp-font-color-override-1" style="word-spacing: 0px; letter-spacing: 0px; display: inline-block; margin-left: 0px; font-size: 9.6px; font-family: ff6f; -webkit-text-stroke: 0.144px rgba(0, 0, 0, 0);"&gt;&lt;span style="display: inline-block;"&gt;-&lt;/span&gt;&lt;/span&gt;&lt;/span&gt;&lt;span class="pp-font-color-override-1" style="position: absolute; display: inline-block; left: 360.531px; top: 15.332px; width: 61.9863px; white-space: pre; word-spacing: -0.2496px; letter-spacing: 0.2496px; margin-left: 0px; font-size: 9.6px; font-family: ff6c; -webkit-text-stroke: 0.144px rgba(0, 0, 0, 0);"&gt;&lt;span style="display: inline-block;"&gt;Social&lt;/span&gt;&lt;span style="word-spacing: -0.2496px; letter-spacing: 0.2496px; display: inline-block; margin-left: -0.684px; width: 0px; font-size: 9.6px; font-family: ff6c; -webkit-text-stroke: 0.144px rgba(0, 0, 0, 0);"&gt;&lt;/span&gt;&lt;span style="display: inline-block;"&gt; security &lt;/span&gt;&lt;/span&gt;&lt;span class="pp-font-color-override-1" style="position: absolute; display: inline-block; left: 680.75px; top: 15.332px; width: 61.9863px; white-space: pre; word-spacing: -0.2496px; letter-spacing: 0.2496px; margin-left: 0px; font-size: 9.6px; font-family: ff6c; -webkit-text-stroke: 0.144px rgba(0, 0, 0, 0);"&gt;&lt;span style="display: inline-block;"&gt;Social&lt;/span&gt;&lt;span style="word-spacing: -0.2496px; letter-spacing: 0.2496px; display: inline-block; margin-left: -0.684px; width: 0px; font-size: 9.6px; font-family: ff6c; -webkit-text-stroke: 0.144px rgba(0, 0, 0, 0);"&gt;&lt;/span&gt;&lt;span style="display: inline-block;"&gt; security &lt;/span&gt;&lt;/span&gt;&lt;span class="pp-font-color-override-1" style="position: absolute; display: inline-block; left: 0px; top: 26.5762px; width: 69.627px; white-space: pre; word-spacing: 0px; letter-spacing: 0px; margin-left: 0px; font-size: 9.6px; font-family: ff6f; -webkit-text-stroke: 0.144px rgba(0, 0, 0, 0);"&gt;&lt;span style="display: inline-block;"&gt;tio&lt;/span&gt;&lt;span style="word-spacing: 0px; letter-spacing: 0px; display: inline-block; margin-left: 0px; width: 0.410156px; font-size: 9.6px; font-family: ff6f; -webkit-text-stroke: 0.144px rgba(0, 0, 0, 0);"&gt;&lt;/span&gt;&lt;span style="display: inline-block;"&gt;n to E&lt;/span&gt;&lt;span style="word-spacing: 0px; letter-spacing: 0px; display: inline-block; margin-left: 0px; width: 0.410156px; font-size: 9.6px; font-family: ff6f; -webkit-text-stroke: 0.144px rgba(0, 0, 0, 0);"&gt;&lt;/span&gt;&lt;span style="display: inline-block;"&gt;xec&lt;/span&gt;&lt;span style="word-spacing: 0px; letter-spacing: 0px; display: inline-block; margin-left: 0px; width: 0.410156px; font-size: 9.6px; font-family: ff6f; -webkit-text-stroke: 0.144px rgba(0, 0, 0, 0);"&gt;&lt;/span&gt;&lt;span style="display: inline-block;"&gt;ut&lt;/span&gt;&lt;span style="word-spacing: 0px; letter-spacing: 0px; display: inline-block; margin-left: 0px; width: 0.410156px; font-size: 9.6px; font-family: ff6f; -webkit-text-stroke: 0.144px rgba(0, 0, 0, 0);"&gt;&lt;/span&gt;&lt;span style="display: inline-block;"&gt;ive &lt;/span&gt;&lt;/span&gt;&lt;span class="pp-font-color-override-1" style="position: absolute; display: inline-block; left: 288.312px; top: 25.832px; width: 51.375px; white-space: pre; word-spacing: -0.2496px; letter-spacing: 0.2496px; margin-left: 0px; font-size: 9.6px; font-family: ff6c; -webkit-text-stroke: 0.144px rgba(0, 0, 0, 0);"&gt;&lt;span style="display: inline-block;"&gt;Share&lt;/span&gt;&lt;span style="word-spacing: -0.2496px; letter-spacing: 0.2496px; display: inline-block; margin-left: -0.684px; width: 0px; font-size: 9.6px; font-family: ff6c; -webkit-text-stroke: 0.144px rgba(0, 0, 0, 0);"&gt;&lt;/span&gt;&lt;span style="display: inline-block;"&gt;-based &lt;/span&gt;&lt;/span&gt;&lt;span class="pp-font-color-override-1" style="position: absolute; display: inline-block; left: 369.797px; top: 25.832px; width: 52.2949px; white-space: pre; word-spacing: 0px; letter-spacing: 0px; margin-left: 0px; font-size: 9.6px; font-family: ff6c; -webkit-text-stroke: 0.144px rgba(0, 0, 0, 0);"&gt;&lt;span style="display: inline-block;"&gt;exp&lt;/span&gt;&lt;span style="word-spacing: 0px; letter-spacing: 0px; display: inline-block; margin-left: 0px; width: 0.410156px; font-size: 9.6px; font-family: ff6c; -webkit-text-stroke: 0.144px rgba(0, 0, 0, 0);"&gt;&lt;/span&gt;&lt;span style="display: inline-block;"&gt;en&lt;/span&gt;&lt;span style="word-spacing: 0px; letter-spacing: 0px; display: inline-block; margin-left: 0px; width: 0.410156px; font-size: 9.6px; font-family: ff6c; -webkit-text-stroke: 0.144px rgba(0, 0, 0, 0);"&gt;&lt;/span&gt;&lt;span style="display: inline-block;"&gt;s&lt;/span&gt;&lt;span style="word-spacing: 0px; letter-spacing: 0px; display: inline-block; margin-left: 0px; width: 0.410156px; font-size: 9.6px; font-family: ff6c; -webkit-text-stroke: 0.144px rgba(0, 0, 0, 0);"&gt;&lt;/span&gt;&lt;span style="display: inline-block;"&gt;es (o&lt;/span&gt;&lt;span style="word-spacing: 0px; letter-spacing: 0px; display: inline-block; margin-left: 0px; width: 0.410156px; font-size: 9.6px; font-family: ff6c; -webkit-text-stroke: 0.144px rgba(0, 0, 0, 0);"&gt;&lt;/span&gt;&lt;span style="display: inline-block;"&gt;f &lt;/span&gt;&lt;/span&gt;&lt;span class="pp-font-color-override-1" style="position: absolute; display: inline-block; left: 609.297px; top: 25.832px; width: 51.375px; white-space: pre; word-spacing: -0.2496px; letter-spacing: 0.2496px; margin-left: 0px; font-size: 9.6px; font-family: ff6c; -webkit-text-stroke: 0.144px rgba(0, 0, 0, 0);"&gt;&lt;span style="display: inline-block;"&gt;Share&lt;/span&gt;&lt;span style="word-spacing: -0.2496px; letter-spacing: 0.2496px; display: inline-block; margin-left: -0.684px; width: 0px; font-size: 9.6px; font-family: ff6c; -webkit-text-stroke: 0.144px rgba(0, 0, 0, 0);"&gt;&lt;/span&gt;&lt;span style="display: inline-block;"&gt;-based &lt;/span&gt;&lt;/span&gt;&lt;span class="pp-font-color-override-1" style="position: absolute; display: inline-block; left: 690.812px; top: 25.832px; width: 52.2949px; white-space: pre; word-spacing: 0px; letter-spacing: 0px; margin-left: 0px; font-size: 9.6px; font-family: ff6c; -webkit-text-stroke: 0.144px rgba(0, 0, 0, 0);"&gt;&lt;span style="display: inline-block;"&gt;exp&lt;/span&gt;&lt;span style="word-spacing: 0px; letter-spacing: 0px; display: inline-block; margin-left: 0px; width: 0.410156px; font-size: 9.6px; font-family: ff6c; -webkit-text-stroke: 0.144px rgba(0, 0, 0, 0);"&gt;&lt;/span&gt;&lt;span style="display: inline-block;"&gt;en&lt;/span&gt;&lt;span style="word-spacing: 0px; letter-spacing: 0px; display: inline-block; margin-left: 0px; width: 0.410156px; font-size: 9.6px; font-family: ff6c; -webkit-text-stroke: 0.144px rgba(0, 0, 0, 0);"&gt;&lt;/span&gt;&lt;span style="display: inline-block;"&gt;s&lt;/span&gt;&lt;span style="word-spacing: 0px; letter-spacing: 0px; display: inline-block; margin-left: 0px; width: 0.410156px; font-size: 9.6px; font-family: ff6c; -webkit-text-stroke: 0.144px rgba(0, 0, 0, 0);"&gt;&lt;/span&gt;&lt;span style="display: inline-block;"&gt;es (o&lt;/span&gt;&lt;span style="word-spacing: 0px; letter-spacing: 0px; display: inline-block; margin-left: 0px; width: 0.410156px; font-size: 9.6px; font-family: ff6c; -webkit-text-stroke: 0.144px rgba(0, 0, 0, 0);"&gt;&lt;/span&gt;&lt;span style="display: inline-block;"&gt;f &lt;/span&gt;&lt;/span&gt;&lt;span class="pp-font-color-override-1" style="position: absolute; display: inline-block; left: 0px; top: 37.0762px; width: 78.0059px; white-space: pre; word-spacing: -0.1824px; letter-spacing: 0.1824px; margin-left: 0px; font-size: 9.6px; font-family: ff6f; -webkit-text-stroke: 0.144px rgba(0, 0, 0, 0);"&gt;&lt;span style="display: inline-block;"&gt;Management T&lt;/span&gt;&lt;span style="word-spacing: -0.1824px; letter-spacing: 0.1824px; display: inline-block; margin-left: -1.13625px; width: 0px; font-size: 9.6px; font-family: ff6f; -webkit-text-stroke: 0.144px rgba(0, 0, 0, 0);"&gt;&lt;/span&gt;&lt;span style="display: inline-block;"&gt;eam &lt;/span&gt;&lt;/span&gt;&lt;span class="pp-font-color-override-1" style="position: absolute; display: inline-block; left: 171.094px; top: 36.332px; width: 35.0801px; white-space: pre; word-spacing: -0.1728px; letter-spacing: 0.1728px; margin-left: 0px; font-size: 9.6px; font-family: ff6c; -webkit-text-stroke: 0.144px rgba(0, 0, 0, 0);"&gt;&lt;span style="display: inline-block;"&gt;Variable&lt;/span&gt;&lt;span style="word-spacing: -0.1728px; letter-spacing: 0.1728px; display: inline-block; margin-left: -0.684px; width: 0px; font-size: 9.6px; font-family: ff6c; -webkit-text-stroke: 0.144px rgba(0, 0, 0, 0);"&gt;&lt;/span&gt;&lt;span style="display: inline-block;"&gt; &lt;/span&gt;&lt;/span&gt;&lt;span class="pp-font-color-override-1" style="position: absolute; display: inline-block; left: 227.75px; top: 36.332px; width: 43.9863px; white-space: pre; word-spacing: -0.2016px; letter-spacing: 0.2016px; margin-left: 0px; font-size: 9.6px; font-family: ff6c; -webkit-text-stroke: 0.144px rgba(0, 0, 0, 0);"&gt;&lt;span style="display: inline-block;"&gt;Long&lt;/span&gt;&lt;span style="word-spacing: -0.2016px; letter-spacing: 0.2016px; display: inline-block; margin-left: -0.684px; width: 0px; font-size: 9.6px; font-family: ff6c; -webkit-text-stroke: 0.144px rgba(0, 0, 0, 0);"&gt;&lt;/span&gt;&lt;span style="display: inline-block;"&gt;-term&lt;/span&gt;&lt;span style="word-spacing: -0.2016px; letter-spacing: 0.2016px; display: inline-block; margin-left: -0.684px; width: 0px; font-size: 9.6px; font-family: ff6c; -webkit-text-stroke: 0.144px rgba(0, 0, 0, 0);"&gt;&lt;/span&gt;&lt;span style="display: inline-block;"&gt; &lt;/span&gt;&lt;span style="word-spacing: -0.2016px; letter-spacing: 0.2016px; display: inline-block; margin-left: -2.33175px; width: 0px; font-size: 9.6px; font-family: ff6c; -webkit-text-stroke: 0.144px rgba(0, 0, 0, 0);"&gt;&lt;/span&gt;&lt;span class="pp-font-color-override-1" style="word-spacing: 0px; letter-spacing: 0px; display: inline-block; margin-left: 0px; font-size: 9.6px; font-family: ff6c; -webkit-text-stroke: 0.144px rgba(0, 0, 0, 0);"&gt;&lt;span style="display: inline-block;"&gt; &lt;/span&gt;&lt;/span&gt;&lt;/span&gt;&lt;span class="pp-font-color-override-1" style="position: absolute; display: inline-block; left: 298.75px; top: 36.332px; width: 40.8984px; white-space: pre; word-spacing: -0.1824px; letter-spacing: 0.1824px; margin-left: 0px; font-size: 9.6px; font-family: ff6c; -webkit-text-stroke: 0.144px rgba(0, 0, 0, 0);"&gt;&lt;span style="display: inline-block;"&gt;remunera&lt;/span&gt;&lt;span class="pp-font-color-override-1" style="word-spacing: 0px; letter-spacing: 0px; display: inline-block; margin-left: 0px; font-size: 9.6px; font-family: ff6c; -webkit-text-stroke: 0.144px rgba(0, 0, 0, 0);"&gt;&lt;span style="display: inline-block;"&gt;-&lt;/span&gt;&lt;/span&gt;&lt;/span&gt;&lt;span class="pp-font-color-override-1" style="position: absolute; display: inline-block; left: 362.469px; top: 36.332px; width: 59.8535px; white-space: pre; word-spacing: -0.2016px; letter-spacing: 0.2016px; margin-left: 0px; font-size: 9.6px; font-family: ff6c; -webkit-text-stroke: 0.144px rgba(0, 0, 0, 0);"&gt;&lt;span style="display: inline-block;"&gt;which pension&lt;/span&gt;&lt;span style="word-spacing: -0.2016px; letter-spacing: 0.2016px; display: inline-block; margin-left: -0.684px; width: 0px; font-size: 9.6px; font-family: ff6c; -webkit-text-stroke: 0.144px rgba(0, 0, 0, 0);"&gt;&lt;/span&gt;&lt;span style="display: inline-block;"&gt; &lt;/span&gt;&lt;/span&gt;&lt;span class="pp-font-color-override-1" style="position: absolute; display: inline-block; left: 491.594px; top: 36.332px; width: 35.0801px; white-space: pre; word-spacing: -0.1728px; letter-spacing: 0.1728px; margin-left: 0px; font-size: 9.6px; font-family: ff6c; -webkit-text-stroke: 0.144px rgba(0, 0, 0, 0);"&gt;&lt;span style="display: inline-block;"&gt;Variable&lt;/span&gt;&lt;span style="word-spacing: -0.1728px; letter-spacing: 0.1728px; display: inline-block; margin-left: -0.684px; width: 0px; font-size: 9.6px; font-family: ff6c; -webkit-text-stroke: 0.144px rgba(0, 0, 0, 0);"&gt;&lt;/span&gt;&lt;span style="display: inline-block;"&gt; &lt;/span&gt;&lt;/span&gt;&lt;span class="pp-font-color-override-1" style="position: absolute; display: inline-block; left: 549.344px; top: 36.332px; width: 43.9863px; white-space: pre; word-spacing: -0.2016px; letter-spacing: 0.2016px; margin-left: 0px; font-size: 9.6px; font-family: ff6c; -webkit-text-stroke: 0.144px rgba(0, 0, 0, 0);"&gt;&lt;span style="display: inline-block;"&gt;Long&lt;/span&gt;&lt;span style="word-spacing: -0.2016px; letter-spacing: 0.2016px; display: inline-block; margin-left: -0.684px; width: 0px; font-size: 9.6px; font-family: ff6c; -webkit-text-stroke: 0.144px rgba(0, 0, 0, 0);"&gt;&lt;/span&gt;&lt;span style="display: inline-block;"&gt;-term&lt;/span&gt;&lt;span style="word-spacing: -0.2016px; letter-spacing: 0.2016px; display: inline-block; margin-left: -0.684px; width: 0px; font-size: 9.6px; font-family: ff6c; -webkit-text-stroke: 0.144px rgba(0, 0, 0, 0);"&gt;&lt;/span&gt;&lt;span style="display: inline-block;"&gt; &lt;/span&gt;&lt;span style="word-spacing: -0.2016px; letter-spacing: 0.2016px; display: inline-block; margin-left: -2.33175px; width: 0px; font-size: 9.6px; font-family: ff6c; -webkit-text-stroke: 0.144px rgba(0, 0, 0, 0);"&gt;&lt;/span&gt;&lt;span class="pp-font-color-override-1" style="word-spacing: 0px; letter-spacing: 0px; display: inline-block; margin-left: 0px; font-size: 9.6px; font-family: ff6c; -webkit-text-stroke: 0.144px rgba(0, 0, 0, 0);"&gt;&lt;span style="display: inline-block;"&gt; &lt;/span&gt;&lt;/span&gt;&lt;/span&gt;&lt;span class="pp-font-color-override-1" style="position: absolute; display: inline-block; left: 619px; top: 36.332px; width: 40.8984px; white-space: pre; word-spacing: -0.1824px; letter-spacing: 0.1824px; margin-left: 0px; font-size: 9.6px; font-family: ff6c; -webkit-text-stroke: 0.144px rgba(0, 0, 0, 0);"&gt;&lt;span style="display: inline-block;"&gt;remunera&lt;/span&gt;&lt;span class="pp-font-color-override-1" style="word-spacing: 0px; letter-spacing: 0px; display: inline-block; margin-left: 0px; font-size: 9.6px; font-family: ff6c; -webkit-text-stroke: 0.144px rgba(0, 0, 0, 0);"&gt;&lt;span style="display: inline-block;"&gt;-&lt;/span&gt;&lt;/span&gt;&lt;/span&gt;&lt;span class="pp-font-color-override-1" style="position: absolute; display: inline-block; left: 683.422px; top: 36.332px; width: 59.8535px; white-space: pre; word-spacing: -0.2016px; letter-spacing: 0.2016px; margin-left: 0px; font-size: 9.6px; font-family: ff6c; -webkit-text-stroke: 0.144px rgba(0, 0, 0, 0);"&gt;&lt;span style="display: inline-block;"&gt;which pension&lt;/span&gt;&lt;span style="word-spacing: -0.2016px; letter-spacing: 0.2016px; display: inline-block; margin-left: -0.684px; width: 0px; font-size: 9.6px; font-family: ff6c; -webkit-text-stroke: 0.144px rgba(0, 0, 0, 0);"&gt;&lt;/span&gt;&lt;span style="display: inline-block;"&gt; &lt;/span&gt;&lt;/span&gt;&lt;span class="pp-font-color-override-1" style="position: absolute; display: inline-block; left: 160.438px; top: 47.4082px; width: 4.63477px; white-space: pre; word-spacing: 0.0111938px; letter-spacing: -0.0111938px; margin-left: 0px; font-size: 5.5968px; font-family: ff6c; -webkit-text-stroke: 0.083952px rgba(0, 0, 0, 0);"&gt;&lt;span style="display: inline-block;"&gt;1)&lt;/span&gt;&lt;/span&gt;&lt;span class="pp-font-color-override-1" style="position: absolute; display: inline-block; left: 203.484px; top: 47.4082px; width: 4.58203px; white-space: pre; word-spacing: 0.0391777px; letter-spacing: -0.0391777px; margin-left: 0px; font-size: 5.5968px; font-family: ff6c; -webkit-text-stroke: 0.083952px rgba(0, 0, 0, 0);"&gt;&lt;span style="display: inline-block;"&gt;2)&lt;/span&gt;&lt;/span&gt;&lt;span class="pp-font-color-override-1" style="position: absolute; display: inline-block; left: 341.953px; top: 47.4082px; width: 4.60547px; white-space: pre; word-spacing: 0.027984px; letter-spacing: -0.027984px; margin-left: 0px; font-size: 5.5968px; font-family: ff6c; -webkit-text-stroke: 0.083952px rgba(0, 0, 0, 0);"&gt;&lt;span style="display: inline-block;"&gt;6)&lt;/span&gt;&lt;/span&gt;&lt;span class="pp-font-color-override-1" style="position: absolute; display: inline-block; left: 482.078px; top: 47.4082px; width: 4.63477px; white-space: pre; word-spacing: 0.0111938px; letter-spacing: -0.0111938px; margin-left: 0px; font-size: 5.5968px; font-family: ff6c; -webkit-text-stroke: 0.083952px rgba(0, 0, 0, 0);"&gt;&lt;span style="display: inline-block;"&gt;1)&lt;/span&gt;&lt;/span&gt;&lt;span class="pp-font-color-override-1" style="position: absolute; display: inline-block; left: 524.5px; top: 47.4082px; width: 4.58203px; white-space: pre; word-spacing: 0.0391777px; letter-spacing: -0.0391777px; margin-left: 0px; font-size: 5.5968px; font-family: ff6c; -webkit-text-stroke: 0.083952px rgba(0, 0, 0, 0);"&gt;&lt;span style="display: inline-block;"&gt;2)&lt;/span&gt;&lt;/span&gt;&lt;span class="pp-font-color-override-1" style="position: absolute; display: inline-block; left: 187.562px; top: 46.832px; width: 14.1211px; white-space: pre; word-spacing: -0.0864px; letter-spacing: 0.0864px; margin-left: 0px; font-size: 9.6px; font-family: ff6c; -webkit-text-stroke: 0.144px rgba(0, 0, 0, 0);"&gt;&lt;span style="display: inline-block;"&gt;pay&lt;/span&gt;&lt;/span&gt;&lt;span class="pp-font-color-override-1" style="position: absolute; display: inline-block; left: 222.531px; top: 46.832px; width: 49.0664px; white-space: pre; word-spacing: -0.1728px; letter-spacing: 0.1728px; margin-left: 0px; font-size: 9.6px; font-family: ff6c; -webkit-text-stroke: 0.144px rgba(0, 0, 0, 0);"&gt;&lt;span style="display: inline-block;"&gt;variable pay&lt;/span&gt;&lt;/span&gt;&lt;span class="pp-font-color-override-1" style="position: absolute; display: inline-block; left: 323.812px; top: 46.832px; width: 15.7383px; white-space: pre; word-spacing: -0.2016px; letter-spacing: 0.2016px; margin-left: 0px; font-size: 9.6px; font-family: ff6c; -webkit-text-stroke: 0.144px rgba(0, 0, 0, 0);"&gt;&lt;span style="display: inline-block;"&gt;tion&lt;/span&gt;&lt;/span&gt;&lt;span class="pp-font-color-override-1" style="position: absolute; display: inline-block; left: 381.281px; top: 46.832px; width: 90.1289px; white-space: pre; word-spacing: -0.2496px; letter-spacing: 0.2496px; margin-left: 0px; font-size: 9.6px; font-family: ff6c; -webkit-text-stroke: 0.144px rgba(0, 0, 0, 0);"&gt;&lt;span style="display: inline-block;"&gt;expenses&lt;/span&gt;&lt;span style="word-spacing: -0.2496px; letter-spacing: 0.2496px; display: inline-block; margin-left: -0.684px; width: 0px; font-size: 9.6px; font-family: ff6c; -webkit-text-stroke: 0.144px rgba(0, 0, 0, 0);"&gt;&lt;/span&gt;&lt;span style="display: inline-block;"&gt;)&lt;/span&gt;&lt;span style="word-spacing: -0.2496px; letter-spacing: 0.2496px; display: inline-block; margin-left: 0px; width: 24.7441px; font-size: 9.6px; font-family: ff6c; -webkit-text-stroke: 0.144px rgba(0, 0, 0, 0);"&gt;&lt;span style="display: inline-block;"&gt; &lt;/span&gt;&lt;/span&gt;&lt;span class="pp-font-color-override-1" style="word-spacing: -0.1728px; letter-spacing: 0.1728px; display: inline-block; margin-left: 0px; font-size: 9.6px; font-family: ff6c; -webkit-text-stroke: 0.144px rgba(0, 0, 0, 0);"&gt;&lt;span style="display: inline-block;"&gt;Sal&lt;/span&gt;&lt;span style="word-spacing: -0.1728px; letter-spacing: 0.1728px; display: inline-block; margin-left: 0px; width: 0.410156px; font-size: 9.6px; font-family: ff6c; -webkit-text-stroke: 0.144px rgba(0, 0, 0, 0);"&gt;&lt;/span&gt;&lt;span style="display: inline-block;"&gt;ary&lt;/span&gt;&lt;/span&gt;&lt;/span&gt;&lt;span class="pp-font-color-override-1" style="position: absolute; display: inline-block; left: 507.953px; top: 46.832px; width: 14.1211px; white-space: pre; word-spacing: -0.0864px; letter-spacing: 0.0864px; margin-left: 0px; font-size: 9.6px; font-family: ff6c; -webkit-text-stroke: 0.144px rgba(0, 0, 0, 0);"&gt;&lt;span style="display: inline-block;"&gt;pay&lt;/span&gt;&lt;/span&gt;&lt;span class="pp-font-color-override-1" style="position: absolute; display: inline-block; left: 543.016px; top: 46.832px; width: 49.0664px; white-space: pre; word-spacing: -0.1728px; letter-spacing: 0.1728px; margin-left: 0px; font-size: 9.6px; font-family: ff6c; -webkit-text-stroke: 0.144px rgba(0, 0, 0, 0);"&gt;&lt;span style="display: inline-block;"&gt;variable pay&lt;/span&gt;&lt;/span&gt;&lt;span class="pp-font-color-override-1" style="position: absolute; display: inline-block; left: 645.031px; top: 46.832px; width: 15.7383px; white-space: pre; word-spacing: -0.2016px; letter-spacing: 0.2016px; margin-left: 0px; font-size: 9.6px; font-family: ff6c; -webkit-text-stroke: 0.144px rgba(0, 0, 0, 0);"&gt;&lt;span style="display: inline-block;"&gt;tion&lt;/span&gt;&lt;/span&gt;&lt;span class="pp-font-color-override-1" style="position: absolute; display: inline-block; left: 662.516px; top: 47.4082px; width: 4.60547px; white-space: pre; word-spacing: 0.027984px; letter-spacing: -0.027984px; margin-left: 0px; font-size: 5.5968px; font-family: ff6c; -webkit-text-stroke: 0.083952px rgba(0, 0, 0, 0);"&gt;&lt;span style="display: inline-block;"&gt;6)&lt;/span&gt;&lt;/span&gt;&lt;span class="pp-font-color-override-1" style="position: absolute; display: inline-block; left: 0px; top: 46.832px; width: 154.518px; white-space: pre; word-spacing: -0.1248px; letter-spacing: 0.1248px; margin-left: 0px; font-size: 9.6px; font-family: ff6f; -webkit-text-stroke: 0.144px rgba(0, 0, 0, 0);"&gt;&lt;span style="display: inline-block;"&gt;(EMT), TSEK&lt;/span&gt;&lt;span style="word-spacing: -0.1248px; letter-spacing: 0.1248px; display: inline-block; margin-left: 0px; width: 71.6134px; font-size: 9.6px; font-family: ff6f; -webkit-text-stroke: 0.144px rgba(0, 0, 0, 0);"&gt;&lt;span style="display: inline-block;"&gt; &lt;/span&gt;&lt;/span&gt;&lt;span class="pp-font-color-override-1" style="word-spacing: -0.1728px; letter-spacing: 0.1728px; display: inline-block; margin-left: 0px; font-size: 9.6px; font-family: ff6c; -webkit-text-stroke: 0.144px rgba(0, 0, 0, 0);"&gt;&lt;span style="display: inline-block;"&gt;S&lt;/span&gt;&lt;span style="word-spacing: -0.1728px; letter-spacing: 0.1728px; display: inline-block; margin-left: 0px; width: 0.410156px; font-size: 9.6px; font-family: ff6c; -webkit-text-stroke: 0.144px rgba(0, 0, 0, 0);"&gt;&lt;/span&gt;&lt;span style="display: inline-block;"&gt;alar&lt;/span&gt;&lt;span style="word-spacing: -0.1728px; letter-spacing: 0.1728px; display: inline-block; margin-left: 0px; width: 0.410156px; font-size: 9.6px; font-family: ff6c; -webkit-text-stroke: 0.144px rgba(0, 0, 0, 0);"&gt;&lt;/span&gt;&lt;span style="display: inline-block;"&gt;y&lt;/span&gt;&lt;/span&gt;&lt;/span&gt;&lt;span class="pp-font-color-override-1" style="position: absolute; display: inline-block; left: 702.406px; top: 46.832px; width: 39.416px; white-space: pre; word-spacing: -0.2496px; letter-spacing: 0.2496px; margin-left: 0px; font-size: 9.6px; font-family: ff6c; -webkit-text-stroke: 0.144px rgba(0, 0, 0, 0);"&gt;&lt;span style="display: inline-block;"&gt;expenses&lt;/span&gt;&lt;span style="word-spacing: -0.2496px; letter-spacing: 0.2496px; display: inline-block; margin-left: -0.684px; width: 0px; font-size: 9.6px; font-family: ff6c; -webkit-text-stroke: 0.144px rgba(0, 0, 0, 0);"&gt;&lt;/span&gt;&lt;span style="display: inline-block;"&gt;)&lt;/span&gt;&lt;/span&gt;&lt;span class="pp-font-color-override-1" style="position: absolute; display: inline-block; left: 0px; top: 70.2754px; width: 88.8691px; white-space: pre; word-spacing: -0.1785px; letter-spacing: 0.21px; margin-left: 0px; font-size: 10.5px; font-family: ff70; -webkit-text-stroke: 0.1575px rgba(0, 0, 0, 0);"&gt;&lt;span style="display: inline-block;"&gt;Håkan Samuelsson, &lt;/span&gt;&lt;/span&gt;&lt;span class="pp-font-color-override-1" style="position: absolute; display: inline-block; left: 393.25px; top: 70.2754px; width: 29.2617px; white-space: pre; word-spacing: 0.0735px; letter-spacing: -0.0735px; margin-left: 0px; font-size: 10.5px; font-family: ff70; -webkit-text-stroke: 0.1575px rgba(0, 0, 0, 0);"&gt;&lt;span style="display: inline-block;"&gt;14,&lt;/span&gt;&lt;span style="word-spacing: 0.0735px; letter-spacing: -0.0735px; display: inline-block; margin-left: 0px; width: 0.410156px; font-size: 10.5px; font-family: ff70; -webkit-text-stroke: 0.1575px rgba(0, 0, 0, 0);"&gt;&lt;/span&gt;&lt;span style="display: inline-block;"&gt;2&lt;/span&gt;&lt;span style="word-spacing: 0.0735px; letter-spacing: -0.0735px; display: inline-block; margin-left: 0px; width: 0.410156px; font-size: 10.5px; font-family: ff70; -webkit-text-stroke: 0.1575px rgba(0, 0, 0, 0);"&gt;&lt;/span&gt;&lt;span style="display: inline-block;"&gt;85&lt;/span&gt;&lt;/span&gt;&lt;span class="pp-font-color-override-1" style="position: absolute; display: inline-block; left: 0px; top: 82.2754px; width: 122.508px; white-space: pre; word-spacing: -0.0735px; letter-spacing: 0.0735px; margin-left: 0px; font-size: 10.5px; font-family: ff70; -webkit-text-stroke: 0.1575px rgba(0, 0, 0, 0);"&gt;&lt;span style="display: inline-block;"&gt;CEO&lt;/span&gt;&lt;span style="word-spacing: -0.0735px; letter-spacing: 0.0735px; display: inline-block; margin-left: 0px; width: 101.285px; font-size: 10.5px; font-family: ff70; -webkit-text-stroke: 0.1575px rgba(0, 0, 0, 0);"&gt;&lt;span style="display: inline-block;"&gt; &lt;/span&gt;&lt;/span&gt;&lt;/span&gt;&lt;span class="pp-font-color-override-1" style="position: absolute; display: inline-block; left: 122.508px; top: 82.2754px; width: 208.488px; white-space: pre; word-spacing: 0.0945px; letter-spacing: -0.0945px; margin-left: 0px; font-size: 10.5px; font-family: ff70; -webkit-text-stroke: 0.1575px rgba(0, 0, 0, 0);"&gt;&lt;span style="display: inline-block;"&gt;15,&lt;/span&gt;&lt;span style="word-spacing: 0.0945px; letter-spacing: -0.0945px; display: inline-block; margin-left: 0px; width: 0.410156px; font-size: 10.5px; font-family: ff70; -webkit-text-stroke: 0.1575px rgba(0, 0, 0, 0);"&gt;&lt;/span&gt;&lt;span style="display: inline-block;"&gt;62&lt;/span&gt;&lt;span style="word-spacing: 0.0945px; letter-spacing: -0.0945px; display: inline-block; margin-left: 0px; width: 0.410156px; font-size: 10.5px; font-family: ff70; -webkit-text-stroke: 0.1575px rgba(0, 0, 0, 0);"&gt;&lt;/span&gt;&lt;span style="display: inline-block;"&gt;0&lt;/span&gt;&lt;span style="word-spacing: 0.0945px; letter-spacing: -0.0945px; display: inline-block; margin-left: 0px; width: 15.627px; font-size: 10.5px; font-family: ff70; -webkit-text-stroke: 0.1575px rgba(0, 0, 0, 0);"&gt;&lt;span style="display: inline-block;"&gt;&lt;span style="width: 2.625px; display: inline-block;"&gt; &lt;/span&gt;&lt;/span&gt;&lt;/span&gt;&lt;span class="pp-font-color-override-1" style="word-spacing: -0.189px; letter-spacing: 0.189px; display: inline-block; margin-left: 0px; font-size: 10.5px; font-family: ff70; -webkit-text-stroke: 0.1575px rgba(0, 0, 0, 0);"&gt;&lt;span style="display: inline-block;"&gt;1&lt;/span&gt;&lt;span style="word-spacing: -0.189px; letter-spacing: 0.189px; display: inline-block; margin-left: -0.684px; width: 0px; font-size: 10.5px; font-family: ff70; -webkit-text-stroke: 0.1575px rgba(0, 0, 0, 0);"&gt;&lt;/span&gt;&lt;span style="display: inline-block;"&gt;0,900&lt;/span&gt;&lt;span style="word-spacing: -0.189px; letter-spacing: 0.189px; display: inline-block; margin-left: 0px; width: 57.3221px; font-size: 10.5px; font-family: ff70; -webkit-text-stroke: 0.1575px rgba(0, 0, 0, 0);"&gt;&lt;span style="display: inline-block;"&gt; &lt;/span&gt;&lt;/span&gt;&lt;span class="pp-font-color-override-1" style="word-spacing: 0px; letter-spacing: 0px; display: inline-block; margin-left: 0px; font-size: 10.5px; font-family: ff70; -webkit-text-stroke: 0.1575px rgba(0, 0, 0, 0);"&gt;&lt;span style="display: inline-block;"&gt;—&lt;/span&gt;&lt;span style="word-spacing: 0px; letter-spacing: 0px; display: inline-block; margin-left: 0px; width: 42.4864px; font-size: 10.5px; font-family: ff70; -webkit-text-stroke: 0.1575px rgba(0, 0, 0, 0);"&gt;&lt;span style="display: inline-block;"&gt; &lt;/span&gt;&lt;/span&gt;&lt;span class="pp-font-color-override-1" style="word-spacing: 0.0735px; letter-spacing: -0.0735px; display: inline-block; margin-left: 0px; font-size: 10.5px; font-family: ff70; -webkit-text-stroke: 0.1575px rgba(0, 0, 0, 0);"&gt;&lt;span style="display: inline-block;"&gt;2,&lt;/span&gt;&lt;span style="word-spacing: 0.0735px; letter-spacing: -0.0735px; display: inline-block; margin-left: 0px; width: 0.410156px; font-size: 10.5px; font-family: ff70; -webkit-text-stroke: 0.1575px rgba(0, 0, 0, 0);"&gt;&lt;/span&gt;&lt;span style="display: inline-block;"&gt;2&lt;/span&gt;&lt;span style="word-spacing: 0.0735px; letter-spacing: -0.0735px; display: inline-block; margin-left: 0px; width: 0.410156px; font-size: 10.5px; font-family: ff70; -webkit-text-stroke: 0.1575px rgba(0, 0, 0, 0);"&gt;&lt;/span&gt;&lt;span style="display: inline-block;"&gt;76&lt;/span&gt;&lt;/span&gt;&lt;/span&gt;&lt;/span&gt;&lt;/span&gt;&lt;span class="pp-font-color-override-1" style="position: absolute; display: inline-block; left: 391.375px; top: 82.2754px; width: 351.785px; white-space: pre; word-spacing: 0.1155px; letter-spacing: -0.1155px; margin-left: 0px; font-size: 10.5px; font-family: ff70; -webkit-text-stroke: 0.1575px rgba(0, 0, 0, 0);"&gt;&lt;span style="display: inline-block;"&gt;(9,&lt;/span&gt;&lt;span style="word-spacing: 0.1155px; letter-spacing: -0.1155px; display: inline-block; margin-left: 0px; width: 0.410156px; font-size: 10.5px; font-family: ff70; -webkit-text-stroke: 0.1575px rgba(0, 0, 0, 0);"&gt;&lt;/span&gt;&lt;span style="display: inline-block;"&gt;3&lt;/span&gt;&lt;span style="word-spacing: 0.1155px; letter-spacing: -0.1155px; display: inline-block; margin-left: 0px; width: 0.410156px; font-size: 10.5px; font-family: ff70; -webkit-text-stroke: 0.1575px rgba(0, 0, 0, 0);"&gt;&lt;/span&gt;&lt;span style="display: inline-block;"&gt;20)&lt;/span&gt;&lt;span style="word-spacing: 0.1155px; letter-spacing: -0.1155px; display: inline-block; margin-left: 0px; width: 40.5469px; font-size: 10.5px; font-family: ff70; -webkit-text-stroke: 0.1575px rgba(0, 0, 0, 0);"&gt;&lt;span style="display: inline-block;"&gt;&lt;span style="width: 2.625px; display: inline-block;"&gt; &lt;/span&gt;&lt;/span&gt;&lt;/span&gt;&lt;span class="</t>
  </si>
  <si>
    <t>f1__s8__6__89</t>
  </si>
  <si>
    <t>ifrs-full:DisclosureOfGovernmentGrantsExplanatory</t>
  </si>
  <si>
    <t>&lt;span style="display:inherit;clear:left;"&gt;ACCOUNTING&lt;span class="_ _2"&gt;&lt;/span&gt; POLICIES&lt;/span&gt;&lt;span style="display:inherit;clear:left;"&gt;Gove&lt;span class="_ _7"&gt;&lt;/span&gt;rn&lt;span class="_ _7"&gt;&lt;/span&gt;me&lt;span class="_ _7"&gt;&lt;/span&gt;nt g&lt;span class="_ _7"&gt;&lt;/span&gt;ra&lt;span class="_ _7"&gt;&lt;/span&gt;nts a&lt;span class="_ _7"&gt;&lt;/span&gt;re r&lt;span class="_ _7"&gt;&lt;/span&gt;ec&lt;span class="_ _7"&gt;&lt;/span&gt;og&lt;span class="_ _7"&gt;&lt;/span&gt;nis&lt;span class="_ _7"&gt;&lt;/span&gt;e&lt;span class="_ _7"&gt;&lt;/span&gt;d in th&lt;span class="_ _7"&gt;&lt;/span&gt;e fi&lt;span class="_ _7"&gt;&lt;/span&gt;na&lt;span class="_ _7"&gt;&lt;/span&gt;nci&lt;span class="_ _7"&gt;&lt;/span&gt;al s&lt;span class="_ _7"&gt;&lt;/span&gt;t&lt;span class="_ _7"&gt;&lt;/span&gt;atem&lt;span class="_ _7"&gt;&lt;/span&gt;en&lt;span class="_ _7"&gt;&lt;/span&gt;ts i&lt;span class="_ _7"&gt;&lt;/span&gt;n &lt;/span&gt;&lt;span style="display:inherit;clear:left;"&gt;accordance with&lt;span class="_ _2"&gt;&lt;/span&gt; their purpose, either as&lt;span class="_ _2"&gt;&lt;/span&gt; a reduction of&lt;span class="_ _2"&gt;&lt;/span&gt; expense or &lt;/span&gt;&lt;span style="display:inherit;clear:left;"&gt;as a re&lt;span class="_ _7"&gt;&lt;/span&gt;du&lt;span class="_ _7"&gt;&lt;/span&gt;ct&lt;span class="_ _7"&gt;&lt;/span&gt;ion o&lt;span class="_ _7"&gt;&lt;/span&gt;f th&lt;span class="_ _7"&gt;&lt;/span&gt;e ca&lt;span class="_ _7"&gt;&lt;/span&gt;rr&lt;span class="_ _7"&gt;&lt;/span&gt;y&lt;span class="_ _7"&gt;&lt;/span&gt;in&lt;span class="_ _7"&gt;&lt;/span&gt;g amo&lt;span class="_ _7"&gt;&lt;/span&gt;un&lt;span class="_ _7"&gt;&lt;/span&gt;t of th&lt;span class="_ _7"&gt;&lt;/span&gt;e as&lt;span class="_ _7"&gt;&lt;/span&gt;s&lt;span class="_ _7"&gt;&lt;/span&gt;et&lt;span class="_ _7"&gt;&lt;/span&gt;. Gov&lt;span class="_ _7"&gt;&lt;/span&gt;er&lt;span class="_ _7"&gt;&lt;/span&gt;nme&lt;span class="_ _7"&gt;&lt;/span&gt;nt &lt;/span&gt;&lt;span style="display:inherit;clear:left;"&gt;gr&lt;span class="_ _7"&gt;&lt;/span&gt;ant&lt;span class="_ _7"&gt;&lt;/span&gt;s in&lt;span class="_ _7"&gt;&lt;/span&gt;ten&lt;span class="_ _7"&gt;&lt;/span&gt;de&lt;span class="_ _7"&gt;&lt;/span&gt;d to co&lt;span class="_ _7"&gt;&lt;/span&gt;mp&lt;span class="_ _7"&gt;&lt;/span&gt;en&lt;span class="_ _7"&gt;&lt;/span&gt;s&lt;span class="_ _7"&gt;&lt;/span&gt;ate fo&lt;span class="_ _7"&gt;&lt;/span&gt;r a sp&lt;span class="_ _7"&gt;&lt;/span&gt;e&lt;span class="_ _7"&gt;&lt;/span&gt;cif&lt;span class="_ _7"&gt;&lt;/span&gt;ic e&lt;span class="_ _7"&gt;&lt;/span&gt;xp&lt;span class="_ _7"&gt;&lt;/span&gt;en&lt;span class="_ _7"&gt;&lt;/span&gt;se a&lt;span class="_ _7"&gt;&lt;/span&gt;re re&lt;span class="_ _7"&gt;&lt;/span&gt;c&lt;span class="_ _7"&gt;&lt;/span&gt;og-&lt;/span&gt;&lt;span style="display:inherit;clear:left;"&gt;nis&lt;span class="_ _7"&gt;&lt;/span&gt;e&lt;span class="_ _7"&gt;&lt;/span&gt;d as a c&lt;span class="_ _7"&gt;&lt;/span&gt;os&lt;span class="_ _7"&gt;&lt;/span&gt;t re&lt;span class="_ _7"&gt;&lt;/span&gt;du&lt;span class="_ _7"&gt;&lt;/span&gt;cti&lt;span class="_ _7"&gt;&lt;/span&gt;on i&lt;span class="_ _7"&gt;&lt;/span&gt;n the s&lt;span class="_ _7"&gt;&lt;/span&gt;a&lt;span class="_ _7"&gt;&lt;/span&gt;me p&lt;span class="_ _7"&gt;&lt;/span&gt;er&lt;span class="_ _7"&gt;&lt;/span&gt;io&lt;span class="_ _7"&gt;&lt;/span&gt;d as th&lt;span class="_ _7"&gt;&lt;/span&gt;e exp&lt;span class="_ _7"&gt;&lt;/span&gt;e&lt;span class="_ _7"&gt;&lt;/span&gt;ns&lt;span class="_ _7"&gt;&lt;/span&gt;e wh&lt;span class="_ _7"&gt;&lt;/span&gt;ich &lt;/span&gt;&lt;span style="display:inherit;clear:left;"&gt;the g&lt;span class="_ _7"&gt;&lt;/span&gt;r&lt;span class="_ _7"&gt;&lt;/span&gt;ant i&lt;span class="_ _7"&gt;&lt;/span&gt;s int&lt;span class="_ _7"&gt;&lt;/span&gt;end&lt;span class="_ _7"&gt;&lt;/span&gt;ed t&lt;span class="_ _7"&gt;&lt;/span&gt;o co&lt;span class="_ _7"&gt;&lt;/span&gt;mpe&lt;span class="_ _7"&gt;&lt;/span&gt;ns&lt;span class="_ _7"&gt;&lt;/span&gt;a&lt;span class="_ _7"&gt;&lt;/span&gt;te ha&lt;span class="_ _7"&gt;&lt;/span&gt;s be&lt;span class="_ _7"&gt;&lt;/span&gt;en r&lt;span class="_ _7"&gt;&lt;/span&gt;ec&lt;span class="_ _7"&gt;&lt;/span&gt;og&lt;span class="_ _7"&gt;&lt;/span&gt;ni&lt;span class="_ _7"&gt;&lt;/span&gt;se&lt;span class="_ _7"&gt;&lt;/span&gt;d. G&lt;span class="_ _7"&gt;&lt;/span&gt;ove&lt;span class="_ _7"&gt;&lt;/span&gt;rn-&lt;/span&gt;&lt;span style="display:inherit;clear:left;"&gt;me&lt;span class="_ _7"&gt;&lt;/span&gt;nt gr&lt;span class="_ _7"&gt;&lt;/span&gt;an&lt;span class="_ _7"&gt;&lt;/span&gt;ts r&lt;span class="_ _7"&gt;&lt;/span&gt;el&lt;span class="_ _7"&gt;&lt;/span&gt;ate&lt;span class="_ _7"&gt;&lt;/span&gt;d to ac&lt;span class="_ _7"&gt;&lt;/span&gt;qu&lt;span class="_ _7"&gt;&lt;/span&gt;ir&lt;span class="_ _7"&gt;&lt;/span&gt;ing a&lt;span class="_ _7"&gt;&lt;/span&gt;s&lt;span class="_ _7"&gt;&lt;/span&gt;se&lt;span class="_ _7"&gt;&lt;/span&gt;ts a&lt;span class="_ _7"&gt;&lt;/span&gt;re d&lt;span class="_ _7"&gt;&lt;/span&gt;edu&lt;span class="_ _7"&gt;&lt;/span&gt;cte&lt;span class="_ _7"&gt;&lt;/span&gt;d f&lt;span class="_ _7"&gt;&lt;/span&gt;ro&lt;span class="_ _7"&gt;&lt;/span&gt;m the c&lt;span class="_ _7"&gt;&lt;/span&gt;ar-&lt;/span&gt;&lt;span style="display:inherit;clear:left;"&gt;r&lt;span class="_ _7"&gt;&lt;/span&gt;yi&lt;span class="_ _7"&gt;&lt;/span&gt;ng am&lt;span class="_ _7"&gt;&lt;/span&gt;ou&lt;span class="_ _7"&gt;&lt;/span&gt;nt of t&lt;span class="_ _7"&gt;&lt;/span&gt;he a&lt;span class="_ _7"&gt;&lt;/span&gt;s&lt;span class="_ _7"&gt;&lt;/span&gt;se&lt;span class="_ _7"&gt;&lt;/span&gt;t an&lt;span class="_ _7"&gt;&lt;/span&gt;d are r&lt;span class="_ _7"&gt;&lt;/span&gt;ec&lt;span class="_ _7"&gt;&lt;/span&gt;og&lt;span class="_ _7"&gt;&lt;/span&gt;ni&lt;span class="_ _7"&gt;&lt;/span&gt;se&lt;span class="_ _7"&gt;&lt;/span&gt;d in th&lt;span class="_ _7"&gt;&lt;/span&gt;e in&lt;span class="_ _7"&gt;&lt;/span&gt;co&lt;span class="_ _7"&gt;&lt;/span&gt;me s&lt;span class="_ _7"&gt;&lt;/span&gt;ta&lt;span class="_ _7"&gt;&lt;/span&gt;te-&lt;/span&gt;&lt;span style="display:inherit;clear:left;"&gt;me&lt;span class="_ _7"&gt;&lt;/span&gt;nt ove&lt;span class="_ _7"&gt;&lt;/span&gt;r the l&lt;span class="_ _7"&gt;&lt;/span&gt;if&lt;span class="_ _7"&gt;&lt;/span&gt;e of a de&lt;span class="_ _7"&gt;&lt;/span&gt;pr&lt;span class="_ _7"&gt;&lt;/span&gt;ec&lt;span class="_ _7"&gt;&lt;/span&gt;iab&lt;span class="_ _7"&gt;&lt;/span&gt;le a&lt;span class="_ _7"&gt;&lt;/span&gt;s&lt;span class="_ _7"&gt;&lt;/span&gt;se&lt;span class="_ _7"&gt;&lt;/span&gt;t as a r&lt;span class="_ _7"&gt;&lt;/span&gt;edu&lt;span class="_ _7"&gt;&lt;/span&gt;ce&lt;span class="_ _7"&gt;&lt;/span&gt;d de&lt;span class="_ _7"&gt;&lt;/span&gt;pr&lt;span class="_ _7"&gt;&lt;/span&gt;eci&lt;span class="_ _7"&gt;&lt;/span&gt;ati&lt;span class="_ _7"&gt;&lt;/span&gt;on &lt;/span&gt;&lt;span style="display:inherit;clear:left;"&gt;exp&lt;span class="_ _7"&gt;&lt;/span&gt;en&lt;span class="_ _7"&gt;&lt;/span&gt;se&lt;span class="_ _7"&gt;&lt;/span&gt;. In c&lt;span class="_ _7"&gt;&lt;/span&gt;as&lt;span class="_ _7"&gt;&lt;/span&gt;e&lt;span class="_ _7"&gt;&lt;/span&gt;s wh&lt;span class="_ _7"&gt;&lt;/span&gt;ere t&lt;span class="_ _7"&gt;&lt;/span&gt;he r&lt;span class="_ _7"&gt;&lt;/span&gt;ec&lt;span class="_ _7"&gt;&lt;/span&gt;ei&lt;span class="_ _7"&gt;&lt;/span&gt;ved g&lt;span class="_ _7"&gt;&lt;/span&gt;over&lt;span class="_ _7"&gt;&lt;/span&gt;nm&lt;span class="_ _7"&gt;&lt;/span&gt;en&lt;span class="_ _7"&gt;&lt;/span&gt;t gr&lt;span class="_ _7"&gt;&lt;/span&gt;ant i&lt;span class="_ _7"&gt;&lt;/span&gt;s no&lt;span class="_ _7"&gt;&lt;/span&gt;t &lt;/span&gt;&lt;span style="display:inherit;clear:left;"&gt;inte&lt;span class="_ _7"&gt;&lt;/span&gt;nd&lt;span class="_ _7"&gt;&lt;/span&gt;ed t&lt;span class="_ _7"&gt;&lt;/span&gt;o com&lt;span class="_ _7"&gt;&lt;/span&gt;pe&lt;span class="_ _7"&gt;&lt;/span&gt;ns&lt;span class="_ _7"&gt;&lt;/span&gt;at&lt;span class="_ _7"&gt;&lt;/span&gt;e for a&lt;span class="_ _7"&gt;&lt;/span&gt;ny exp&lt;span class="_ _7"&gt;&lt;/span&gt;en&lt;span class="_ _7"&gt;&lt;/span&gt;s&lt;span class="_ _7"&gt;&lt;/span&gt;es o&lt;span class="_ _7"&gt;&lt;/span&gt;r th&lt;span class="_ _7"&gt;&lt;/span&gt;e acq&lt;span class="_ _7"&gt;&lt;/span&gt;ui&lt;span class="_ _7"&gt;&lt;/span&gt;si&lt;span class="_ _7"&gt;&lt;/span&gt;tio&lt;span class="_ _7"&gt;&lt;/span&gt;n of &lt;/span&gt;&lt;span style="display:inherit;clear:left;"&gt;as&lt;span class="_ _7"&gt;&lt;/span&gt;s&lt;span class="_ _7"&gt;&lt;/span&gt;et&lt;span class="_ _7"&gt;&lt;/span&gt;s&lt;span class="_ _7"&gt;&lt;/span&gt;, the g&lt;span class="_ _7"&gt;&lt;/span&gt;r&lt;span class="_ _7"&gt;&lt;/span&gt;ant i&lt;span class="_ _7"&gt;&lt;/span&gt;s cl&lt;span class="_ _7"&gt;&lt;/span&gt;as&lt;span class="_ _7"&gt;&lt;/span&gt;s&lt;span class="_ _7"&gt;&lt;/span&gt;if&lt;span class="_ _7"&gt;&lt;/span&gt;ie&lt;span class="_ _7"&gt;&lt;/span&gt;d by th&lt;span class="_ _7"&gt;&lt;/span&gt;e na&lt;span class="_ _7"&gt;&lt;/span&gt;tur&lt;span class="_ _7"&gt;&lt;/span&gt;e of th&lt;span class="_ _7"&gt;&lt;/span&gt;e in&lt;span class="_ _7"&gt;&lt;/span&gt;co&lt;span class="_ _7"&gt;&lt;/span&gt;me&lt;span class="_ _7"&gt;&lt;/span&gt;, eit&lt;span class="_ _7"&gt;&lt;/span&gt;he&lt;span class="_ _7"&gt;&lt;/span&gt;r as &lt;/span&gt;&lt;span style="display:inherit;clear:left;"&gt;reve&lt;span class="_ _7"&gt;&lt;/span&gt;nu&lt;span class="_ _7"&gt;&lt;/span&gt;e or ot&lt;span class="_ _7"&gt;&lt;/span&gt;he&lt;span class="_ _7"&gt;&lt;/span&gt;r inc&lt;span class="_ _7"&gt;&lt;/span&gt;om&lt;span class="_ _7"&gt;&lt;/span&gt;e. G&lt;span class="_ _7"&gt;&lt;/span&gt;over&lt;span class="_ _7"&gt;&lt;/span&gt;nm&lt;span class="_ _7"&gt;&lt;/span&gt;en&lt;span class="_ _7"&gt;&lt;/span&gt;t gr&lt;span class="_ _7"&gt;&lt;/span&gt;ant&lt;span class="_ _7"&gt;&lt;/span&gt;s fo&lt;span class="_ _7"&gt;&lt;/span&gt;r fu&lt;span class="_ _7"&gt;&lt;/span&gt;tu&lt;span class="_ _7"&gt;&lt;/span&gt;re ex&lt;span class="_ _7"&gt;&lt;/span&gt;pe&lt;span class="_ _7"&gt;&lt;/span&gt;ns&lt;span class="_ _7"&gt;&lt;/span&gt;e&lt;span class="_ _7"&gt;&lt;/span&gt;s &lt;/span&gt;&lt;span style="display:inherit;clear:left;"&gt;are r&lt;span class="_ _7"&gt;&lt;/span&gt;ec&lt;span class="_ _7"&gt;&lt;/span&gt;og&lt;span class="_ _7"&gt;&lt;/span&gt;ni&lt;span class="_ _7"&gt;&lt;/span&gt;se&lt;span class="_ _7"&gt;&lt;/span&gt;d as d&lt;span class="_ _7"&gt;&lt;/span&gt;ef&lt;span class="_ _7"&gt;&lt;/span&gt;er&lt;span class="_ _7"&gt;&lt;/span&gt;re&lt;span class="_ _7"&gt;&lt;/span&gt;d inc&lt;span class="_ _7"&gt;&lt;/span&gt;om&lt;span class="_ _7"&gt;&lt;/span&gt;e. Fo&lt;span class="_ _7"&gt;&lt;/span&gt;r mo&lt;span class="_ _7"&gt;&lt;/span&gt;re in&lt;span class="_ _7"&gt;&lt;/span&gt;fo&lt;span class="_ _7"&gt;&lt;/span&gt;rm&lt;span class="_ _7"&gt;&lt;/span&gt;ati&lt;span class="_ _7"&gt;&lt;/span&gt;on re&lt;span class="_ _7"&gt;&lt;/span&gt;l&lt;span class="_ _7"&gt;&lt;/span&gt;ati&lt;span class="_ _7"&gt;&lt;/span&gt;ng to &lt;/span&gt;&lt;span style="display:inherit;clear:left;"&gt;the a&lt;span class="_ _7"&gt;&lt;/span&gt;cc&lt;span class="_ _7"&gt;&lt;/span&gt;oun&lt;span class="_ _7"&gt;&lt;/span&gt;tin&lt;span class="_ _7"&gt;&lt;/span&gt;g po&lt;span class="_ _7"&gt;&lt;/span&gt;lic&lt;span class="_ _7"&gt;&lt;/span&gt;ie&lt;span class="_ _7"&gt;&lt;/span&gt;s fo&lt;span class="_ _7"&gt;&lt;/span&gt;r emi&lt;span class="_ _7"&gt;&lt;/span&gt;s&lt;span class="_ _7"&gt;&lt;/span&gt;si&lt;span class="_ _7"&gt;&lt;/span&gt;on c&lt;span class="_ _7"&gt;&lt;/span&gt;re&lt;span class="_ _7"&gt;&lt;/span&gt;dit&lt;span class="_ _7"&gt;&lt;/span&gt;s s&lt;span class="_ _7"&gt;&lt;/span&gt;ee N&lt;span class="_ _7"&gt;&lt;/span&gt;ote 2 – Re&lt;span class="_ _7"&gt;&lt;/span&gt;ven&lt;span class="_ _7"&gt;&lt;/span&gt;ue.&lt;/span&gt;</t>
  </si>
  <si>
    <t>f1__s8__6__9</t>
  </si>
  <si>
    <t>ifrs-full:CountryOfIncorporation</t>
  </si>
  <si>
    <t>f1__s8__6__90</t>
  </si>
  <si>
    <t>ifrs-full:DescriptionOfAccountingPolicyForGovernmentGrants</t>
  </si>
  <si>
    <t>f1__s8__6__92-1</t>
  </si>
  <si>
    <t>ifrs-full:DisclosureOfFinanceIncomeExpenseExplanatory</t>
  </si>
  <si>
    <t>&lt;span style="display:inherit;clear:left;"&gt;N&lt;span class="_ _7"&gt;&lt;/span&gt;OT&lt;span class="_ _7"&gt;&lt;/span&gt;E 11&lt;/span&gt;&lt;span style="display:inherit;clear:left;"&gt;OTHE&lt;span class="_ _7"&gt;&lt;/span&gt;R FIN&lt;span class="_ _7"&gt;&lt;/span&gt;AN&lt;span class="_ _7"&gt;&lt;/span&gt;CI&lt;span class="_ _7"&gt;&lt;/span&gt;AL IN&lt;span class="_ _7"&gt;&lt;/span&gt;C&lt;span class="_ _7"&gt;&lt;/span&gt;OM&lt;span class="_ _7"&gt;&lt;/span&gt;E AND E&lt;span class="_ _7"&gt;&lt;/span&gt;XP&lt;span class="_ _7"&gt;&lt;/span&gt;ENS&lt;span class="_ _7"&gt;&lt;/span&gt;ES&lt;/span&gt;&lt;span style="display:inherit;clear:left;"&gt;ACCOUNTING&lt;span class="_ _2"&gt;&lt;/span&gt; POLICIES&lt;/span&gt;&lt;span style="display:inherit;clear:left;"&gt;Fin&lt;span class="_ _7"&gt;&lt;/span&gt;an&lt;span class="_ _7"&gt;&lt;/span&gt;cin&lt;span class="_ _7"&gt;&lt;/span&gt;g exp&lt;span class="_ _7"&gt;&lt;/span&gt;en&lt;span class="_ _7"&gt;&lt;/span&gt;se&lt;span class="_ _7"&gt;&lt;/span&gt;s o&lt;span class="_ _7"&gt;&lt;/span&gt;n rep&lt;span class="_ _7"&gt;&lt;/span&gt;ur&lt;span class="_ _7"&gt;&lt;/span&gt;ch&lt;span class="_ _7"&gt;&lt;/span&gt;as&lt;span class="_ _7"&gt;&lt;/span&gt;e ob&lt;span class="_ _7"&gt;&lt;/span&gt;lig&lt;span class="_ _7"&gt;&lt;/span&gt;ati&lt;span class="_ _7"&gt;&lt;/span&gt;on&lt;span class="_ _7"&gt;&lt;/span&gt;s are p&lt;span class="_ _7"&gt;&lt;/span&gt;re&lt;span class="_ _7"&gt;&lt;/span&gt;s&lt;span class="_ _7"&gt;&lt;/span&gt;ent&lt;span class="_ _7"&gt;&lt;/span&gt;ed a&lt;span class="_ _7"&gt;&lt;/span&gt;s &lt;/span&gt;&lt;span style="display:inherit;clear:left;"&gt;oth&lt;span class="_ _7"&gt;&lt;/span&gt;er f&lt;span class="_ _7"&gt;&lt;/span&gt;in&lt;span class="_ _7"&gt;&lt;/span&gt;anc&lt;span class="_ _7"&gt;&lt;/span&gt;ia&lt;span class="_ _7"&gt;&lt;/span&gt;l exp&lt;span class="_ _7"&gt;&lt;/span&gt;en&lt;span class="_ _7"&gt;&lt;/span&gt;se&lt;span class="_ _7"&gt;&lt;/span&gt;s&lt;span class="_ _7"&gt;&lt;/span&gt;. For&lt;span class="_ _7"&gt;&lt;/span&gt;eig&lt;span class="_ _7"&gt;&lt;/span&gt;n exch&lt;span class="_ _7"&gt;&lt;/span&gt;an&lt;span class="_ _7"&gt;&lt;/span&gt;ge r&lt;span class="_ _7"&gt;&lt;/span&gt;ate g&lt;span class="_ _7"&gt;&lt;/span&gt;ain&lt;span class="_ _7"&gt;&lt;/span&gt;s an&lt;span class="_ _7"&gt;&lt;/span&gt;d lo&lt;span class="_ _7"&gt;&lt;/span&gt;s&lt;span class="_ _7"&gt;&lt;/span&gt;se&lt;span class="_ _7"&gt;&lt;/span&gt;s on &lt;/span&gt;&lt;span style="display:inherit;clear:left;"&gt;fi&lt;span class="_ _7"&gt;&lt;/span&gt;nan&lt;span class="_ _7"&gt;&lt;/span&gt;ci&lt;span class="_ _7"&gt;&lt;/span&gt;al tr&lt;span class="_ _7"&gt;&lt;/span&gt;an&lt;span class="_ _7"&gt;&lt;/span&gt;s&lt;span class="_ _7"&gt;&lt;/span&gt;ac&lt;span class="_ _7"&gt;&lt;/span&gt;tio&lt;span class="_ _7"&gt;&lt;/span&gt;ns a&lt;span class="_ _7"&gt;&lt;/span&gt;re p&lt;span class="_ _7"&gt;&lt;/span&gt;re&lt;span class="_ _7"&gt;&lt;/span&gt;se&lt;span class="_ _7"&gt;&lt;/span&gt;nte&lt;span class="_ _7"&gt;&lt;/span&gt;d ne&lt;span class="_ _7"&gt;&lt;/span&gt;t in ot&lt;span class="_ _7"&gt;&lt;/span&gt;her f&lt;span class="_ _7"&gt;&lt;/span&gt;in&lt;span class="_ _7"&gt;&lt;/span&gt;an&lt;span class="_ _7"&gt;&lt;/span&gt;ci&lt;span class="_ _7"&gt;&lt;/span&gt;al in&lt;span class="_ _7"&gt;&lt;/span&gt;co&lt;span class="_ _7"&gt;&lt;/span&gt;me &lt;/span&gt;&lt;span style="display:inherit;clear:left;"&gt;and e&lt;span class="_ _7"&gt;&lt;/span&gt;xp&lt;span class="_ _7"&gt;&lt;/span&gt;en&lt;span class="_ _7"&gt;&lt;/span&gt;se&lt;span class="_ _7"&gt;&lt;/span&gt;s&lt;span class="_ _7"&gt;&lt;/span&gt;. Al&lt;span class="_ _7"&gt;&lt;/span&gt;so p&lt;span class="_ _7"&gt;&lt;/span&gt;re&lt;span class="_ _7"&gt;&lt;/span&gt;s&lt;span class="_ _7"&gt;&lt;/span&gt;ent&lt;span class="_ _7"&gt;&lt;/span&gt;ed n&lt;span class="_ _7"&gt;&lt;/span&gt;et ar&lt;span class="_ _7"&gt;&lt;/span&gt;e fl&lt;span class="_ _7"&gt;&lt;/span&gt;uct&lt;span class="_ _7"&gt;&lt;/span&gt;ua&lt;span class="_ _7"&gt;&lt;/span&gt;tio&lt;span class="_ _7"&gt;&lt;/span&gt;ns i&lt;span class="_ _7"&gt;&lt;/span&gt;n the f&lt;span class="_ _7"&gt;&lt;/span&gt;ai&lt;span class="_ _7"&gt;&lt;/span&gt;r val&lt;span class="_ _7"&gt;&lt;/span&gt;ue of &lt;/span&gt;&lt;span style="display:inherit;clear:left;"&gt;deriv&lt;span class="_ _7"&gt;&lt;/span&gt;atives hedg&lt;span class="_ _7"&gt;&lt;/span&gt;ing finan&lt;span class="_ _7"&gt;&lt;/span&gt;cial trans&lt;span class="_ _7"&gt;&lt;/span&gt;acti&lt;span class="_ _7"&gt;&lt;/span&gt;ons wher&lt;span class="_ _7"&gt;&lt;/span&gt;e hedge accounti&lt;span class="_ _7"&gt;&lt;/span&gt;ng &lt;/span&gt;&lt;span style="display:inherit;clear:left;"&gt;is n&lt;span class="_ _7"&gt;&lt;/span&gt;ot ap&lt;span class="_ _7"&gt;&lt;/span&gt;pl&lt;span class="_ _7"&gt;&lt;/span&gt;ie&lt;span class="_ _7"&gt;&lt;/span&gt;d. In&lt;span class="_ _7"&gt;&lt;/span&gt;fo&lt;span class="_ _7"&gt;&lt;/span&gt;rm&lt;span class="_ _7"&gt;&lt;/span&gt;ati&lt;span class="_ _7"&gt;&lt;/span&gt;on o&lt;span class="_ _7"&gt;&lt;/span&gt;n the c&lt;span class="_ _7"&gt;&lt;/span&gt;la&lt;span class="_ _7"&gt;&lt;/span&gt;s&lt;span class="_ _7"&gt;&lt;/span&gt;si&lt;span class="_ _7"&gt;&lt;/span&gt;f&lt;span class="_ _7"&gt;&lt;/span&gt;ic&lt;span class="_ _7"&gt;&lt;/span&gt;ati&lt;span class="_ _7"&gt;&lt;/span&gt;on o&lt;span class="_ _7"&gt;&lt;/span&gt;f fi&lt;span class="_ _7"&gt;&lt;/span&gt;nan&lt;span class="_ _7"&gt;&lt;/span&gt;ci&lt;span class="_ _7"&gt;&lt;/span&gt;al in&lt;span class="_ _7"&gt;&lt;/span&gt;s&lt;span class="_ _7"&gt;&lt;/span&gt;tr&lt;span class="_ _7"&gt;&lt;/span&gt;u-&lt;/span&gt;&lt;span style="display:inherit;clear:left;"&gt;me&lt;span class="_ _7"&gt;&lt;/span&gt;nts&lt;span class="_ _7"&gt;&lt;/span&gt;, s&lt;span class="_ _7"&gt;&lt;/span&gt;e&lt;span class="_ _7"&gt;&lt;/span&gt;e Note 19 – F&lt;span class="_ _7"&gt;&lt;/span&gt;in&lt;span class="_ _7"&gt;&lt;/span&gt;anc&lt;span class="_ _7"&gt;&lt;/span&gt;ia&lt;span class="_ _7"&gt;&lt;/span&gt;l ins&lt;span class="_ _7"&gt;&lt;/span&gt;t&lt;span class="_ _7"&gt;&lt;/span&gt;rum&lt;span class="_ _7"&gt;&lt;/span&gt;en&lt;span class="_ _7"&gt;&lt;/span&gt;ts a&lt;span class="_ _7"&gt;&lt;/span&gt;nd F&lt;span class="_ _7"&gt;&lt;/span&gt;ina&lt;span class="_ _7"&gt;&lt;/span&gt;nc&lt;span class="_ _7"&gt;&lt;/span&gt;ial r&lt;span class="_ _7"&gt;&lt;/span&gt;is&lt;span class="_ _7"&gt;&lt;/span&gt;ks&lt;span class="_ _7"&gt;&lt;/span&gt;.&lt;/span&gt;&lt;span style="display:inherit;clear:left;position:relative;height:113.78515625px;"&gt;&lt;span class="pp-font-color-override-1" style="position: absolute; display: inline-block; left: 0px; top: 0.0039062px; width: 315.656px; white-space: pre; word-spacing: -0.2112px; letter-spacing: 0.2112px; margin-left: 0px; font-size: 9.6px; font-family: ff7f; -webkit-text-stroke: 0.144px rgba(0, 0, 0, 0);"&gt;&lt;span style="display: inline-block;"&gt;Other financial&lt;/span&gt;&lt;span style="word-spacing: -0.2112px; letter-spacing: 0.2112px; display: inline-block; margin-left: -0.684px; width: 0px; font-size: 9.6px; font-family: ff7f; -webkit-text-stroke: 0.144px rgba(0, 0, 0, 0);"&gt;&lt;/span&gt;&lt;span style="display: inline-block;"&gt; income&lt;/span&gt;&lt;span style="word-spacing: -0.2112px; letter-spacing: 0.2112px; display: inline-block; margin-left: 0px; width: 154.641px; font-size: 9.6px; font-family: ff7f; -webkit-text-stroke: 0.144px rgba(0, 0, 0, 0);"&gt;&lt;span style="display: inline-block;"&gt; &lt;/span&gt;&lt;/span&gt;&lt;span class="pp-font-color-override-1" style="word-spacing: -0.0384px; letter-spacing: 0.0384px; display: inline-block; margin-left: 0px; font-size: 9.6px; font-family: ff7f; -webkit-text-stroke: 0.144px rgba(0, 0, 0, 0);"&gt;&lt;span style="display: inline-block;"&gt;2025&lt;/span&gt;&lt;span style="word-spacing: -0.0384px; letter-spacing: 0.0384px; display: inline-block; margin-left: 0px; width: 30.6738px; font-size: 9.6px; font-family: ff7f; -webkit-text-stroke: 0.144px rgba(0, 0, 0, 0);"&gt;&lt;span style="display: inline-block;"&gt; &lt;/span&gt;&lt;/span&gt;&lt;span class="pp-font-color-override-1" style="word-spacing: 0.0576px; letter-spacing: -0.0576px; display: inline-block; margin-left: 0px; font-size: 9.6px; font-family: ff7e; -webkit-text-stroke: 0.144px rgba(0, 0, 0, 0);"&gt;&lt;span style="display: inline-block;"&gt;2024&lt;/span&gt;&lt;/span&gt;&lt;/span&gt;&lt;/span&gt;&lt;span class="pp-font-color-override-1" style="position: absolute; display: inline-block; left: 0px; top: 22.6348px; width: 315.973px; white-space: pre; word-spacing: 0px; letter-spacing: 0.0315px; margin-left: 0px; font-size: 10.5px; font-family: ff80; -webkit-text-stroke: 0.1575px rgba(0, 0, 0, 0);"&gt;&lt;span style="display: inline-block;"&gt;Net c&lt;/span&gt;&lt;span style="word-spacing: 0px; letter-spacing: 0.0315px; display: inline-block; margin-left: 0px; width: 0.410156px; font-size: 10.5px; font-family: ff80; -webkit-text-stroke: 0.1575px rgba(0, 0, 0, 0);"&gt;&lt;/span&gt;&lt;span style="display: inline-block;"&gt;han&lt;/span&gt;&lt;span style="word-spacing: 0px; letter-spacing: 0.0315px; display: inline-block; margin-left: 0px; width: 0.410156px; font-size: 10.5px; font-family: ff80; -webkit-text-stroke: 0.1575px rgba(0, 0, 0, 0);"&gt;&lt;/span&gt;&lt;span style="display: inline-block;"&gt;ge in f&lt;/span&gt;&lt;span style="word-spacing: 0px; letter-spacing: 0.0315px; display: inline-block; margin-left: 0px; width: 0.410156px; font-size: 10.5px; font-family: ff80; -webkit-text-stroke: 0.1575px rgba(0, 0, 0, 0);"&gt;&lt;/span&gt;&lt;span style="display: inline-block;"&gt;air v&lt;/span&gt;&lt;span style="word-spacing: 0px; letter-spacing: 0.0315px; display: inline-block; margin-left: 0px; width: 0.410156px; font-size: 10.5px; font-family: ff80; -webkit-text-stroke: 0.1575px rgba(0, 0, 0, 0);"&gt;&lt;/span&gt;&lt;span style="display: inline-block;"&gt;alu&lt;/span&gt;&lt;span style="word-spacing: 0px; letter-spacing: 0.0315px; display: inline-block; margin-left: 0px; width: 0.410156px; font-size: 10.5px; font-family: ff80; -webkit-text-stroke: 0.1575px rgba(0, 0, 0, 0);"&gt;&lt;/span&gt;&lt;span style="display: inline-block;"&gt;e on f&lt;/span&gt;&lt;span style="word-spacing: 0px; letter-spacing: 0.0315px; display: inline-block; margin-left: 0px; width: 0.410156px; font-size: 10.5px; font-family: ff80; -webkit-text-stroke: 0.1575px rgba(0, 0, 0, 0);"&gt;&lt;/span&gt;&lt;span style="display: inline-block;"&gt;ina&lt;/span&gt;&lt;span style="word-spacing: 0px; letter-spacing: 0.0315px; display: inline-block; margin-left: 0px; width: 0.410156px; font-size: 10.5px; font-family: ff80; -webkit-text-stroke: 0.1575px rgba(0, 0, 0, 0);"&gt;&lt;/span&gt;&lt;span style="display: inline-block;"&gt;nci&lt;/span&gt;&lt;span style="word-spacing: 0px; letter-spacing: 0.0315px; display: inline-block; margin-left: 0px; width: 0.410156px; font-size: 10.5px; font-family: ff80; -webkit-text-stroke: 0.1575px rgba(0, 0, 0, 0);"&gt;&lt;/span&gt;&lt;span style="display: inline-block;"&gt;al in&lt;/span&gt;&lt;span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0.410156px; font-size: 10.5px; font-family: ff80; -webkit-text-stroke: 0.1575px rgba(0, 0, 0, 0);"&gt;&lt;/span&gt;&lt;span style="display: inline-block;"&gt;tr&lt;/span&gt;&lt;span style="word-spacing: 0px; letter-spacing: 0.0315px; display: inline-block; margin-left: 0px; width: 0.410156px; font-size: 10.5px; font-family: ff80; -webkit-text-stroke: 0.1575px rgba(0, 0, 0, 0);"&gt;&lt;/span&gt;&lt;span style="display: inline-block;"&gt;ume&lt;/span&gt;&lt;span style="word-spacing: 0px; letter-spacing: 0.0315px; display: inline-block; margin-left: 0px; width: 0.410156px; font-size: 10.5px; font-family: ff80; -webkit-text-stroke: 0.1575px rgba(0, 0, 0, 0);"&gt;&lt;/span&gt;&lt;span style="display: inline-block;"&gt;nt&lt;/span&gt;&lt;span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42.4864px; font-size: 10.5px; font-family: ff80; -webkit-text-stroke: 0.1575px rgba(0, 0, 0, 0);"&gt;&lt;span style="display: inline-block;"&gt; &lt;/span&gt;&lt;/span&gt;&lt;span class="pp-font-color-override-1" style="word-spacing: 0px; letter-spacing: 0px; display: inline-block; margin-left: 0px; font-size: 10.5px; font-family: ff80; -webkit-text-stroke: 0.1575px rgba(0, 0, 0, 0);"&gt;&lt;span style="display: inline-block;"&gt;—&lt;/span&gt;&lt;span style="word-spacing: 0px; letter-spacing: 0px; display: inline-block; margin-left: 0px; width: 35.0918px; font-size: 10.5px; font-family: ff80; -webkit-text-stroke: 0.1575px rgba(0, 0, 0, 0);"&gt;&lt;span style="display: inline-block;"&gt; &lt;/span&gt;&lt;/span&gt;&lt;span class="pp-font-color-override-1" style="word-spacing: -0.084px; letter-spacing: 0.084px; display: inline-block; margin-left: 0px; font-size: 10.5px; font-family: ff80; -webkit-text-stroke: 0.1575px rgba(0, 0, 0, 0);"&gt;&lt;span style="display: inline-block;"&gt;358&lt;/span&gt;&lt;/span&gt;&lt;/span&gt;&lt;/span&gt;&lt;span class="pp-font-color-override-1" style="position: absolute; display: inline-block; left: 0px; top: 38.5879px; width: 318.984px; white-space: pre; word-spacing: 0px; letter-spacing: 0.0315px; margin-left: 0px; font-size: 10.5px; font-family: ff80; -webkit-text-stroke: 0.1575px rgba(0, 0, 0, 0);"&gt;&lt;span style="display: inline-block;"&gt;Net f&lt;/span&gt;&lt;span style="word-spacing: 0px; letter-spacing: 0.0315px; display: inline-block; margin-left: 0px; width: 0.410156px; font-size: 10.5px; font-family: ff80; -webkit-text-stroke: 0.1575px rgba(0, 0, 0, 0);"&gt;&lt;/span&gt;&lt;span style="display: inline-block;"&gt;orei&lt;/span&gt;&lt;span style="word-spacing: 0px; letter-spacing: 0.0315px; display: inline-block; margin-left: 0px; width: 0.410156px; font-size: 10.5px; font-family: ff80; -webkit-text-stroke: 0.1575px rgba(0, 0, 0, 0);"&gt;&lt;/span&gt;&lt;span style="display: inline-block;"&gt;gn exc&lt;/span&gt;&lt;span style="word-spacing: 0px; letter-spacing: 0.0315px; display: inline-block; margin-left: 0px; width: 0.410156px; font-size: 10.5px; font-family: ff80; -webkit-text-stroke: 0.1575px rgba(0, 0, 0, 0);"&gt;&lt;/span&gt;&lt;span style="display: inline-block;"&gt;han&lt;/span&gt;&lt;span style="word-spacing: 0px; letter-spacing: 0.0315px; display: inline-block; margin-left: 0px; width: 0.410156px; font-size: 10.5px; font-family: ff80; -webkit-text-stroke: 0.1575px rgba(0, 0, 0, 0);"&gt;&lt;/span&gt;&lt;span style="display: inline-block;"&gt;ge ra&lt;/span&gt;&lt;span style="word-spacing: 0px; letter-spacing: 0.0315px; display: inline-block; margin-left: 0px; width: 0.410156px; font-size: 10.5px; font-family: ff80; -webkit-text-stroke: 0.1575px rgba(0, 0, 0, 0);"&gt;&lt;/span&gt;&lt;span style="display: inline-block;"&gt;te di&lt;/span&gt;&lt;span style="word-spacing: 0px; letter-spacing: 0.0315px; display: inline-block; margin-left: 0px; width: 0.410156px; font-size: 10.5px; font-family: ff80; -webkit-text-stroke: 0.1575px rgba(0, 0, 0, 0);"&gt;&lt;/span&gt;&lt;span style="display: inline-block;"&gt;f&lt;/span&gt;&lt;span style="word-spacing: 0px; letter-spacing: 0.0315px; display: inline-block; margin-left: 0px; width: 0.410156px; font-size: 10.5px; font-family: ff80; -webkit-text-stroke: 0.1575px rgba(0, 0, 0, 0);"&gt;&lt;/span&gt;&lt;span style="display: inline-block;"&gt;fer&lt;/span&gt;&lt;span style="word-spacing: 0px; letter-spacing: 0.0315px; display: inline-block; margin-left: 0px; width: 0.410156px; font-size: 10.5px; font-family: ff80; -webkit-text-stroke: 0.1575px rgba(0, 0, 0, 0);"&gt;&lt;/span&gt;&lt;span style="display: inline-block;"&gt;en&lt;/span&gt;&lt;span style="word-spacing: 0px; letter-spacing: 0.0315px; display: inline-block; margin-left: 0px; width: 0.410156px; font-size: 10.5px; font-family: ff80; -webkit-text-stroke: 0.1575px rgba(0, 0, 0, 0);"&gt;&lt;/span&gt;&lt;span style="display: inline-block;"&gt;ce&lt;/span&gt;&lt;span style="word-spacing: 0px; letter-spacing: 0.0315px; display: inline-block; margin-left: 0px; width: 0.410156px; font-size: 10.5px; font-family: ff80; -webkit-text-stroke: 0.1575px rgba(0, 0, 0, 0);"&gt;&lt;/span&gt;&lt;span style="display: inline-block;"&gt;s&lt;/span&gt;&lt;span style="word-spacing: 0px; letter-spacing: 0.0315px; display: inline-block; margin-left: 0px; width: 92.9239px; font-size: 10.5px; font-family: ff80; -webkit-text-stroke: 0.1575px rgba(0, 0, 0, 0);"&gt;&lt;span style="display: inline-block;"&gt; &lt;/span&gt;&lt;/span&gt;&lt;span class="pp-font-color-override-1" style="word-spacing: 0px; letter-spacing: 0px; display: inline-block; margin-left: 0px; font-size: 10.5px; font-family: ff80; -webkit-text-stroke: 0.1575px rgba(0, 0, 0, 0);"&gt;&lt;span style="display: inline-block;"&gt;—&lt;/span&gt;&lt;span style="word-spacing: 0px; letter-spacing: 0px; display: inline-block; margin-left: 0px; width: 41.244px; font-size: 10.5px; font-family: ff80; -webkit-text-stroke: 0.1575px rgba(0, 0, 0, 0);"&gt;&lt;span style="display: inline-block;"&gt; &lt;/span&gt;&lt;/span&gt;&lt;span class="pp-font-color-override-1" style="word-spacing: -0.252px; letter-spacing: 0.252px; display: inline-block; margin-left: 0px; font-size: 10.5px; font-family: ff80; -webkit-text-stroke: 0.1575px rgba(0, 0, 0, 0);"&gt;&lt;span style="display: inline-block;"&gt;84&lt;/span&gt;&lt;/span&gt;&lt;/span&gt;&lt;/span&gt;&lt;span class="pp-font-color-override-1" style="position: absolute; display: inline-block; left: 0px; top: 54.6699px; width: 322.787px; white-space: pre; word-spacing: -0.0315px; letter-spacing: 0.0315px; margin-left: 0px; font-size: 10.5px; font-family: ff81; -webkit-text-stroke: 0.1575px rgba(0, 0, 0, 0);"&gt;&lt;span style="display: inline-block;"&gt; of whi&lt;/span&gt;&lt;span style="word-spacing: -0.0315px; letter-spacing: 0.0315px; display: inline-block; margin-left: 0px; width: 0.410156px; font-size: 10.5px; font-family: ff81; -webkit-text-stroke: 0.1575px rgba(0, 0, 0, 0);"&gt;&lt;/span&gt;&lt;span style="display: inline-block;"&gt;ch fo&lt;/span&gt;&lt;span style="word-spacing: -0.0315px; letter-spacing: 0.0315px; display: inline-block; margin-left: 0px; width: 0.410156px; font-size: 10.5px; font-family: ff81; -webkit-text-stroke: 0.1575px rgba(0, 0, 0, 0);"&gt;&lt;/span&gt;&lt;span style="display: inline-block;"&gt;reig&lt;/span&gt;&lt;span style="word-spacing: -0.0315px; letter-spacing: 0.0315px; display: inline-block; margin-left: 0px; width: 0.410156px; font-size: 10.5px; font-family: ff81; -webkit-text-stroke: 0.1575px rgba(0, 0, 0, 0);"&gt;&lt;/span&gt;&lt;span style="display: inline-block;"&gt;n exc&lt;/span&gt;&lt;span style="word-spacing: -0.0315px; letter-spacing: 0.0315px; display: inline-block; margin-left: 0px; width: 0.410156px; font-size: 10.5px; font-family: ff81; -webkit-text-stroke: 0.1575px rgba(0, 0, 0, 0);"&gt;&lt;/span&gt;&lt;span style="display: inline-block;"&gt;ha&lt;/span&gt;&lt;span style="word-spacing: -0.0315px; letter-spacing: 0.0315px; display: inline-block; margin-left: 0px; width: 0.410156px; font-size: 10.5px; font-family: ff81; -webkit-text-stroke: 0.1575px rgba(0, 0, 0, 0);"&gt;&lt;/span&gt;&lt;span style="display: inline-block;"&gt;nge r&lt;/span&gt;&lt;span style="word-spacing: -0.0315px; letter-spacing: 0.0315px; display: inline-block; margin-left: 0px; width: 0.410156px; font-size: 10.5px; font-family: ff81; -webkit-text-stroke: 0.1575px rgba(0, 0, 0, 0);"&gt;&lt;/span&gt;&lt;span style="display: inline-block;"&gt;ate gai&lt;/span&gt;&lt;span style="word-spacing: -0.0315px; letter-spacing: 0.0315px; display: inline-block; margin-left: 0px; width: 0.410156px; font-size: 10.5px; font-family: ff81; -webkit-text-stroke: 0.1575px rgba(0, 0, 0, 0);"&gt;&lt;/span&gt;&lt;span style="display: inline-block;"&gt;ns&lt;/span&gt;&lt;span style="word-spacing: -0.0315px; letter-spacing: 0.0315px; display: inline-block; margin-left: 0px; width: 89.883px; font-size: 10.5px; font-family: ff81; -webkit-text-stroke: 0.1575px rgba(0, 0, 0, 0);"&gt;&lt;span style="display: inline-block;"&gt; &lt;/span&gt;&lt;/span&gt;&lt;span class="pp-font-color-override-1" style="word-spacing: 0px; letter-spacing: 0px; display: inline-block; margin-left: 0px; font-size: 10.5px; font-family: ff82; -webkit-text-stroke: 0.1575px rgba(0, 0, 0, 0);"&gt;&lt;span style="display: inline-block;"&gt;—&lt;/span&gt;&lt;span style="word-spacing: 0px; letter-spacing: 0px; display: inline-block; margin-left: 0px; width: 29.1973px; font-size: 10.5px; font-family: ff82; -webkit-text-stroke: 0.1575px rgba(0, 0, 0, 0);"&gt;&lt;span style="display: inline-block;"&gt; &lt;/span&gt;&lt;/span&gt;&lt;span class="pp-font-color-override-1" style="word-spacing: 0.231px; letter-spacing: -0.231px; display: inline-block; margin-left: 0px; font-size: 10.5px; font-family: ff82; -webkit-text-stroke: 0.1575px rgba(0, 0, 0, 0);"&gt;&lt;span style="display: inline-block;"&gt;2,&lt;/span&gt;&lt;span style="word-spacing: 0.231px; letter-spacing: -0.231px; display: inline-block; margin-left: 0px; width: 0.925781px; font-size: 10.5px; font-family: ff82; -webkit-text-stroke: 0.1575px rgba(0, 0, 0, 0);"&gt;&lt;/span&gt;&lt;span style="display: inline-block;"&gt;201&lt;/span&gt;&lt;/span&gt;&lt;/span&gt;&lt;/span&gt;&lt;span class="pp-font-color-override-1" style="position: absolute; display: inline-block; left: 0px; top: 70.6387px; width: 323.344px; white-space: pre; word-spacing: -0.0315px; letter-spacing: 0.0315px; margin-left: 0px; font-size: 10.5px; font-family: ff81; -webkit-text-stroke: 0.1575px rgba(0, 0, 0, 0);"&gt;&lt;span style="display: inline-block;"&gt; of whi&lt;/span&gt;&lt;span style="word-spacing: -0.0315px; letter-spacing: 0.0315px; display: inline-block; margin-left: 0px; width: 0.410156px; font-size: 10.5px; font-family: ff81; -webkit-text-stroke: 0.1575px rgba(0, 0, 0, 0);"&gt;&lt;/span&gt;&lt;span style="display: inline-block;"&gt;ch fo&lt;/span&gt;&lt;span style="word-spacing: -0.0315px; letter-spacing: 0.0315px; display: inline-block; margin-left: 0px; width: 0.410156px; font-size: 10.5px; font-family: ff81; -webkit-text-stroke: 0.1575px rgba(0, 0, 0, 0);"&gt;&lt;/span&gt;&lt;span style="display: inline-block;"&gt;reig&lt;/span&gt;&lt;span style="word-spacing: -0.0315px; letter-spacing: 0.0315px; display: inline-block; margin-left: 0px; width: 0.410156px; font-size: 10.5px; font-family: ff81; -webkit-text-stroke: 0.1575px rgba(0, 0, 0, 0);"&gt;&lt;/span&gt;&lt;span style="display: inline-block;"&gt;n exc&lt;/span&gt;&lt;span style="word-spacing: -0.0315px; letter-spacing: 0.0315px; display: inline-block; margin-left: 0px; width: 0.410156px; font-size: 10.5px; font-family: ff81; -webkit-text-stroke: 0.1575px rgba(0, 0, 0, 0);"&gt;&lt;/span&gt;&lt;span style="display: inline-block;"&gt;ha&lt;/span&gt;&lt;span style="word-spacing: -0.0315px; letter-spacing: 0.0315px; display: inline-block; margin-left: 0px; width: 0.410156px; font-size: 10.5px; font-family: ff81; -webkit-text-stroke: 0.1575px rgba(0, 0, 0, 0);"&gt;&lt;/span&gt;&lt;span style="display: inline-block;"&gt;nge r&lt;/span&gt;&lt;span style="word-spacing: -0.0315px; letter-spacing: 0.0315px; display: inline-block; margin-left: 0px; width: 0.410156px; font-size: 10.5px; font-family: ff81; -webkit-text-stroke: 0.1575px rgba(0, 0, 0, 0);"&gt;&lt;/span&gt;&lt;span style="display: inline-block;"&gt;ate los&lt;/span&gt;&lt;span style="word-spacing: -0.0315px; letter-spacing: 0.0315px; display: inline-block; margin-left: 0px; width: 0.410156px; font-size: 10.5px; font-family: ff81; -webkit-text-stroke: 0.1575px rgba(0, 0, 0, 0);"&gt;&lt;/span&gt;&lt;span style="display: inline-block;"&gt;se&lt;/span&gt;&lt;span style="word-spacing: -0.0315px; letter-spacing: 0.0315px; display: inline-block; margin-left: 0px; width: 0.410156px; font-size: 10.5px; font-family: ff81; -webkit-text-stroke: 0.1575px rgba(0, 0, 0, 0);"&gt;&lt;/span&gt;&lt;span style="display: inline-block;"&gt;s&lt;/span&gt;&lt;span style="word-spacing: -0.0315px; letter-spacing: 0.0315px; display: inline-block; margin-left: 0px; width: 85.0252px; font-size: 10.5px; font-family: ff81; -webkit-text-stroke: 0.1575px rgba(0, 0, 0, 0);"&gt;&lt;span style="display: inline-block;"&gt; &lt;/span&gt;&lt;/span&gt;&lt;span class="pp-font-color-override-1" style="word-spacing: 0px; letter-spacing: 0px; display: inline-block; margin-left: 0px; font-size: 10.5px; font-family: ff82; -webkit-text-stroke: 0.1575px rgba(0, 0, 0, 0);"&gt;&lt;span style="display: inline-block;"&gt;—&lt;/span&gt;&lt;span style="word-spacing: 0px; letter-spacing: 0px; display: inline-block; margin-left: 0px; width: 27.6035px; font-size: 10.5px; font-family: ff82; -webkit-text-stroke: 0.1575px rgba(0, 0, 0, 0);"&gt;&lt;span style="display: inline-block;"&gt; &lt;/span&gt;&lt;/span&gt;&lt;span class="pp-font-color-override-1" style="word-spacing: 0.378px; letter-spacing: -0.378px; display: inline-block; margin-left: 0px; font-size: 10.5px; font-family: ff82; -webkit-text-stroke: 0.1575px rgba(0, 0, 0, 0);"&gt;&lt;span style="display: inline-block;"&gt;–&lt;/span&gt;&lt;span style="word-spacing: 0.378px; letter-spacing: -0.378px; display: inline-block; margin-left: 0px; width: 0.410156px; font-size: 10.5px; font-family: ff82; -webkit-text-stroke: 0.1575px rgba(0, 0, 0, 0);"&gt;&lt;/span&gt;&lt;span style="display: inline-block;"&gt;2&lt;/span&gt;&lt;span style="word-spacing: 0.378px; letter-spacing: -0.378px; display: inline-block; margin-left: 0px; width: 0.410156px; font-size: 10.5px; font-family: ff82; -webkit-text-stroke: 0.1575px rgba(0, 0, 0, 0);"&gt;&lt;/span&gt;&lt;span style="display: inline-block;"&gt;,117&lt;/span&gt;&lt;/span&gt;&lt;/span&gt;&lt;/span&gt;&lt;span class="pp-font-color-override-1" style="position: absolute; display: inline-block; left: 0px; top: 86.4629px; width: 330.229px; white-space: pre; word-spacing: -0.2205px; letter-spacing: 0.252px; margin-left: 0px; font-size: 10.5px; font-family: ff80; -webkit-text-stroke: 0.1575px rgba(0, 0, 0, 0);"&gt;&lt;span style="display: inline-block;"&gt;Other fin&lt;/span&gt;&lt;span style="word-spacing: -0.2205px; letter-spacing: 0.252px; display: inline-block; margin-left: -0.684px; width: 0px; font-size: 10.5px; font-family: ff80; -webkit-text-stroke: 0.1575px rgba(0, 0, 0, 0);"&gt;&lt;/span&gt;&lt;span style="display: inline-block;"&gt;ancial i&lt;/span&gt;&lt;span style="word-spacing: -0.2205px; letter-spacing: 0.252px; display: inline-block; margin-left: -0.684px; width: 0px; font-size: 10.5px; font-family: ff80; -webkit-text-stroke: 0.1575px rgba(0, 0, 0, 0);"&gt;&lt;/span&gt;&lt;span style="display: inline-block;"&gt;ncome&lt;/span&gt;&lt;span style="word-spacing: -0.2205px; letter-spacing: 0.252px; display: inline-block; margin-left: 0px; width: 170.315px; font-size: 10.5px; font-family: ff80; -webkit-text-stroke: 0.1575px rgba(0, 0, 0, 0);"&gt;&lt;span style="display: inline-block;"&gt; &lt;/span&gt;&lt;/span&gt;&lt;span class="pp-font-color-override-1" style="word-spacing: 0px; letter-spacing: 0px; display: inline-block; margin-left: 0px; font-size: 10.5px; font-family: ff80; -webkit-text-stroke: 0.1575px rgba(0, 0, 0, 0);"&gt;&lt;span style="display: inline-block;"&gt;2&lt;/span&gt;&lt;span style="word-spacing: 0px; letter-spacing: 0px; display: inline-block; margin-left: 0px; width: 48.867px; font-size: 10.5px; font-family: ff80; -webkit-text-stroke: 0.1575px rgba(0, 0, 0, 0);"&gt;&lt;span style="display: inline-block;"&gt; &lt;/span&gt;&lt;/span&gt;&lt;span style="display: inline-block;"&gt;9&lt;/span&gt;&lt;/span&gt;&lt;/span&gt;&lt;span class="pp-font-color-override-1" style="position: absolute; display: inline-block; left: 281.094px; top: 102.164px; width: 57.2461px; white-space: pre; word-spacing: 0px; letter-spacing: 0px; margin-left: 0px; font-size: 10.5px; font-family: ff7f; -webkit-text-stroke: 0.1575px rgba(0, 0, 0, 0);"&gt;&lt;span style="display: inline-block;"&gt;2&lt;/span&gt;&lt;span style="word-spacing: 0px; letter-spacing: 0px; display: inline-block; margin-left: 0px; width: 36.498px; font-size: 10.5px; font-family: ff7f; -webkit-text-stroke: 0.1575px rgba(0, 0, 0, 0);"&gt;&lt;span style="display: inline-block;"&gt; &lt;/span&gt;&lt;/span&gt;&lt;span class="pp-font-color-override-1" style="word-spacing: 0.084px; letter-spacing: -0.084px; display: inline-block; margin-left: 0px; font-size: 10.5px; font-family: ff7f; -webkit-text-stroke: 0.1575px rgba(0, 0, 0, 0);"&gt;&lt;span style="display: inline-block;"&gt;451&lt;/span&gt;&lt;/span&gt;&lt;/span&gt;&lt;/span&gt;&lt;span style="display:inherit;clear:left;position:relative;height:161.66015625px;"&gt;&lt;span class="pp-font-color-override-1" style="position: absolute; display: inline-block; left: 0px; top: 0.0039062px; width: 312.51px; white-space: pre; word-spacing: -0.2112px; letter-spacing: 0.2112px; margin-left: 0px; font-size: 9.6px; font-family: ff7f; -webkit-text-stroke: 0.144px rgba(0, 0, 0, 0);"&gt;&lt;span style="display: inline-block;"&gt;Other financial&lt;/span&gt;&lt;span style="word-spacing: -0.2112px; letter-spacing: 0.2112px; display: inline-block; margin-left: -0.684px; width: 0px; font-size: 9.6px; font-family: ff7f; -webkit-text-stroke: 0.144px rgba(0, 0, 0, 0);"&gt;&lt;/span&gt;&lt;span style="display: inline-block;"&gt; expenses&lt;/span&gt;&lt;span style="word-spacing: -0.2112px; letter-spacing: 0.2112px; display: inline-block; margin-left: 0px; width: 144.674px; font-size: 9.6px; font-family: ff7f; -webkit-text-stroke: 0.144px rgba(0, 0, 0, 0);"&gt;&lt;span style="display: inline-block;"&gt; &lt;/span&gt;&lt;/span&gt;&lt;span class="pp-font-color-override-1" style="word-spacing: -0.0384px; letter-spacing: 0.0384px; display: inline-block; margin-left: 0px; font-size: 9.6px; font-family: ff7f; -webkit-text-stroke: 0.144px rgba(0, 0, 0, 0);"&gt;&lt;span style="display: inline-block;"&gt;2025&lt;/span&gt;&lt;span style="word-spacing: -0.0384px; letter-spacing: 0.0384px; display: inline-block; margin-left: 0px; width: 30.6738px; font-size: 9.6px; font-family: ff7f; -webkit-text-stroke: 0.144px rgba(0, 0, 0, 0);"&gt;&lt;span style="display: inline-block;"&gt; &lt;/span&gt;&lt;/span&gt;&lt;span class="pp-font-color-override-1" style="word-spacing: 0.0576px; letter-spacing: -0.0576px; display: inline-block; margin-left: 0px; font-size: 9.6px; font-family: ff7e; -webkit-text-stroke: 0.144px rgba(0, 0, 0, 0);"&gt;&lt;span style="display: inline-block;"&gt;2024&lt;/span&gt;&lt;/span&gt;&lt;/span&gt;&lt;/span&gt;&lt;span class="pp-font-color-override-1" style="position: absolute; display: inline-block; left: 0px; top: 22.6191px; width: 313.043px; white-space: pre; word-spacing: 0px; letter-spacing: 0.0315px; margin-left: 0px; font-size: 10.5px; font-family: ff80; -webkit-text-stroke: 0.1575px rgba(0, 0, 0, 0);"&gt;&lt;span style="display: inline-block;"&gt;Fin&lt;/span&gt;&lt;span style="word-spacing: 0px; letter-spacing: 0.0315px; display: inline-block; margin-left: 0px; width: 0.410156px; font-size: 10.5px; font-family: ff80; -webkit-text-stroke: 0.1575px rgba(0, 0, 0, 0);"&gt;&lt;/span&gt;&lt;span style="display: inline-block;"&gt;an&lt;/span&gt;&lt;span style="word-spacing: 0px; letter-spacing: 0.0315px; display: inline-block; margin-left: 0px; width: 0.410156px; font-size: 10.5px; font-family: ff80; -webkit-text-stroke: 0.1575px rgba(0, 0, 0, 0);"&gt;&lt;/span&gt;&lt;span style="display: inline-block;"&gt;cing ex&lt;/span&gt;&lt;span style="word-spacing: 0px; letter-spacing: 0.0315px; display: inline-block; margin-left: 0px; width: 0.410156px; font-size: 10.5px; font-family: ff80; -webkit-text-stroke: 0.1575px rgba(0, 0, 0, 0);"&gt;&lt;/span&gt;&lt;span style="display: inline-block;"&gt;p&lt;/span&gt;&lt;span style="word-spacing: 0px; letter-spacing: 0.0315px; display: inline-block; margin-left: 0px; width: 0.410156px; font-size: 10.5px; font-family: ff80; -webkit-text-stroke: 0.1575px rgba(0, 0, 0, 0);"&gt;&lt;/span&gt;&lt;span style="display: inline-block;"&gt;en&lt;/span&gt;&lt;span style="word-spacing: 0px; letter-spacing: 0.0315px; display: inline-block; margin-left: 0px; width: 0.410156px; font-size: 10.5px; font-family: ff80; -webkit-text-stroke: 0.1575px rgba(0, 0, 0, 0);"&gt;&lt;/span&gt;&lt;span style="display: inline-block;"&gt;se&lt;/span&gt;&lt;span style="word-spacing: 0px; letter-spacing: 0.0315px; display: inline-block; margin-left: 0px; width: 0.410156px; font-size: 10.5px; font-family: ff80; -webkit-text-stroke: 0.1575px rgba(0, 0, 0, 0);"&gt;&lt;/span&gt;&lt;span style="display: inline-block;"&gt;s on re&lt;/span&gt;&lt;span style="word-spacing: 0px; letter-spacing: 0.0315px; display: inline-block; margin-left: 0px; width: 0.410156px; font-size: 10.5px; font-family: ff80; -webkit-text-stroke: 0.1575px rgba(0, 0, 0, 0);"&gt;&lt;/span&gt;&lt;span style="display: inline-block;"&gt;pu&lt;/span&gt;&lt;span style="word-spacing: 0px; letter-spacing: 0.0315px; display: inline-block; margin-left: 0px; width: 0.410156px; font-size: 10.5px; font-family: ff80; -webkit-text-stroke: 0.1575px rgba(0, 0, 0, 0);"&gt;&lt;/span&gt;&lt;span style="display: inline-block;"&gt;rch&lt;/span&gt;&lt;span style="word-spacing: 0px; letter-spacing: 0.0315px; display: inline-block; margin-left: 0px; width: 0.410156px; font-size: 10.5px; font-family: ff80; -webkit-text-stroke: 0.1575px rgba(0, 0, 0, 0);"&gt;&lt;/span&gt;&lt;span style="display: inline-block;"&gt;as&lt;/span&gt;&lt;span style="word-spacing: 0px; letter-spacing: 0.0315px; display: inline-block; margin-left: 0px; width: 0.410156px; font-size: 10.5px; font-family: ff80; -webkit-text-stroke: 0.1575px rgba(0, 0, 0, 0);"&gt;&lt;/span&gt;&lt;span style="display: inline-block;"&gt;e ob&lt;/span&gt;&lt;span style="word-spacing: 0px; letter-spacing: 0.0315px; display: inline-block; margin-left: 0px; width: 0.410156px; font-size: 10.5px; font-family: ff80; -webkit-text-stroke: 0.1575px rgba(0, 0, 0, 0);"&gt;&lt;/span&gt;&lt;span style="display: inline-block;"&gt;lig&lt;/span&gt;&lt;span style="word-spacing: 0px; letter-spacing: 0.0315px; display: inline-block; margin-left: 0px; width: 0.410156px; font-size: 10.5px; font-family: ff80; -webkit-text-stroke: 0.1575px rgba(0, 0, 0, 0);"&gt;&lt;/span&gt;&lt;span style="display: inline-block;"&gt;atio&lt;/span&gt;&lt;span style="word-spacing: 0px; letter-spacing: 0.0315px; display: inline-block; margin-left: 0px; width: 0.410156px; font-size: 10.5px; font-family: ff80; -webkit-text-stroke: 0.1575px rgba(0, 0, 0, 0);"&gt;&lt;/span&gt;&lt;span style="display: inline-block;"&gt;ns &lt;/span&gt;&lt;span style="word-spacing: 0px; letter-spacing: 0.0315px; display: inline-block; margin-left: 0px; width: 37.1133px; font-size: 10.5px; font-family: ff80; -webkit-text-stroke: 0.1575px rgba(0, 0, 0, 0);"&gt;&lt;span style="display: inline-block;"&gt; &lt;/span&gt;&lt;/span&gt;&lt;span class="pp-font-color-override-1" style="word-spacing: 0.126px; letter-spacing: -0.126px; display: inline-block; margin-left: 0px; font-size: 10.5px; font-family: ff80; -webkit-text-stroke: 0.1575px rgba(0, 0, 0, 0);"&gt;&lt;span style="display: inline-block;"&gt;–&lt;/span&gt;&lt;span style="word-spacing: 0.126px; letter-spacing: -0.126px; display: inline-block; margin-left: 0px; width: 0.925781px; font-size: 10.5px; font-family: ff80; -webkit-text-stroke: 0.1575px rgba(0, 0, 0, 0);"&gt;&lt;/span&gt;&lt;span style="display: inline-block;"&gt;917&lt;/span&gt;&lt;span style="word-spacing: 0.126px; letter-spacing: -0.126px; display: inline-block; margin-left: 0px; width: 32.3906px; font-size: 10.5px; font-family: ff80; -webkit-text-stroke: 0.1575px rgba(0, 0, 0, 0);"&gt;&lt;span style="display: inline-block;"&gt;&lt;span style="width: 2.625px; display: inline-block;"&gt; &lt;/span&gt;&lt;/span&gt;&lt;/span&gt;&lt;span class="pp-font-color-override-1" style="word-spacing: 0.672px; letter-spacing: -0.672px; display: inline-block; margin-left: 0px; font-size: 10.5px; font-family: ff80; -webkit-text-stroke: 0.1575px rgba(0, 0, 0, 0);"&gt;&lt;span style="display: inline-block;"&gt;–7&lt;/span&gt;&lt;span style="word-spacing: 0.672px; letter-spacing: -0.672px; display: inline-block; margin-left: 0px; width: 0.925781px; font-size: 10.5px; font-family: ff80; -webkit-text-stroke: 0.1575px rgba(0, 0, 0, 0);"&gt;&lt;/span&gt;&lt;span style="display: inline-block;"&gt;9&lt;/span&gt;&lt;span style="word-spacing: 0.672px; letter-spacing: -0.672px; display: i</t>
  </si>
  <si>
    <t>f1__s8__6__93-1</t>
  </si>
  <si>
    <t>ifrs-full:DisclosureOfFinanceCostExplanatory</t>
  </si>
  <si>
    <t>f1__s8__6__94-1</t>
  </si>
  <si>
    <t>ifrs-full:DisclosureOfFinanceIncomeExplanatory</t>
  </si>
  <si>
    <t>f1__s8__6__95</t>
  </si>
  <si>
    <t>ifrs-full:DisclosureOfInterestIncomeExpenseExplanatory</t>
  </si>
  <si>
    <t>f1__s8__6__96</t>
  </si>
  <si>
    <t>ifrs-full:DisclosureOfInterestIncomeExplanatory</t>
  </si>
  <si>
    <t>f1__s8__6__97</t>
  </si>
  <si>
    <t>ifrs-full:DisclosureOfInterestExpenseExplanatory</t>
  </si>
  <si>
    <t>f1__s8__6__98</t>
  </si>
  <si>
    <t>ifrs-full:DescriptionOfAccountingPolicyForFinanceIncomeAndCostsExplanatory</t>
  </si>
  <si>
    <t>f1__s8__6__99</t>
  </si>
  <si>
    <t>ifrs-full:DescriptionOfAccountingPolicyForFinanceCostsExplanatory</t>
  </si>
  <si>
    <t>Statement</t>
  </si>
  <si>
    <t>Report</t>
  </si>
  <si>
    <t>ReportYear</t>
  </si>
  <si>
    <t>Label</t>
  </si>
  <si>
    <t>Level</t>
  </si>
  <si>
    <t>RowOrder</t>
  </si>
  <si>
    <t>IndentedLabel</t>
  </si>
  <si>
    <t>Revenue</t>
  </si>
  <si>
    <t>s1</t>
  </si>
  <si>
    <t>Income Statement</t>
  </si>
  <si>
    <t xml:space="preserve">            Revenue</t>
  </si>
  <si>
    <t xml:space="preserve">        Revenue</t>
  </si>
  <si>
    <t>CostOfSales</t>
  </si>
  <si>
    <t>Cost Of Sales</t>
  </si>
  <si>
    <t xml:space="preserve">        Cost Of Sales</t>
  </si>
  <si>
    <t xml:space="preserve">            Cost Of Sales</t>
  </si>
  <si>
    <t>GrossProfit</t>
  </si>
  <si>
    <t>Gross Profit</t>
  </si>
  <si>
    <t xml:space="preserve">        Gross Profit</t>
  </si>
  <si>
    <t xml:space="preserve">            Gross Profit</t>
  </si>
  <si>
    <t>ResearchAndDevelopmentExpense</t>
  </si>
  <si>
    <t>Research And Development Expense</t>
  </si>
  <si>
    <t xml:space="preserve">        Research And Development Expense</t>
  </si>
  <si>
    <t xml:space="preserve">            Research And Development Expense</t>
  </si>
  <si>
    <t>SellingExpense</t>
  </si>
  <si>
    <t>Selling Expense</t>
  </si>
  <si>
    <t xml:space="preserve">        Selling Expense</t>
  </si>
  <si>
    <t xml:space="preserve">            Selling Expense</t>
  </si>
  <si>
    <t>AdministrativeExpense</t>
  </si>
  <si>
    <t>Administrative Expense</t>
  </si>
  <si>
    <t xml:space="preserve">            Administrative Expense</t>
  </si>
  <si>
    <t xml:space="preserve">        Administrative Expense</t>
  </si>
  <si>
    <t>OtherOperatingIncomeExpense</t>
  </si>
  <si>
    <t>Other Operating Income Expense</t>
  </si>
  <si>
    <t xml:space="preserve">            Other Operating Income Expense</t>
  </si>
  <si>
    <t xml:space="preserve">        Other Operating Income Expense</t>
  </si>
  <si>
    <t>ShareOfProfitLossOfAssociatesAndJointVenturesAccountedForUsingEquityMethod</t>
  </si>
  <si>
    <t>Share Of Profit Loss Of Associates And Joint Ventures Accounted For Using Equity Method</t>
  </si>
  <si>
    <t xml:space="preserve">            Share Of Profit Loss Of Associates And Joint Ventures Accounted For Using Equity Method</t>
  </si>
  <si>
    <t xml:space="preserve">        Share Of Profit Loss Of Associates And Joint Ventures Accounted For Using Equity Method</t>
  </si>
  <si>
    <t>ProfitLossFromOperatingActivities</t>
  </si>
  <si>
    <t>Profit Loss From Operating Activities</t>
  </si>
  <si>
    <t xml:space="preserve">            Profit Loss From Operating Activities</t>
  </si>
  <si>
    <t xml:space="preserve">        Profit Loss From Operating Activities</t>
  </si>
  <si>
    <t>RevenueFromInterest</t>
  </si>
  <si>
    <t>Revenue From Interest</t>
  </si>
  <si>
    <t xml:space="preserve">        Revenue From Interest</t>
  </si>
  <si>
    <t xml:space="preserve">            Revenue From Interest</t>
  </si>
  <si>
    <t>InterestExpense</t>
  </si>
  <si>
    <t>Interest Expense</t>
  </si>
  <si>
    <t xml:space="preserve">            Interest Expense</t>
  </si>
  <si>
    <t xml:space="preserve">        Interest Expense</t>
  </si>
  <si>
    <t>OtherFinanceIncomeCost</t>
  </si>
  <si>
    <t>Other Finance Income Cost</t>
  </si>
  <si>
    <t xml:space="preserve">            Other Finance Income Cost</t>
  </si>
  <si>
    <t xml:space="preserve">        Other Finance Income Cost</t>
  </si>
  <si>
    <t>ProfitLossBeforeTax</t>
  </si>
  <si>
    <t>Profit Loss Before Tax</t>
  </si>
  <si>
    <t xml:space="preserve">            Profit Loss Before Tax</t>
  </si>
  <si>
    <t xml:space="preserve">        Profit Loss Before Tax</t>
  </si>
  <si>
    <t>IncomeTaxExpenseContinuingOperations</t>
  </si>
  <si>
    <t>Income Tax Expense Continuing Operations</t>
  </si>
  <si>
    <t xml:space="preserve">            Income Tax Expense Continuing Operations</t>
  </si>
  <si>
    <t xml:space="preserve">        Income Tax Expense Continuing Operations</t>
  </si>
  <si>
    <t>ProfitLoss</t>
  </si>
  <si>
    <t>Profit Loss</t>
  </si>
  <si>
    <t xml:space="preserve">        Profit Loss</t>
  </si>
  <si>
    <t xml:space="preserve">            Profit Loss</t>
  </si>
  <si>
    <t>ProfitLossAttributableToOwnersOfParent</t>
  </si>
  <si>
    <t>Profit Loss Attributable To Owners Of Parent</t>
  </si>
  <si>
    <t xml:space="preserve">        Profit Loss Attributable To Owners Of Parent</t>
  </si>
  <si>
    <t xml:space="preserve">            Profit Loss Attributable To Owners Of Parent</t>
  </si>
  <si>
    <t>ProfitLossAttributableToNoncontrollingInterests</t>
  </si>
  <si>
    <t>Profit Loss Attributable To Noncontrolling Interests</t>
  </si>
  <si>
    <t xml:space="preserve">        Profit Loss Attributable To Noncontrolling Interests</t>
  </si>
  <si>
    <t xml:space="preserve">            Profit Loss Attributable To Noncontrolling Interests</t>
  </si>
  <si>
    <t>BasicEarningsLossPerShare</t>
  </si>
  <si>
    <t>Basic Earnings Loss Per Share</t>
  </si>
  <si>
    <t xml:space="preserve">        Basic Earnings Loss Per Share</t>
  </si>
  <si>
    <t xml:space="preserve">            Basic Earnings Loss Per Share</t>
  </si>
  <si>
    <t>DilutedEarningsLossPerShare</t>
  </si>
  <si>
    <t>Diluted Earnings Loss Per Share</t>
  </si>
  <si>
    <t xml:space="preserve">            Diluted Earnings Loss Per Share</t>
  </si>
  <si>
    <t xml:space="preserve">        Diluted Earnings Loss Per Share</t>
  </si>
  <si>
    <t>s2</t>
  </si>
  <si>
    <t>Comprehensive Income</t>
  </si>
  <si>
    <t>OtherComprehensiveIncomeBeforeTaxGainsLossesOnRemeasurementsOfDefinedBenefitPlans</t>
  </si>
  <si>
    <t>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</si>
  <si>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</si>
  <si>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</si>
  <si>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IncomeTaxRelatingToComponentsOfOtherComprehensiveIncomeThatWillNotBeReclassifiedToProfitOrLoss</t>
  </si>
  <si>
    <t>Income Tax Relating To Components Of Other Comprehensive Income That Will Not Be Reclassified To Profit Or Loss</t>
  </si>
  <si>
    <t xml:space="preserve">        Income Tax Relating To Components Of Other Comprehensive Income That Will Not Be Reclassified To Profit Or Loss</t>
  </si>
  <si>
    <t xml:space="preserve">            Income Tax Relating To Components Of Other Comprehensive Income That Will Not Be Reclassified To Profit Or Loss</t>
  </si>
  <si>
    <t>OtherComprehensiveIncomeBeforeTaxExchangeDifferencesOnTranslation</t>
  </si>
  <si>
    <t>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</si>
  <si>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</si>
  <si>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</si>
  <si>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OtherComprehensiveIncomeBeforeTaxHedgesOfNetInvestmentsInForeignOperations</t>
  </si>
  <si>
    <t>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</si>
  <si>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</si>
  <si>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</si>
  <si>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GainsLossesOnCashFlowHedgesBeforeTax</t>
  </si>
  <si>
    <t>Gains Losses On Cash Flow Hedges Before Tax</t>
  </si>
  <si>
    <t xml:space="preserve">            Gains Losses On Cash Flow Hedges Before Tax</t>
  </si>
  <si>
    <t xml:space="preserve">        Gains Losses On Cash Flow Hedges Before Tax</t>
  </si>
  <si>
    <t>IncomeTaxRelatingToComponentsOfOtherComprehensiveIncomeThatWillBeReclassifiedToProfitOrLoss</t>
  </si>
  <si>
    <t>Income Tax Relating To Components Of Other Comprehensive Income That Will Be Reclassified To Profit Or Loss</t>
  </si>
  <si>
    <t xml:space="preserve">            Income Tax Relating To Components Of Other Comprehensive Income That Will Be Reclassified To Profit Or Loss</t>
  </si>
  <si>
    <t xml:space="preserve">        Income Tax Relating To Components Of Other Comprehensive Income That Will Be Reclassified To Profit Or Loss</t>
  </si>
  <si>
    <t>OtherComprehensiveIncome</t>
  </si>
  <si>
    <t>Other Comprehensive Income</t>
  </si>
  <si>
    <t xml:space="preserve">            Other Comprehensive Income</t>
  </si>
  <si>
    <t xml:space="preserve">        Other Comprehensive Income</t>
  </si>
  <si>
    <t>ComprehensiveIncome</t>
  </si>
  <si>
    <t xml:space="preserve">            Comprehensive Income</t>
  </si>
  <si>
    <t xml:space="preserve">        Comprehensive Income</t>
  </si>
  <si>
    <t>ComprehensiveIncomeAttributableToOwnersOfParent</t>
  </si>
  <si>
    <t>Comprehensive Income Attributable To Owners Of Parent</t>
  </si>
  <si>
    <t xml:space="preserve">            Comprehensive Income Attributable To Owners Of Parent</t>
  </si>
  <si>
    <t xml:space="preserve">        Comprehensive Income Attributable To Owners Of Parent</t>
  </si>
  <si>
    <t>ComprehensiveIncomeAttributableToNoncontrollingInterests</t>
  </si>
  <si>
    <t>Comprehensive Income Attributable To Noncontrolling Interests</t>
  </si>
  <si>
    <t xml:space="preserve">        Comprehensive Income Attributable To Noncontrolling Interests</t>
  </si>
  <si>
    <t xml:space="preserve">            Comprehensive Income Attributable To Noncontrolling Interests</t>
  </si>
  <si>
    <t>IntangibleAssetsAndGoodwill</t>
  </si>
  <si>
    <t>s3</t>
  </si>
  <si>
    <t>Balance Sheet</t>
  </si>
  <si>
    <t>Intangible Assets And Goodwill</t>
  </si>
  <si>
    <t xml:space="preserve">            Intangible Assets And Goodwill</t>
  </si>
  <si>
    <t xml:space="preserve">        Intangible Assets And Goodwill</t>
  </si>
  <si>
    <t>PropertyPlantAndEquipmentIncludingRightofuseAssets</t>
  </si>
  <si>
    <t>Property Plant And Equipment Including Rightofuse Assets</t>
  </si>
  <si>
    <t xml:space="preserve">        Property Plant And Equipment Including Rightofuse Assets</t>
  </si>
  <si>
    <t xml:space="preserve">            Property Plant And Equipment Including Rightofuse Assets</t>
  </si>
  <si>
    <t>InvestmentAccountedForUsingEquityMethod</t>
  </si>
  <si>
    <t>Investment Accounted For Using Equity Method</t>
  </si>
  <si>
    <t xml:space="preserve">        Investment Accounted For Using Equity Method</t>
  </si>
  <si>
    <t xml:space="preserve">            Investment Accounted For Using Equity Method</t>
  </si>
  <si>
    <t>OtherNoncurrentFinancialAssets</t>
  </si>
  <si>
    <t>Other Noncurrent Financial Assets</t>
  </si>
  <si>
    <t xml:space="preserve">        Other Noncurrent Financial Assets</t>
  </si>
  <si>
    <t xml:space="preserve">            Other Noncurrent Financial Assets</t>
  </si>
  <si>
    <t>DeferredTaxAssets</t>
  </si>
  <si>
    <t>Deferred Tax Assets</t>
  </si>
  <si>
    <t xml:space="preserve">        Deferred Tax Assets</t>
  </si>
  <si>
    <t xml:space="preserve">            Deferred Tax Assets</t>
  </si>
  <si>
    <t>OtherNoncurrentReceivables</t>
  </si>
  <si>
    <t>Other Noncurrent Receivables</t>
  </si>
  <si>
    <t xml:space="preserve">        Other Noncurrent Receivables</t>
  </si>
  <si>
    <t xml:space="preserve">            Other Noncurrent Receivables</t>
  </si>
  <si>
    <t>NoncurrentDerivativeFinancialAssets</t>
  </si>
  <si>
    <t>Noncurrent Derivative Financial Assets</t>
  </si>
  <si>
    <t xml:space="preserve">            Noncurrent Derivative Financial Assets</t>
  </si>
  <si>
    <t xml:space="preserve">        Noncurrent Derivative Financial Assets</t>
  </si>
  <si>
    <t>OtherNoncurrentAssets</t>
  </si>
  <si>
    <t>Other Noncurrent Assets</t>
  </si>
  <si>
    <t xml:space="preserve">            Other Noncurrent Assets</t>
  </si>
  <si>
    <t xml:space="preserve">        Other Noncurrent Assets</t>
  </si>
  <si>
    <t>NoncurrentAssets</t>
  </si>
  <si>
    <t>Noncurrent Assets</t>
  </si>
  <si>
    <t xml:space="preserve">            Noncurrent Assets</t>
  </si>
  <si>
    <t xml:space="preserve">        Noncurrent Assets</t>
  </si>
  <si>
    <t>Inventories</t>
  </si>
  <si>
    <t xml:space="preserve">        Inventories</t>
  </si>
  <si>
    <t xml:space="preserve">            Inventories</t>
  </si>
  <si>
    <t>CurrentTradeReceivables</t>
  </si>
  <si>
    <t>Current Trade Receivables</t>
  </si>
  <si>
    <t xml:space="preserve">        Current Trade Receivables</t>
  </si>
  <si>
    <t xml:space="preserve">            Current Trade Receivables</t>
  </si>
  <si>
    <t>CurrentTaxAssetsCurrent</t>
  </si>
  <si>
    <t>Current Tax Assets Current</t>
  </si>
  <si>
    <t xml:space="preserve">        Current Tax Assets Current</t>
  </si>
  <si>
    <t xml:space="preserve">            Current Tax Assets Current</t>
  </si>
  <si>
    <t>CurrentDerivativeFinancialAssets</t>
  </si>
  <si>
    <t>Current Derivative Financial Assets</t>
  </si>
  <si>
    <t xml:space="preserve">            Current Derivative Financial Assets</t>
  </si>
  <si>
    <t xml:space="preserve">        Current Derivative Financial Assets</t>
  </si>
  <si>
    <t>OtherCurrentAssets</t>
  </si>
  <si>
    <t>Other Current Assets</t>
  </si>
  <si>
    <t xml:space="preserve">            Other Current Assets</t>
  </si>
  <si>
    <t xml:space="preserve">        Other Current Assets</t>
  </si>
  <si>
    <t>ShorttermDepositsNotClassifiedAsCashEquivalents</t>
  </si>
  <si>
    <t>Shortterm Deposits Not Classified As Cash Equivalents</t>
  </si>
  <si>
    <t xml:space="preserve">        Shortterm Deposits Not Classified As Cash Equivalents</t>
  </si>
  <si>
    <t xml:space="preserve">            Shortterm Deposits Not Classified As Cash Equivalents</t>
  </si>
  <si>
    <t>CashAndCashEquivalents</t>
  </si>
  <si>
    <t>Cash And Cash Equivalents</t>
  </si>
  <si>
    <t xml:space="preserve">        Cash And Cash Equivalents</t>
  </si>
  <si>
    <t xml:space="preserve">            Cash And Cash Equivalents</t>
  </si>
  <si>
    <t>CurrentAssets</t>
  </si>
  <si>
    <t>Current Assets</t>
  </si>
  <si>
    <t xml:space="preserve">            Current Assets</t>
  </si>
  <si>
    <t xml:space="preserve">        Current Assets</t>
  </si>
  <si>
    <t>Assets</t>
  </si>
  <si>
    <t xml:space="preserve">            Assets</t>
  </si>
  <si>
    <t xml:space="preserve">        Assets</t>
  </si>
  <si>
    <t>EquityAttributableToOwnersOfParent</t>
  </si>
  <si>
    <t>Equity Attributable To Owners Of Parent</t>
  </si>
  <si>
    <t xml:space="preserve">            Equity Attributable To Owners Of Parent</t>
  </si>
  <si>
    <t xml:space="preserve">        Equity Attributable To Owners Of Parent</t>
  </si>
  <si>
    <t>NoncontrollingInterests</t>
  </si>
  <si>
    <t>Noncontrolling Interests</t>
  </si>
  <si>
    <t xml:space="preserve">            Noncontrolling Interests</t>
  </si>
  <si>
    <t xml:space="preserve">        Noncontrolling Interests</t>
  </si>
  <si>
    <t>Equity</t>
  </si>
  <si>
    <t xml:space="preserve">        Equity</t>
  </si>
  <si>
    <t xml:space="preserve">            Equity</t>
  </si>
  <si>
    <t>NoncurrentProvisionsForEmployeeBenefits</t>
  </si>
  <si>
    <t>Noncurrent Provisions For Employee Benefits</t>
  </si>
  <si>
    <t xml:space="preserve">        Noncurrent Provisions For Employee Benefits</t>
  </si>
  <si>
    <t xml:space="preserve">            Noncurrent Provisions For Employee Benefits</t>
  </si>
  <si>
    <t>DeferredTaxLiabilities</t>
  </si>
  <si>
    <t>Deferred Tax Liabilities</t>
  </si>
  <si>
    <t xml:space="preserve">        Deferred Tax Liabilities</t>
  </si>
  <si>
    <t xml:space="preserve">            Deferred Tax Liabilities</t>
  </si>
  <si>
    <t>LongtermMiscellaneousOtherProvisions</t>
  </si>
  <si>
    <t>Longterm Miscellaneous Other Provisions</t>
  </si>
  <si>
    <t xml:space="preserve">            Longterm Miscellaneous Other Provisions</t>
  </si>
  <si>
    <t xml:space="preserve">        Longterm Miscellaneous Other Provisions</t>
  </si>
  <si>
    <t>NoncurrentPortionOfNoncurrentLoansReceived</t>
  </si>
  <si>
    <t>Noncurrent Portion Of Noncurrent Loans Received</t>
  </si>
  <si>
    <t xml:space="preserve">            Noncurrent Portion Of Noncurrent Loans Received</t>
  </si>
  <si>
    <t xml:space="preserve">        Noncurrent Portion Of Noncurrent Loans Received</t>
  </si>
  <si>
    <t>NoncurrentPortionOfNoncurrentBondsIssued</t>
  </si>
  <si>
    <t>Noncurrent Portion Of Noncurrent Bonds Issued</t>
  </si>
  <si>
    <t xml:space="preserve">        Noncurrent Portion Of Noncurrent Bonds Issued</t>
  </si>
  <si>
    <t xml:space="preserve">            Noncurrent Portion Of Noncurrent Bonds Issued</t>
  </si>
  <si>
    <t>NoncurrentContractLiabilities</t>
  </si>
  <si>
    <t>Noncurrent Contract Liabilities</t>
  </si>
  <si>
    <t xml:space="preserve">            Noncurrent Contract Liabilities</t>
  </si>
  <si>
    <t xml:space="preserve">        Noncurrent Contract Liabilities</t>
  </si>
  <si>
    <t>OtherNonCurrentLiabilitiesInterestBearing</t>
  </si>
  <si>
    <t>Other Non Current Liabilities Interest Bearing</t>
  </si>
  <si>
    <t xml:space="preserve">            Other Non Current Liabilities Interest Bearing</t>
  </si>
  <si>
    <t xml:space="preserve">        Other Non Current Liabilities Interest Bearing</t>
  </si>
  <si>
    <t>NoncurrentDerivativeFinancialLiabilities</t>
  </si>
  <si>
    <t>Noncurrent Derivative Financial Liabilities</t>
  </si>
  <si>
    <t xml:space="preserve">        Noncurrent Derivative Financial Liabilities</t>
  </si>
  <si>
    <t xml:space="preserve">            Noncurrent Derivative Financial Liabilities</t>
  </si>
  <si>
    <t>OtherNonCurrentLiabilitiesNonInterestBearing</t>
  </si>
  <si>
    <t>Other Non Current Liabilities Non Interest Bearing</t>
  </si>
  <si>
    <t xml:space="preserve">            Other Non Current Liabilities Non Interest Bearing</t>
  </si>
  <si>
    <t xml:space="preserve">        Other Non Current Liabilities Non Interest Bearing</t>
  </si>
  <si>
    <t>NoncurrentLiabilities</t>
  </si>
  <si>
    <t>Noncurrent Liabilities</t>
  </si>
  <si>
    <t xml:space="preserve">        Noncurrent Liabilities</t>
  </si>
  <si>
    <t xml:space="preserve">            Noncurrent Liabilities</t>
  </si>
  <si>
    <t>CurrentProvisions</t>
  </si>
  <si>
    <t>Current Provisions</t>
  </si>
  <si>
    <t xml:space="preserve">        Current Provisions</t>
  </si>
  <si>
    <t xml:space="preserve">            Current Provisions</t>
  </si>
  <si>
    <t>CurrentLoansReceivedAndCurrentPortionOfNoncurrentLoansReceived</t>
  </si>
  <si>
    <t>Current Loans Received And Current Portion Of Noncurrent Loans Received</t>
  </si>
  <si>
    <t xml:space="preserve">        Current Loans Received And Current Portion Of Noncurrent Loans Received</t>
  </si>
  <si>
    <t xml:space="preserve">            Current Loans Received And Current Portion Of Noncurrent Loans Received</t>
  </si>
  <si>
    <t>CurrentBondsIssuedAndCurrentPortionOfNoncurrentBondsIssued</t>
  </si>
  <si>
    <t>Current Bonds Issued And Current Portion Of Noncurrent Bonds Issued</t>
  </si>
  <si>
    <t xml:space="preserve">            Current Bonds Issued And Current Portion Of Noncurrent Bonds Issued</t>
  </si>
  <si>
    <t xml:space="preserve">        Current Bonds Issued And Current Portion Of Noncurrent Bonds Issued</t>
  </si>
  <si>
    <t>CurrentContractLiabilities</t>
  </si>
  <si>
    <t>Current Contract Liabilities</t>
  </si>
  <si>
    <t xml:space="preserve">            Current Contract Liabilities</t>
  </si>
  <si>
    <t xml:space="preserve">        Current Contract Liabilities</t>
  </si>
  <si>
    <t>TradeAndOtherCurrentPayablesToTradeSuppliers</t>
  </si>
  <si>
    <t>Trade And Other Current Payables To Trade Suppliers</t>
  </si>
  <si>
    <t xml:space="preserve">        Trade And Other Current Payables To Trade Suppliers</t>
  </si>
  <si>
    <t xml:space="preserve">            Trade And Other Current Payables To Trade Suppliers</t>
  </si>
  <si>
    <t>CurrentTaxLiabilitiesCurrent</t>
  </si>
  <si>
    <t>Current Tax Liabilities Current</t>
  </si>
  <si>
    <t xml:space="preserve">            Current Tax Liabilities Current</t>
  </si>
  <si>
    <t xml:space="preserve">        Current Tax Liabilities Current</t>
  </si>
  <si>
    <t>OtherCurrentLiabilitiesInterestBearing</t>
  </si>
  <si>
    <t>Other Current Liabilities Interest Bearing</t>
  </si>
  <si>
    <t xml:space="preserve">            Other Current Liabilities Interest Bearing</t>
  </si>
  <si>
    <t xml:space="preserve">        Other Current Liabilities Interest Bearing</t>
  </si>
  <si>
    <t>CurrentDerivativeFinancialLiabilities</t>
  </si>
  <si>
    <t>Current Derivative Financial Liabilities</t>
  </si>
  <si>
    <t xml:space="preserve">            Current Derivative Financial Liabilities</t>
  </si>
  <si>
    <t xml:space="preserve">        Current Derivative Financial Liabilities</t>
  </si>
  <si>
    <t>OtherCurrentLiabilitiesNonInterestBearing</t>
  </si>
  <si>
    <t>Other Current Liabilities Non Interest Bearing</t>
  </si>
  <si>
    <t xml:space="preserve">            Other Current Liabilities Non Interest Bearing</t>
  </si>
  <si>
    <t xml:space="preserve">        Other Current Liabilities Non Interest Bearing</t>
  </si>
  <si>
    <t>CurrentLiabilities</t>
  </si>
  <si>
    <t>Current Liabilities</t>
  </si>
  <si>
    <t xml:space="preserve">        Current Liabilities</t>
  </si>
  <si>
    <t xml:space="preserve">            Current Liabilities</t>
  </si>
  <si>
    <t>EquityAndLiabilities</t>
  </si>
  <si>
    <t>Equity And Liabilities</t>
  </si>
  <si>
    <t xml:space="preserve">        Equity And Liabilities</t>
  </si>
  <si>
    <t xml:space="preserve">            Equity And Liabilities</t>
  </si>
  <si>
    <t>s4</t>
  </si>
  <si>
    <t>Equity Changes</t>
  </si>
  <si>
    <t xml:space="preserve">                Equity</t>
  </si>
  <si>
    <t xml:space="preserve">                                        Equity</t>
  </si>
  <si>
    <t xml:space="preserve">                        Equity</t>
  </si>
  <si>
    <t xml:space="preserve">                    Equity</t>
  </si>
  <si>
    <t xml:space="preserve">                                Equity</t>
  </si>
  <si>
    <t xml:space="preserve">                                    Equity</t>
  </si>
  <si>
    <t xml:space="preserve">                            Equity</t>
  </si>
  <si>
    <t xml:space="preserve">                        Profit Loss</t>
  </si>
  <si>
    <t xml:space="preserve">                                        Profit Loss</t>
  </si>
  <si>
    <t xml:space="preserve">                                Profit Loss</t>
  </si>
  <si>
    <t xml:space="preserve">                                    Profit Loss</t>
  </si>
  <si>
    <t xml:space="preserve">                            Profit Loss</t>
  </si>
  <si>
    <t xml:space="preserve">                Profit Loss</t>
  </si>
  <si>
    <t xml:space="preserve">                    Profit Loss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</si>
  <si>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</si>
  <si>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</si>
  <si>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</si>
  <si>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</si>
  <si>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</si>
  <si>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</si>
  <si>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Gains Losses On Remeasurements Of Defined Benefit Plans</t>
  </si>
  <si>
    <t xml:space="preserve">                    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</si>
  <si>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</si>
  <si>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</si>
  <si>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</si>
  <si>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</si>
  <si>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</si>
  <si>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 xml:space="preserve">                                Other Comprehensive Income Before Tax Exchange Differences On Translation</t>
  </si>
  <si>
    <t xml:space="preserve">                                        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</si>
  <si>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</si>
  <si>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</si>
  <si>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</si>
  <si>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</si>
  <si>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</si>
  <si>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 xml:space="preserve">                                    Other Comprehensive Income Before Tax Hedges Of Net Investments In Foreign Operations</t>
  </si>
  <si>
    <t xml:space="preserve">                Gains Losses On Cash Flow Hedges Before Tax</t>
  </si>
  <si>
    <t xml:space="preserve">                                    Gains Losses On Cash Flow Hedges Before Tax</t>
  </si>
  <si>
    <t xml:space="preserve">                    Gains Losses On Cash Flow Hedges Before Tax</t>
  </si>
  <si>
    <t xml:space="preserve">                        Gains Losses On Cash Flow Hedges Before Tax</t>
  </si>
  <si>
    <t xml:space="preserve">                                        Gains Losses On Cash Flow Hedges Before Tax</t>
  </si>
  <si>
    <t xml:space="preserve">                            Gains Losses On Cash Flow Hedges Before Tax</t>
  </si>
  <si>
    <t xml:space="preserve">                                Gains Losses On Cash Flow Hedges Before Tax</t>
  </si>
  <si>
    <t>IncomeTaxRelatingToComponentsOfOtherComprehensiveIncome</t>
  </si>
  <si>
    <t>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</si>
  <si>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</si>
  <si>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</si>
  <si>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</si>
  <si>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</si>
  <si>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</si>
  <si>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</si>
  <si>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</si>
  <si>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</si>
  <si>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Income Tax Relating To Components Of Other Comprehensive Income</t>
  </si>
  <si>
    <t xml:space="preserve">                Other Comprehensive Income</t>
  </si>
  <si>
    <t xml:space="preserve">                                    Other Comprehensive Income</t>
  </si>
  <si>
    <t xml:space="preserve">                                        Other Comprehensive Income</t>
  </si>
  <si>
    <t xml:space="preserve">                        Other Comprehensive Income</t>
  </si>
  <si>
    <t xml:space="preserve">                    Other Comprehensive Income</t>
  </si>
  <si>
    <t xml:space="preserve">                            Other Comprehensive Income</t>
  </si>
  <si>
    <t xml:space="preserve">                                Other Comprehensive Income</t>
  </si>
  <si>
    <t xml:space="preserve">                Comprehensive Income</t>
  </si>
  <si>
    <t xml:space="preserve">                            Comprehensive Income</t>
  </si>
  <si>
    <t xml:space="preserve">                    Comprehensive Income</t>
  </si>
  <si>
    <t xml:space="preserve">                                        Comprehensive Income</t>
  </si>
  <si>
    <t xml:space="preserve">                        Comprehensive Income</t>
  </si>
  <si>
    <t xml:space="preserve">                                Comprehensive Income</t>
  </si>
  <si>
    <t xml:space="preserve">                                    Comprehensive Income</t>
  </si>
  <si>
    <t>IncreaseDecreaseThroughOtherContributionsByOwnersNonControllingInterests</t>
  </si>
  <si>
    <t>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</si>
  <si>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</si>
  <si>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</si>
  <si>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</si>
  <si>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</si>
  <si>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</si>
  <si>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</si>
  <si>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</si>
  <si>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</si>
  <si>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 xml:space="preserve">        Increase Decrease Through Other Contributions By Owners Non Controlling Interests</t>
  </si>
  <si>
    <t>IncreaseDecreaseThroughAcquisitionOfSubsidiary</t>
  </si>
  <si>
    <t>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</si>
  <si>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</si>
  <si>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</si>
  <si>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</si>
  <si>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</si>
  <si>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</si>
  <si>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</si>
  <si>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</si>
  <si>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</si>
  <si>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 xml:space="preserve">                                    Increase Decrease Through Acquisition Of Subsidiary</t>
  </si>
  <si>
    <t>DividendsPaid</t>
  </si>
  <si>
    <t>Dividends Paid</t>
  </si>
  <si>
    <t xml:space="preserve">                                Dividends Paid</t>
  </si>
  <si>
    <t xml:space="preserve">            Dividends Paid</t>
  </si>
  <si>
    <t xml:space="preserve">                                        Dividends Paid</t>
  </si>
  <si>
    <t xml:space="preserve">        Dividends Paid</t>
  </si>
  <si>
    <t xml:space="preserve">                                    Dividends Paid</t>
  </si>
  <si>
    <t xml:space="preserve">                            Dividends Paid</t>
  </si>
  <si>
    <t xml:space="preserve">                        Dividends Paid</t>
  </si>
  <si>
    <t xml:space="preserve">                    Dividends Paid</t>
  </si>
  <si>
    <t xml:space="preserve">                Dividends Paid</t>
  </si>
  <si>
    <t>BonusIssue</t>
  </si>
  <si>
    <t>Bonus Issue</t>
  </si>
  <si>
    <t xml:space="preserve">                                    Bonus Issue</t>
  </si>
  <si>
    <t xml:space="preserve">            Bonus Issue</t>
  </si>
  <si>
    <t xml:space="preserve">                    Bonus Issue</t>
  </si>
  <si>
    <t xml:space="preserve">                Bonus Issue</t>
  </si>
  <si>
    <t xml:space="preserve">        Bonus Issue</t>
  </si>
  <si>
    <t xml:space="preserve">                            Bonus Issue</t>
  </si>
  <si>
    <t xml:space="preserve">                        Bonus Issue</t>
  </si>
  <si>
    <t xml:space="preserve">                                        Bonus Issue</t>
  </si>
  <si>
    <t xml:space="preserve">                                Bonus Issue</t>
  </si>
  <si>
    <t>PurchaseOfTreasuryShares</t>
  </si>
  <si>
    <t>Purchase Of Treasury Shares</t>
  </si>
  <si>
    <t xml:space="preserve">                                        Purchase Of Treasury Shares</t>
  </si>
  <si>
    <t xml:space="preserve">                            Purchase Of Treasury Shares</t>
  </si>
  <si>
    <t xml:space="preserve">            Purchase Of Treasury Shares</t>
  </si>
  <si>
    <t xml:space="preserve">        Purchase Of Treasury Shares</t>
  </si>
  <si>
    <t xml:space="preserve">                        Purchase Of Treasury Shares</t>
  </si>
  <si>
    <t xml:space="preserve">                    Purchase Of Treasury Shares</t>
  </si>
  <si>
    <t xml:space="preserve">                                    Purchase Of Treasury Shares</t>
  </si>
  <si>
    <t xml:space="preserve">                                Purchase Of Treasury Shares</t>
  </si>
  <si>
    <t xml:space="preserve">                Purchase Of Treasury Shares</t>
  </si>
  <si>
    <t>SaleOrIssueOfTreasuryShares</t>
  </si>
  <si>
    <t>Sale Or Issue Of Treasury Shares</t>
  </si>
  <si>
    <t xml:space="preserve">                                Sale Or Issue Of Treasury Shares</t>
  </si>
  <si>
    <t xml:space="preserve">                Sale Or Issue Of Treasury Shares</t>
  </si>
  <si>
    <t xml:space="preserve">                    Sale Or Issue Of Treasury Shares</t>
  </si>
  <si>
    <t xml:space="preserve">                            Sale Or Issue Of Treasury Shares</t>
  </si>
  <si>
    <t xml:space="preserve">                                        Sale Or Issue Of Treasury Shares</t>
  </si>
  <si>
    <t xml:space="preserve">        Sale Or Issue Of Treasury Shares</t>
  </si>
  <si>
    <t xml:space="preserve">            Sale Or Issue Of Treasury Shares</t>
  </si>
  <si>
    <t xml:space="preserve">                                    Sale Or Issue Of Treasury Shares</t>
  </si>
  <si>
    <t xml:space="preserve">                        Sale Or Issue Of Treasury Shares</t>
  </si>
  <si>
    <t>IncreaseDecreaseThroughSharebasedPaymentTransactions</t>
  </si>
  <si>
    <t>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</si>
  <si>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</si>
  <si>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</si>
  <si>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</si>
  <si>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</si>
  <si>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</si>
  <si>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</si>
  <si>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</si>
  <si>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</si>
  <si>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 xml:space="preserve">            Increase Decrease Through Sharebased Payment Transactions</t>
  </si>
  <si>
    <t>IncreaseDecreaseThroughTransactionsWithOwners</t>
  </si>
  <si>
    <t>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</si>
  <si>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</si>
  <si>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</si>
  <si>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</si>
  <si>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</si>
  <si>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</si>
  <si>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</si>
  <si>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</si>
  <si>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</si>
  <si>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 xml:space="preserve">                                    Increase Decrease Through Transactions With Owners</t>
  </si>
  <si>
    <t>IncreaseDecreaseThroughDivestmentsUnderCommonControl</t>
  </si>
  <si>
    <t>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</si>
  <si>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</si>
  <si>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</si>
  <si>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</si>
  <si>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</si>
  <si>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</si>
  <si>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</si>
  <si>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</si>
  <si>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</si>
  <si>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 xml:space="preserve">                                        Increase Decrease Through Divestments Under Common Control</t>
  </si>
  <si>
    <t>s5</t>
  </si>
  <si>
    <t>Cash Flow</t>
  </si>
  <si>
    <t>AdjustmentsForDepreciationAndAmortisationExpense</t>
  </si>
  <si>
    <t>Adjustments For Depreciation And Amortisation Expense</t>
  </si>
  <si>
    <t xml:space="preserve">            Adjustments For Depreciation And Amortisation Expense</t>
  </si>
  <si>
    <t xml:space="preserve">        Adjustments For Depreciation And Amortisation Expense</t>
  </si>
  <si>
    <t>DividendsReceivedClassifiedAsOperatingActivities</t>
  </si>
  <si>
    <t>Dividends Received Classified As Operating Activities</t>
  </si>
  <si>
    <t xml:space="preserve">        Dividends Received Classified As Operating Activities</t>
  </si>
  <si>
    <t xml:space="preserve">            Dividends Received Classified As Operating Activities</t>
  </si>
  <si>
    <t>InterestReceivedClassifiedAsOperatingActivities</t>
  </si>
  <si>
    <t>Interest Received Classified As Operating Activities</t>
  </si>
  <si>
    <t xml:space="preserve">            Interest Received Classified As Operating Activities</t>
  </si>
  <si>
    <t xml:space="preserve">        Interest Received Classified As Operating Activities</t>
  </si>
  <si>
    <t>InterestPaidClassifiedAsOperatingActivities</t>
  </si>
  <si>
    <t>Interest Paid Classified As Operating Activities</t>
  </si>
  <si>
    <t xml:space="preserve">            Interest Paid Classified As Operating Activities</t>
  </si>
  <si>
    <t xml:space="preserve">        Interest Paid Classified As Operating Activities</t>
  </si>
  <si>
    <t>FinanceCostsPaidAndFinanceIncomeReceivedClassifiedAsOperatingActivities</t>
  </si>
  <si>
    <t>Finance Costs Paid And Finance Income Received Classified As Operating Activities</t>
  </si>
  <si>
    <t xml:space="preserve">        Finance Costs Paid And Finance Income Received Classified As Operating Activities</t>
  </si>
  <si>
    <t xml:space="preserve">            Finance Costs Paid And Finance Income Received Classified As Operating Activities</t>
  </si>
  <si>
    <t>IncomeTaxesPaidClassifiedAsOperatingActivities</t>
  </si>
  <si>
    <t>Income Taxes Paid Classified As Operating Activities</t>
  </si>
  <si>
    <t xml:space="preserve">            Income Taxes Paid Classified As Operating Activities</t>
  </si>
  <si>
    <t xml:space="preserve">        Income Taxes Paid Classified As Operating Activities</t>
  </si>
  <si>
    <t>OtherAdjustmentsForNoncashItems</t>
  </si>
  <si>
    <t>Other Adjustments For Noncash Items</t>
  </si>
  <si>
    <t xml:space="preserve">        Other Adjustments For Noncash Items</t>
  </si>
  <si>
    <t xml:space="preserve">            Other Adjustments For Noncash Items</t>
  </si>
  <si>
    <t>CashFlowsFromUsedInOperationsBeforeChangesInWorkingCapital</t>
  </si>
  <si>
    <t>Cash Flows From Used In Operations Before Changes In Working Capital</t>
  </si>
  <si>
    <t xml:space="preserve">        Cash Flows From Used In Operations Before Changes In Working Capital</t>
  </si>
  <si>
    <t xml:space="preserve">            Cash Flows From Used In Operations Before Changes In Working Capital</t>
  </si>
  <si>
    <t>AdjustmentsForDecreaseIncreaseInInventories</t>
  </si>
  <si>
    <t>Adjustments For Decrease Increase In Inventories</t>
  </si>
  <si>
    <t xml:space="preserve">            Adjustments For Decrease Increase In Inventories</t>
  </si>
  <si>
    <t xml:space="preserve">        Adjustments For Decrease Increase In Inventories</t>
  </si>
  <si>
    <t>AdjustmentsForDecreaseIncreaseInTradeAccountReceivable</t>
  </si>
  <si>
    <t>Adjustments For Decrease Increase In Trade Account Receivable</t>
  </si>
  <si>
    <t xml:space="preserve">            Adjustments For Decrease Increase In Trade Account Receivable</t>
  </si>
  <si>
    <t xml:space="preserve">        Adjustments For Decrease Increase In Trade Account Receivable</t>
  </si>
  <si>
    <t>AdjustmentsForIncreaseDecreaseInTradeAccountPayable</t>
  </si>
  <si>
    <t>Adjustments For Increase Decrease In Trade Account Payable</t>
  </si>
  <si>
    <t xml:space="preserve">            Adjustments For Increase Decrease In Trade Account Payable</t>
  </si>
  <si>
    <t xml:space="preserve">        Adjustments For Increase Decrease In Trade Account Payable</t>
  </si>
  <si>
    <t>AdjustmentsForProvisions</t>
  </si>
  <si>
    <t>Adjustments For Provisions</t>
  </si>
  <si>
    <t xml:space="preserve">            Adjustments For Provisions</t>
  </si>
  <si>
    <t xml:space="preserve">        Adjustments For Provisions</t>
  </si>
  <si>
    <t>AdjustmentsForIncreaseDecreaseInContractLiabilities</t>
  </si>
  <si>
    <t>Adjustments For Increase Decrease In Contract Liabilities</t>
  </si>
  <si>
    <t xml:space="preserve">        Adjustments For Increase Decrease In Contract Liabilities</t>
  </si>
  <si>
    <t xml:space="preserve">            Adjustments For Increase Decrease In Contract Liabilities</t>
  </si>
  <si>
    <t>IncreaseDecreaseInOtherWorkingCapital</t>
  </si>
  <si>
    <t>Increase Decrease In Other Working Capital</t>
  </si>
  <si>
    <t xml:space="preserve">            Increase Decrease In Other Working Capital</t>
  </si>
  <si>
    <t xml:space="preserve">        Increase Decrease In Other Working Capital</t>
  </si>
  <si>
    <t>IncreaseDecreaseInWorkingCapital</t>
  </si>
  <si>
    <t>Increase Decrease In Working Capital</t>
  </si>
  <si>
    <t xml:space="preserve">            Increase Decrease In Working Capital</t>
  </si>
  <si>
    <t xml:space="preserve">        Increase Decrease In Working Capital</t>
  </si>
  <si>
    <t>CashFlowsFromUsedInOperatingActivities</t>
  </si>
  <si>
    <t>Cash Flows From Used In Operating Activities</t>
  </si>
  <si>
    <t xml:space="preserve">            Cash Flows From Used In Operating Activities</t>
  </si>
  <si>
    <t xml:space="preserve">        Cash Flows From Used In Operating Activities</t>
  </si>
  <si>
    <t>InvestmentsInSharesAndParticipationsClassifiedAsInvestingActivities</t>
  </si>
  <si>
    <t>Investments In Shares And Participations Classified As Investing Activities</t>
  </si>
  <si>
    <t xml:space="preserve">            Investments In Shares And Participations Classified As Investing Activities</t>
  </si>
  <si>
    <t xml:space="preserve">        Investments In Shares And Participations Classified As Investing Activities</t>
  </si>
  <si>
    <t>DivestmentsInSharesAndParticipationsClassifiedAsInvestingActivities</t>
  </si>
  <si>
    <t>Divestments In Shares And Participations Classified As Investing Activities</t>
  </si>
  <si>
    <t xml:space="preserve">            Divestments In Shares And Participations Classified As Investing Activities</t>
  </si>
  <si>
    <t xml:space="preserve">        Divestments In Shares And Participations Classified As Investing Activities</t>
  </si>
  <si>
    <t>CashAdvancesAndLoansMadeToRelatedParties</t>
  </si>
  <si>
    <t>Cash Advances And Loans Made To Related Parties</t>
  </si>
  <si>
    <t xml:space="preserve">            Cash Advances And Loans Made To Related Parties</t>
  </si>
  <si>
    <t xml:space="preserve">        Cash Advances And Loans Made To Related Parties</t>
  </si>
  <si>
    <t>CashReceiptsFromRepaymentOfAdvancesAndLoansMadeToRelatedParties</t>
  </si>
  <si>
    <t>Cash Receipts From Repayment Of Advances And Loans Made To Related Parties</t>
  </si>
  <si>
    <t xml:space="preserve">            Cash Receipts From Repayment Of Advances And Loans Made To Related Parties</t>
  </si>
  <si>
    <t xml:space="preserve">        Cash Receipts From Repayment Of Advances And Loans Made To Related Parties</t>
  </si>
  <si>
    <t>PurchaseOfIntangibleAssetsClassifiedAsInvestingActivities</t>
  </si>
  <si>
    <t>Purchase Of Intangible Assets Classified As Investing Activities</t>
  </si>
  <si>
    <t xml:space="preserve">            Purchase Of Intangible Assets Classified As Investing Activities</t>
  </si>
  <si>
    <t xml:space="preserve">        Purchase Of Intangible Assets Classified As Investing Activities</t>
  </si>
  <si>
    <t>PurchaseOfPropertyPlantAndEquipmentClassifiedAsInvestingActivities</t>
  </si>
  <si>
    <t>Purchase Of Property Plant And Equipment Classified As Investing Activities</t>
  </si>
  <si>
    <t xml:space="preserve">        Purchase Of Property Plant And Equipment Classified As Investing Activities</t>
  </si>
  <si>
    <t xml:space="preserve">            Purchase Of Property Plant And Equipment Classified As Investing Activities</t>
  </si>
  <si>
    <t>ProceedsFromSalesOfPropertyPlantAndEquipmentClassifiedAsInvestingActivities</t>
  </si>
  <si>
    <t>Proceeds From Sales Of Property Plant And Equipment Classified As Investing Activities</t>
  </si>
  <si>
    <t xml:space="preserve">            Proceeds From Sales Of Property Plant And Equipment Classified As Investing Activities</t>
  </si>
  <si>
    <t xml:space="preserve">        Proceeds From Sales Of Property Plant And Equipment Classified As Investing Activities</t>
  </si>
  <si>
    <t>OtherInflowsOutflowsOfCashClassifiedAsInvestingActivities</t>
  </si>
  <si>
    <t>Other Inflows Outflows Of Cash Classified As Investing Activities</t>
  </si>
  <si>
    <t xml:space="preserve">            Other Inflows Outflows Of Cash Classified As Investing Activities</t>
  </si>
  <si>
    <t xml:space="preserve">        Other Inflows Outflows Of Cash Classified As Investing Activities</t>
  </si>
  <si>
    <t>CashFlowsFromUsedInInvestingActivities</t>
  </si>
  <si>
    <t>Cash Flows From Used In Investing Activities</t>
  </si>
  <si>
    <t xml:space="preserve">            Cash Flows From Used In Investing Activities</t>
  </si>
  <si>
    <t xml:space="preserve">        Cash Flows From Used In Investing Activities</t>
  </si>
  <si>
    <t>CashFlowsFromUsedInOperatingAndInvestingActivities</t>
  </si>
  <si>
    <t>Cash Flows From Used In Operating And Investing Activities</t>
  </si>
  <si>
    <t xml:space="preserve">        Cash Flows From Used In Operating And Investing Activities</t>
  </si>
  <si>
    <t xml:space="preserve">            Cash Flows From Used In Operating And Investing Activities</t>
  </si>
  <si>
    <t>ProceedsFromBorrowingsClassifiedAsFinancingActivities</t>
  </si>
  <si>
    <t>Proceeds From Borrowings Classified As Financing Activities</t>
  </si>
  <si>
    <t xml:space="preserve">        Proceeds From Borrowings Classified As Financing Activities</t>
  </si>
  <si>
    <t xml:space="preserve">            Proceeds From Borrowings Classified As Financing Activities</t>
  </si>
  <si>
    <t>ProceedsFromIssueOfBondsNotesAndDebentures</t>
  </si>
  <si>
    <t>Proceeds From Issue Of Bonds Notes And Debentures</t>
  </si>
  <si>
    <t xml:space="preserve">            Proceeds From Issue Of Bonds Notes And Debentures</t>
  </si>
  <si>
    <t xml:space="preserve">        Proceeds From Issue Of Bonds Notes And Debentures</t>
  </si>
  <si>
    <t>PaymentsToAcquireOrRedeemEntitysShares</t>
  </si>
  <si>
    <t>Payments To Acquire Or Redeem Entitys Shares</t>
  </si>
  <si>
    <t xml:space="preserve">        Payments To Acquire Or Redeem Entitys Shares</t>
  </si>
  <si>
    <t xml:space="preserve">            Payments To Acquire Or Redeem Entitys Shares</t>
  </si>
  <si>
    <t>RepaymentsOfBondsNotesAndDebentures</t>
  </si>
  <si>
    <t>Repayments Of Bonds Notes And Debentures</t>
  </si>
  <si>
    <t xml:space="preserve">        Repayments Of Bonds Notes And Debentures</t>
  </si>
  <si>
    <t xml:space="preserve">            Repayments Of Bonds Notes And Debentures</t>
  </si>
  <si>
    <t>RepaymentsOfBorrowingsClassifiedAsFinancingActivities</t>
  </si>
  <si>
    <t>Repayments Of Borrowings Classified As Financing Activities</t>
  </si>
  <si>
    <t xml:space="preserve">            Repayments Of Borrowings Classified As Financing Activities</t>
  </si>
  <si>
    <t xml:space="preserve">        Repayments Of Borrowings Classified As Financing Activities</t>
  </si>
  <si>
    <t>RepaymentsOfInterestBearingLiabilitiesClassifiedAsFinancingActivities</t>
  </si>
  <si>
    <t>Repayments Of Interest Bearing Liabilities Classified As Financing Activities</t>
  </si>
  <si>
    <t xml:space="preserve">            Repayments Of Interest Bearing Liabilities Classified As Financing Activities</t>
  </si>
  <si>
    <t xml:space="preserve">        Repayments Of Interest Bearing Liabilities Classified As Financing Activities</t>
  </si>
  <si>
    <t>MaturedInvestmentsInMarketableSecuritiesClassifiedAsFinancingActivities</t>
  </si>
  <si>
    <t>Matured Investments In Marketable Securities Classified As Financing Activities</t>
  </si>
  <si>
    <t xml:space="preserve">        Matured Investments In Marketable Securities Classified As Financing Activities</t>
  </si>
  <si>
    <t xml:space="preserve">            Matured Investments In Marketable Securities Classified As Financing Activities</t>
  </si>
  <si>
    <t>OtherInflowsOutflowsOfCashClassifiedAsFinancingActivities</t>
  </si>
  <si>
    <t>Other Inflows Outflows Of Cash Classified As Financing Activities</t>
  </si>
  <si>
    <t xml:space="preserve">        Other Inflows Outflows Of Cash Classified As Financing Activities</t>
  </si>
  <si>
    <t xml:space="preserve">            Other Inflows Outflows Of Cash Classified As Financing Activities</t>
  </si>
  <si>
    <t>CashFlowsFromUsedInFinancingActivities</t>
  </si>
  <si>
    <t>Cash Flows From Used In Financing Activities</t>
  </si>
  <si>
    <t xml:space="preserve">        Cash Flows From Used In Financing Activities</t>
  </si>
  <si>
    <t xml:space="preserve">            Cash Flows From Used In Financing Activities</t>
  </si>
  <si>
    <t>IncreaseDecreaseInCashAndCashEquivalentsBeforeEffectOfExchangeRateChanges</t>
  </si>
  <si>
    <t>Increase Decrease In Cash And Cash Equivalents Before Effect Of Exchange Rate Changes</t>
  </si>
  <si>
    <t xml:space="preserve">            Increase Decrease In Cash And Cash Equivalents Before Effect Of Exchange Rate Changes</t>
  </si>
  <si>
    <t xml:space="preserve">        Increase Decrease In Cash And Cash Equivalents Before Effect Of Exchange Rate Changes</t>
  </si>
  <si>
    <t>EffectOfExchangeRateChangesOnCashAndCashEquivalents</t>
  </si>
  <si>
    <t>Effect Of Exchange Rate Changes On Cash And Cash Equivalents</t>
  </si>
  <si>
    <t xml:space="preserve">        Effect Of Exchange Rate Changes On Cash And Cash Equivalents</t>
  </si>
  <si>
    <t xml:space="preserve">            Effect Of Exchange Rate Changes On Cash And Cash Equivalents</t>
  </si>
  <si>
    <t>DisclosureOfBorrowingsExplanatory</t>
  </si>
  <si>
    <t>s8</t>
  </si>
  <si>
    <t>Other</t>
  </si>
  <si>
    <t>Disclosure Of Borrowings Explanatory</t>
  </si>
  <si>
    <t xml:space="preserve">                    Disclosure Of Borrowings Explanatory</t>
  </si>
  <si>
    <t>DisclosureOfReclassificationsOrChangesInPresentationExplanatory</t>
  </si>
  <si>
    <t>Disclosure Of Reclassifications Or Changes In Presentation Explanatory</t>
  </si>
  <si>
    <t xml:space="preserve">                    Disclosure Of Reclassifications Or Changes In Presentation Explanatory</t>
  </si>
  <si>
    <t>DisclosureOfDebtSecuritiesExplanatory</t>
  </si>
  <si>
    <t>Disclosure Of Debt Securities Explanatory</t>
  </si>
  <si>
    <t xml:space="preserve">                    Disclosure Of Debt Securities Explanatory</t>
  </si>
  <si>
    <t>DisclosureOfLoansAndAdvancesToBanksExplanatory</t>
  </si>
  <si>
    <t>Disclosure Of Loans And Advances To Banks Explanatory</t>
  </si>
  <si>
    <t xml:space="preserve">                    Disclosure Of Loans And Advances To Banks Explanatory</t>
  </si>
  <si>
    <t>DisclosureOfRelatedPartyExplanatory</t>
  </si>
  <si>
    <t>Disclosure Of Related Party Explanatory</t>
  </si>
  <si>
    <t xml:space="preserve">                    Disclosure Of Related Party Explanatory</t>
  </si>
  <si>
    <t>DisclosureOfLiquidityRiskExplanatory</t>
  </si>
  <si>
    <t>Disclosure Of Liquidity Risk Explanatory</t>
  </si>
  <si>
    <t xml:space="preserve">                    Disclosure Of Liquidity Risk Explanatory</t>
  </si>
  <si>
    <t>DescriptionOfAccountingPolicyForCashFlowsExplanatory</t>
  </si>
  <si>
    <t>Description Of Accounting Policy For Cash Flows Explanatory</t>
  </si>
  <si>
    <t xml:space="preserve">                    Description Of Accounting Policy For Cash Flows Explanatory</t>
  </si>
  <si>
    <t>DisclosureOfFinancialInstrumentsDesignatedAtFairValueThroughProfitOrLossExplanatory</t>
  </si>
  <si>
    <t>Disclosure Of Financial Instruments Designated At Fair Value Through Profit Or Loss Explanatory</t>
  </si>
  <si>
    <t xml:space="preserve">                    Disclosure Of Financial Instruments Designated At Fair Value Through Profit Or Loss Explanatory</t>
  </si>
  <si>
    <t>DisclosureOfFinancialInstrumentsAtFairValueThroughProfitOrLossExplanatory</t>
  </si>
  <si>
    <t>Disclosure Of Financial Instruments At Fair Value Through Profit Or Loss Explanatory</t>
  </si>
  <si>
    <t xml:space="preserve">                    Disclosure Of Financial Instruments At Fair Value Through Profit Or Loss Explanatory</t>
  </si>
  <si>
    <t>DescriptionOfAccountingPolicyForLoansAndReceivablesExplanatory</t>
  </si>
  <si>
    <t>Description Of Accounting Policy For Loans And Receivables Explanatory</t>
  </si>
  <si>
    <t xml:space="preserve">                    Description Of Accounting Policy For Loans And Receivables Explanatory</t>
  </si>
  <si>
    <t>DisclosureOfFairValueOfFinancialInstrumentsExplanatory</t>
  </si>
  <si>
    <t>Disclosure Of Fair Value Of Financial Instruments Explanatory</t>
  </si>
  <si>
    <t xml:space="preserve">                    Disclosure Of Fair Value Of Financial Instruments Explanatory</t>
  </si>
  <si>
    <t>DisclosureOfFinancialInstrumentsExplanatory</t>
  </si>
  <si>
    <t>Disclosure Of Financial Instruments Explanatory</t>
  </si>
  <si>
    <t xml:space="preserve">                    Disclosure Of Financial Instruments Explanatory</t>
  </si>
  <si>
    <t>DescriptionOfAccountingPolicyForFinancialInstrumentsExplanatory</t>
  </si>
  <si>
    <t>Description Of Accounting Policy For Financial Instruments Explanatory</t>
  </si>
  <si>
    <t xml:space="preserve">                    Description Of Accounting Policy For Financial Instruments Explanatory</t>
  </si>
  <si>
    <t>DescriptionOfAccountingPolicyForFinancialAssetsExplanatory</t>
  </si>
  <si>
    <t>Description Of Accounting Policy For Financial Assets Explanatory</t>
  </si>
  <si>
    <t xml:space="preserve">                    Description Of Accounting Policy For Financial Assets Explanatory</t>
  </si>
  <si>
    <t>DescriptionOfAccountingPolicyForTradeAndOtherReceivablesExplanatory</t>
  </si>
  <si>
    <t>Description Of Accounting Policy For Trade And Other Receivables Explanatory</t>
  </si>
  <si>
    <t xml:space="preserve">                    Description Of Accounting Policy For Trade And Other Receivables Explanatory</t>
  </si>
  <si>
    <t>DescriptionOfAccountingPolicyForTradeAndOtherPayablesExplanatory</t>
  </si>
  <si>
    <t>Description Of Accounting Policy For Trade And Other Payables Explanatory</t>
  </si>
  <si>
    <t xml:space="preserve">                    Description Of Accounting Policy For Trade And Other Payables Explanatory</t>
  </si>
  <si>
    <t>DescriptionOfAccountingPolicyForDerecognitionOfFinancialInstrumentsExplanatory</t>
  </si>
  <si>
    <t>Description Of Accounting Policy For Derecognition Of Financial Instruments Explanatory</t>
  </si>
  <si>
    <t xml:space="preserve">                    Description Of Accounting Policy For Derecognition Of Financial Instruments Explanatory</t>
  </si>
  <si>
    <t>DescriptionOfAccountingPolicyForFinancialInstrumentsAtFairValueThroughProfitOrLossExplanatory</t>
  </si>
  <si>
    <t>Description Of Accounting Policy For Financial Instruments At Fair Value Through Profit Or Loss Explanatory</t>
  </si>
  <si>
    <t xml:space="preserve">                    Description Of Accounting Policy For Financial Instruments At Fair Value Through Profit Or Loss Explanatory</t>
  </si>
  <si>
    <t>DescriptionOfAccountingPolicyForDerivativeFinancialInstrumentsExplanatory</t>
  </si>
  <si>
    <t>Description Of Accounting Policy For Derivative Financial Instruments Explanatory</t>
  </si>
  <si>
    <t xml:space="preserve">                    Description Of Accounting Policy For Derivative Financial Instruments Explanatory</t>
  </si>
  <si>
    <t>DisclosureOfInterestsInOtherEntitiesExplanatory</t>
  </si>
  <si>
    <t>Disclosure Of Interests In Other Entities Explanatory</t>
  </si>
  <si>
    <t xml:space="preserve">                    Disclosure Of Interests In Other Entities Explanatory</t>
  </si>
  <si>
    <t>DisclosureOfDerivativeFinancialInstrumentsExplanatory</t>
  </si>
  <si>
    <t>Disclosure Of Derivative Financial Instruments Explanatory</t>
  </si>
  <si>
    <t xml:space="preserve">                    Disclosure Of Derivative Financial Instruments Explanatory</t>
  </si>
  <si>
    <t>DisclosureOfFairValueMeasurementExplanatory</t>
  </si>
  <si>
    <t>Disclosure Of Fair Value Measurement Explanatory</t>
  </si>
  <si>
    <t xml:space="preserve">                    Disclosure Of Fair Value Measurement Explanatory</t>
  </si>
  <si>
    <t>DescriptionOfAccountingPolicyForDerivativeFinancialInstrumentsAndHedgingExplanatory</t>
  </si>
  <si>
    <t>Description Of Accounting Policy For Derivative Financial Instruments And Hedging Explanatory</t>
  </si>
  <si>
    <t xml:space="preserve">                    Description Of Accounting Policy For Derivative Financial Instruments And Hedging Explanatory</t>
  </si>
  <si>
    <t>DisclosureOfDeferredIncomeExplanatory</t>
  </si>
  <si>
    <t>Disclosure Of Deferred Income Explanatory</t>
  </si>
  <si>
    <t xml:space="preserve">                    Disclosure Of Deferred Income Explanatory</t>
  </si>
  <si>
    <t>DescriptionOfAccountingPolicyForImpairmentOfAssetsExplanatory</t>
  </si>
  <si>
    <t>Description Of Accounting Policy For Impairment Of Assets Explanatory</t>
  </si>
  <si>
    <t xml:space="preserve">                    Description Of Accounting Policy For Impairment Of Assets Explanatory</t>
  </si>
  <si>
    <t>DisclosureOfCostOfSalesExplanatory</t>
  </si>
  <si>
    <t>Disclosure Of Cost Of Sales Explanatory</t>
  </si>
  <si>
    <t xml:space="preserve">                    Disclosure Of Cost Of Sales Explanatory</t>
  </si>
  <si>
    <t>DescriptionOfAccountingPolicyForDepreciationExpenseExplanatory</t>
  </si>
  <si>
    <t>Description Of Accounting Policy For Depreciation Expense Explanatory</t>
  </si>
  <si>
    <t xml:space="preserve">                    Description Of Accounting Policy For Depreciation Expense Explanatory</t>
  </si>
  <si>
    <t>DisclosureOfOtherCurrentLiabilitiesExplanatory</t>
  </si>
  <si>
    <t>Disclosure Of Other Current Liabilities Explanatory</t>
  </si>
  <si>
    <t xml:space="preserve">                    Disclosure Of Other Current Liabilities Explanatory</t>
  </si>
  <si>
    <t>DisclosureOfOtherNoncurrentLiabilitiesExplanatory</t>
  </si>
  <si>
    <t>Disclosure Of Other Noncurrent Liabilities Explanatory</t>
  </si>
  <si>
    <t xml:space="preserve">                    Disclosure Of Other Noncurrent Liabilities Explanatory</t>
  </si>
  <si>
    <t>DisclosureOfOtherProvisionsContingentLiabilitiesAndContingentAssetsExplanatory</t>
  </si>
  <si>
    <t>Disclosure Of Other Provisions Contingent Liabilities And Contingent Assets Explanatory</t>
  </si>
  <si>
    <t xml:space="preserve">                    Disclosure Of Other Provisions Contingent Liabilities And Contingent Assets Explanatory</t>
  </si>
  <si>
    <t>DisclosureOfAssetsAndLiabilitiesWithSignificantRiskOfMaterialAdjustmentExplanatory</t>
  </si>
  <si>
    <t>Disclosure Of Assets And Liabilities With Significant Risk Of Material Adjustment Explanatory</t>
  </si>
  <si>
    <t xml:space="preserve">                    Disclosure Of Assets And Liabilities With Significant Risk Of Material Adjustment Explanatory</t>
  </si>
  <si>
    <t>ExplanationOfAssumptionAboutFutureWithSignificantRiskOfResultingInMaterialAdjustments</t>
  </si>
  <si>
    <t>Explanation Of Assumption About Future With Significant Risk Of Resulting In Material Adjustments</t>
  </si>
  <si>
    <t xml:space="preserve">                    Explanation Of Assumption About Future With Significant Risk Of Resulting In Material Adjustments</t>
  </si>
  <si>
    <t>DisclosureOfFinanceIncomeExplanatory</t>
  </si>
  <si>
    <t>Disclosure Of Finance Income Explanatory</t>
  </si>
  <si>
    <t xml:space="preserve">                    Disclosure Of Finance Income Explanatory</t>
  </si>
  <si>
    <t>DisclosureOfFinanceCostExplanatory</t>
  </si>
  <si>
    <t>Disclosure Of Finance Cost Explanatory</t>
  </si>
  <si>
    <t xml:space="preserve">                    Disclosure Of Finance Cost Explanatory</t>
  </si>
  <si>
    <t>DisclosureOfFinanceIncomeExpenseExplanatory</t>
  </si>
  <si>
    <t>Disclosure Of Finance Income Expense Explanatory</t>
  </si>
  <si>
    <t xml:space="preserve">                    Disclosure Of Finance Income Expense Explanatory</t>
  </si>
  <si>
    <t>DisclosureOfEffectOfChangesInForeignExchangeRatesExplanatory</t>
  </si>
  <si>
    <t>Disclosure Of Effect Of Changes In Foreign Exchange Rates Explanatory</t>
  </si>
  <si>
    <t xml:space="preserve">                    Disclosure Of Effect Of Changes In Foreign Exchange Rates Explanatory</t>
  </si>
  <si>
    <t>DisclosureOfRepurchaseAndReverseRepurchaseAgreementsExplanatory</t>
  </si>
  <si>
    <t>Disclosure Of Repurchase And Reverse Repurchase Agreements Explanatory</t>
  </si>
  <si>
    <t xml:space="preserve">                    Disclosure Of Repurchase And Reverse Repurchase Agreements Explanatory</t>
  </si>
  <si>
    <t>DisclosureOfExpensesExplanatory</t>
  </si>
  <si>
    <t>Disclosure Of Expenses Explanatory</t>
  </si>
  <si>
    <t xml:space="preserve">                    Disclosure Of Expenses Explanatory</t>
  </si>
  <si>
    <t>DisclosureOfImpairmentOfAssetsExplanatory</t>
  </si>
  <si>
    <t>Disclosure Of Impairment Of Assets Explanatory</t>
  </si>
  <si>
    <t xml:space="preserve">                    Disclosure Of Impairment Of Assets Explanatory</t>
  </si>
  <si>
    <t>DisclosureOfDepreciationAndAmortisationExpenseExplanatory</t>
  </si>
  <si>
    <t>Disclosure Of Depreciation And Amortisation Expense Explanatory</t>
  </si>
  <si>
    <t xml:space="preserve">                    Disclosure Of Depreciation And Amortisation Expense Explanatory</t>
  </si>
  <si>
    <t>DisclosureOfEmployeeBenefitsExplanatory</t>
  </si>
  <si>
    <t>Disclosure Of Employee Benefits Explanatory</t>
  </si>
  <si>
    <t xml:space="preserve">                    Disclosure Of Employee Benefits Explanatory</t>
  </si>
  <si>
    <t>DisclosureOfInformationAboutKeyManagementPersonnelExplanatory</t>
  </si>
  <si>
    <t>Disclosure Of Information About Key Management Personnel Explanatory</t>
  </si>
  <si>
    <t xml:space="preserve">                    Disclosure Of Information About Key Management Personnel Explanatory</t>
  </si>
  <si>
    <t>DescriptionOfAccountingPolicyForSubsidiariesExplanatory</t>
  </si>
  <si>
    <t>Description Of Accounting Policy For Subsidiaries Explanatory</t>
  </si>
  <si>
    <t xml:space="preserve">                    Description Of Accounting Policy For Subsidiaries Explanatory</t>
  </si>
  <si>
    <t>DisclosureOfSharebasedPaymentArrangementsExplanatory</t>
  </si>
  <si>
    <t>Disclosure Of Sharebased Payment Arrangements Explanatory</t>
  </si>
  <si>
    <t xml:space="preserve">                    Disclosure Of Sharebased Payment Arrangements Explanatory</t>
  </si>
  <si>
    <t>DescriptionOfAccountingPolicyForSharebasedPaymentTransactionsExplanatory</t>
  </si>
  <si>
    <t>Description Of Accounting Policy For Sharebased Payment Transactions Explanatory</t>
  </si>
  <si>
    <t xml:space="preserve">                    Description Of Accounting Policy For Sharebased Payment Transactions Explanatory</t>
  </si>
  <si>
    <t>DisclosureOfInformationAboutEmployeesExplanatory</t>
  </si>
  <si>
    <t>Disclosure Of Information About Employees Explanatory</t>
  </si>
  <si>
    <t xml:space="preserve">                    Disclosure Of Information About Employees Explanatory</t>
  </si>
  <si>
    <t>DisclosureOfGoodwillExplanatory</t>
  </si>
  <si>
    <t>Disclosure Of Goodwill Explanatory</t>
  </si>
  <si>
    <t xml:space="preserve">                    Disclosure Of Goodwill Explanatory</t>
  </si>
  <si>
    <t>DescriptionOfAccountingPolicyForFinancialLiabilitiesExplanatory</t>
  </si>
  <si>
    <t>Description Of Accounting Policy For Financial Liabilities Explanatory</t>
  </si>
  <si>
    <t xml:space="preserve">                    Description Of Accounting Policy For Financial Liabilities Explanatory</t>
  </si>
  <si>
    <t>DisclosureOfSignificantInvestmentsInSubsidiariesExplanatory</t>
  </si>
  <si>
    <t>Disclosure Of Significant Investments In Subsidiaries Explanatory</t>
  </si>
  <si>
    <t xml:space="preserve">                    Disclosure Of Significant Investments In Subsidiaries Explanatory</t>
  </si>
  <si>
    <t>DescriptionOfAccountingPolicyForLeasesExplanatory</t>
  </si>
  <si>
    <t>Description Of Accounting Policy For Leases Explanatory</t>
  </si>
  <si>
    <t xml:space="preserve">                    Description Of Accounting Policy For Leases Explanatory</t>
  </si>
  <si>
    <t>DescriptionOfAccountingPolicyForHedgingExplanatory</t>
  </si>
  <si>
    <t>Description Of Accounting Policy For Hedging Explanatory</t>
  </si>
  <si>
    <t xml:space="preserve">                    Description Of Accounting Policy For Hedging Explanatory</t>
  </si>
  <si>
    <t>DisclosureOfFinancialRiskManagementExplanatory</t>
  </si>
  <si>
    <t>Disclosure Of Financial Risk Management Explanatory</t>
  </si>
  <si>
    <t xml:space="preserve">                    Disclosure Of Financial Risk Management Explanatory</t>
  </si>
  <si>
    <t>NameOfReportingEntityOrOtherMeansOfIdentification</t>
  </si>
  <si>
    <t>Name Of Reporting Entity Or Other Means Of Identification</t>
  </si>
  <si>
    <t xml:space="preserve">                    Name Of Reporting Entity Or Other Means Of Identification</t>
  </si>
  <si>
    <t>LegalFormOfEntity</t>
  </si>
  <si>
    <t>Legal Form Of Entity</t>
  </si>
  <si>
    <t xml:space="preserve">                    Legal Form Of Entity</t>
  </si>
  <si>
    <t>DomicileOfEntity</t>
  </si>
  <si>
    <t>Domicile Of Entity</t>
  </si>
  <si>
    <t xml:space="preserve">                    Domicile Of Entity</t>
  </si>
  <si>
    <t>PrincipalPlaceOfBusiness</t>
  </si>
  <si>
    <t>Principal Place Of Business</t>
  </si>
  <si>
    <t xml:space="preserve">                    Principal Place Of Business</t>
  </si>
  <si>
    <t>CountryOfIncorporation</t>
  </si>
  <si>
    <t>Country Of Incorporation</t>
  </si>
  <si>
    <t xml:space="preserve">                    Country Of Incorporation</t>
  </si>
  <si>
    <t>AddressOfRegisteredOfficeOfEntity</t>
  </si>
  <si>
    <t>Address Of Registered Office Of Entity</t>
  </si>
  <si>
    <t xml:space="preserve">                    Address Of Registered Office Of Entity</t>
  </si>
  <si>
    <t>NameOfParentEntity</t>
  </si>
  <si>
    <t>Name Of Parent Entity</t>
  </si>
  <si>
    <t xml:space="preserve">                    Name Of Parent Entity</t>
  </si>
  <si>
    <t>NameOfUltimateParentOfGroup</t>
  </si>
  <si>
    <t>Name Of Ultimate Parent Of Group</t>
  </si>
  <si>
    <t xml:space="preserve">                    Name Of Ultimate Parent Of Group</t>
  </si>
  <si>
    <t>DescriptionOfNatureOfEntitysOperationsAndPrincipalActivities</t>
  </si>
  <si>
    <t>Description Of Nature Of Entitys Operations And Principal Activities</t>
  </si>
  <si>
    <t xml:space="preserve">                    Description Of Nature Of Entitys Operations And Principal Activities</t>
  </si>
  <si>
    <t>DisclosureOfMaterialAccountingPolicyInformationExplanatory</t>
  </si>
  <si>
    <t>Disclosure Of Material Accounting Policy Information Explanatory</t>
  </si>
  <si>
    <t xml:space="preserve">                    Disclosure Of Material Accounting Policy Information Explanatory</t>
  </si>
  <si>
    <t>DisclosureOfGeneralInformationAboutFinancialStatementsExplanatory</t>
  </si>
  <si>
    <t>Disclosure Of General Information About Financial Statements Explanatory</t>
  </si>
  <si>
    <t xml:space="preserve">                    Disclosure Of General Information About Financial Statements Explanatory</t>
  </si>
  <si>
    <t>DisclosureOfBasisOfPreparationOfFinancialStatementsExplanatory</t>
  </si>
  <si>
    <t>Disclosure Of Basis Of Preparation Of Financial Statements Explanatory</t>
  </si>
  <si>
    <t xml:space="preserve">                    Disclosure Of Basis Of Preparation Of Financial Statements Explanatory</t>
  </si>
  <si>
    <t>StatementOfIFRSCompliance</t>
  </si>
  <si>
    <t>Statement Of I F R S Compliance</t>
  </si>
  <si>
    <t xml:space="preserve">                    Statement Of I F R S Compliance</t>
  </si>
  <si>
    <t>DisclosureOfBasisOfConsolidationExplanatory</t>
  </si>
  <si>
    <t>Disclosure Of Basis Of Consolidation Explanatory</t>
  </si>
  <si>
    <t xml:space="preserve">                    Disclosure Of Basis Of Consolidation Explanatory</t>
  </si>
  <si>
    <t>DescriptionOfAccountingPolicyForForeignCurrencyTranslationExplanatory</t>
  </si>
  <si>
    <t>Description Of Accounting Policy For Foreign Currency Translation Explanatory</t>
  </si>
  <si>
    <t xml:space="preserve">                    Description Of Accounting Policy For Foreign Currency Translation Explanatory</t>
  </si>
  <si>
    <t>DescriptionOfAccountingPolicyForFunctionalCurrencyExplanatory</t>
  </si>
  <si>
    <t>Description Of Accounting Policy For Functional Currency Explanatory</t>
  </si>
  <si>
    <t xml:space="preserve">                    Description Of Accounting Policy For Functional Currency Explanatory</t>
  </si>
  <si>
    <t>DisclosureOfOtherCurrentAssetsExplanatory</t>
  </si>
  <si>
    <t>Disclosure Of Other Current Assets Explanatory</t>
  </si>
  <si>
    <t xml:space="preserve">                    Disclosure Of Other Current Assets Explanatory</t>
  </si>
  <si>
    <t>DisclosureOfOtherNoncurrentAssetsExplanatory</t>
  </si>
  <si>
    <t>Disclosure Of Other Noncurrent Assets Explanatory</t>
  </si>
  <si>
    <t xml:space="preserve">                    Disclosure Of Other Noncurrent Assets Explanatory</t>
  </si>
  <si>
    <t>DisclosureOfRevenueExplanatory</t>
  </si>
  <si>
    <t>Disclosure Of Revenue Explanatory</t>
  </si>
  <si>
    <t xml:space="preserve">                    Disclosure Of Revenue Explanatory</t>
  </si>
  <si>
    <t>DisclosureOfRevenueFromContractsWithCustomersExplanatory</t>
  </si>
  <si>
    <t>Disclosure Of Revenue From Contracts With Customers Explanatory</t>
  </si>
  <si>
    <t xml:space="preserve">                    Disclosure Of Revenue From Contracts With Customers Explanatory</t>
  </si>
  <si>
    <t>DescriptionOfAccountingPolicyForRecognitionOfRevenue</t>
  </si>
  <si>
    <t>Description Of Accounting Policy For Recognition Of Revenue</t>
  </si>
  <si>
    <t xml:space="preserve">                    Description Of Accounting Policy For Recognition Of Revenue</t>
  </si>
  <si>
    <t>DescriptionOfAccountingPolicyForDiscountsAndRebatesExplanatory</t>
  </si>
  <si>
    <t>Description Of Accounting Policy For Discounts And Rebates Explanatory</t>
  </si>
  <si>
    <t xml:space="preserve">                    Description Of Accounting Policy For Discounts And Rebates Explanatory</t>
  </si>
  <si>
    <t>DescriptionOfAccountingPolicyForEmissionRightsExplanatory</t>
  </si>
  <si>
    <t>Description Of Accounting Policy For Emission Rights Explanatory</t>
  </si>
  <si>
    <t xml:space="preserve">                    Description Of Accounting Policy For Emission Rights Explanatory</t>
  </si>
  <si>
    <t>DisclosureOfAccountingJudgementsAndEstimatesExplanatory</t>
  </si>
  <si>
    <t>Disclosure Of Accounting Judgements And Estimates Explanatory</t>
  </si>
  <si>
    <t xml:space="preserve">                    Disclosure Of Accounting Judgements And Estimates Explanatory</t>
  </si>
  <si>
    <t>DescriptionOfAccountingPolicyForRepurchaseAndReverseRepurchaseAgreementsExplanatory</t>
  </si>
  <si>
    <t>Description Of Accounting Policy For Repurchase And Reverse Repurchase Agreements Explanatory</t>
  </si>
  <si>
    <t xml:space="preserve">                    Description Of Accounting Policy For Repurchase And Reverse Repurchase Agreements Explanatory</t>
  </si>
  <si>
    <t>DisclosureOfDepositsFromCustomersExplanatory</t>
  </si>
  <si>
    <t>Disclosure Of Deposits From Customers Explanatory</t>
  </si>
  <si>
    <t xml:space="preserve">                    Disclosure Of Deposits From Customers Explanatory</t>
  </si>
  <si>
    <t>DisclosureOfExpensesByNatureExplanatory</t>
  </si>
  <si>
    <t>Disclosure Of Expenses By Nature Explanatory</t>
  </si>
  <si>
    <t xml:space="preserve">                    Disclosure Of Expenses By Nature Explanatory</t>
  </si>
  <si>
    <t>DisclosureOfResearchAndDevelopmentExpenseExplanatory</t>
  </si>
  <si>
    <t>Disclosure Of Research And Development Expense Explanatory</t>
  </si>
  <si>
    <t xml:space="preserve">                    Disclosure Of Research And Development Expense Explanatory</t>
  </si>
  <si>
    <t>DisclosureOfGeneralAndAdministrativeExpenseExplanatory</t>
  </si>
  <si>
    <t>Disclosure Of General And Administrative Expense Explanatory</t>
  </si>
  <si>
    <t xml:space="preserve">                    Disclosure Of General And Administrative Expense Explanatory</t>
  </si>
  <si>
    <t>DescriptionOfAccountingPolicyForTransactionsWithRelatedPartiesExplanatory</t>
  </si>
  <si>
    <t>Description Of Accounting Policy For Transactions With Related Parties Explanatory</t>
  </si>
  <si>
    <t xml:space="preserve">                    Description Of Accounting Policy For Transactions With Related Parties Explanatory</t>
  </si>
  <si>
    <t>DisclosureOfTradeAndOtherPayablesExplanatory</t>
  </si>
  <si>
    <t>Disclosure Of Trade And Other Payables Explanatory</t>
  </si>
  <si>
    <t xml:space="preserve">                    Disclosure Of Trade And Other Payables Explanatory</t>
  </si>
  <si>
    <t>DisclosureOfAuditorsRemunerationExplanatory</t>
  </si>
  <si>
    <t>Disclosure Of Auditors Remuneration Explanatory</t>
  </si>
  <si>
    <t xml:space="preserve">                    Disclosure Of Auditors Remuneration Explanatory</t>
  </si>
  <si>
    <t>DisclosureOfOtherOperatingIncomeExpenseExplanatory</t>
  </si>
  <si>
    <t>Disclosure Of Other Operating Income Expense Explanatory</t>
  </si>
  <si>
    <t xml:space="preserve">                    Disclosure Of Other Operating Income Expense Explanatory</t>
  </si>
  <si>
    <t>DisclosureOfOtherOperatingIncomeExplanatory</t>
  </si>
  <si>
    <t>Disclosure Of Other Operating Income Explanatory</t>
  </si>
  <si>
    <t xml:space="preserve">                    Disclosure Of Other Operating Income Explanatory</t>
  </si>
  <si>
    <t>DisclosureOfOtherOperatingExpenseExplanatory</t>
  </si>
  <si>
    <t>Disclosure Of Other Operating Expense Explanatory</t>
  </si>
  <si>
    <t xml:space="preserve">                    Disclosure Of Other Operating Expense Explanatory</t>
  </si>
  <si>
    <t>DisclosureOfLeasesExplanatory</t>
  </si>
  <si>
    <t>Disclosure Of Leases Explanatory</t>
  </si>
  <si>
    <t xml:space="preserve">                    Disclosure Of Leases Explanatory</t>
  </si>
  <si>
    <t>DisclosureOfGovernmentGrantsExplanatory</t>
  </si>
  <si>
    <t>Disclosure Of Government Grants Explanatory</t>
  </si>
  <si>
    <t xml:space="preserve">                    Disclosure Of Government Grants Explanatory</t>
  </si>
  <si>
    <t>DescriptionOfAccountingPolicyForGovernmentGrants</t>
  </si>
  <si>
    <t>Description Of Accounting Policy For Government Grants</t>
  </si>
  <si>
    <t xml:space="preserve">                    Description Of Accounting Policy For Government Grants</t>
  </si>
  <si>
    <t>DisclosureOfInterestIncomeExpenseExplanatory</t>
  </si>
  <si>
    <t>Disclosure Of Interest Income Expense Explanatory</t>
  </si>
  <si>
    <t xml:space="preserve">                    Disclosure Of Interest Income Expense Explanatory</t>
  </si>
  <si>
    <t>DisclosureOfInterestIncomeExplanatory</t>
  </si>
  <si>
    <t>Disclosure Of Interest Income Explanatory</t>
  </si>
  <si>
    <t xml:space="preserve">                    Disclosure Of Interest Income Explanatory</t>
  </si>
  <si>
    <t>DisclosureOfInterestExpenseExplanatory</t>
  </si>
  <si>
    <t>Disclosure Of Interest Expense Explanatory</t>
  </si>
  <si>
    <t xml:space="preserve">                    Disclosure Of Interest Expense Explanatory</t>
  </si>
  <si>
    <t>DescriptionOfAccountingPolicyForFinanceIncomeAndCostsExplanatory</t>
  </si>
  <si>
    <t>Description Of Accounting Policy For Finance Income And Costs Explanatory</t>
  </si>
  <si>
    <t xml:space="preserve">                    Description Of Accounting Policy For Finance Income And Costs Explanatory</t>
  </si>
  <si>
    <t>DescriptionOfAccountingPolicyForFinanceCostsExplanatory</t>
  </si>
  <si>
    <t>Description Of Accounting Policy For Finance Costs Explanatory</t>
  </si>
  <si>
    <t xml:space="preserve">                    Description Of Accounting Policy For Finance Costs Explanatory</t>
  </si>
  <si>
    <t>DescriptionOfAccountingPolicyForInterestIncomeAndExpenseExplanatory</t>
  </si>
  <si>
    <t>Description Of Accounting Policy For Interest Income And Expense Explanatory</t>
  </si>
  <si>
    <t xml:space="preserve">                    Description Of Accounting Policy For Interest Income And Expense Explanatory</t>
  </si>
  <si>
    <t>DisclosureOfSignificantInvestmentsInAssociatesExplanatory</t>
  </si>
  <si>
    <t>Disclosure Of Significant Investments In Associates Explanatory</t>
  </si>
  <si>
    <t xml:space="preserve">                    Disclosure Of Significant Investments In Associates Explanatory</t>
  </si>
  <si>
    <t>DisclosureOfJointVenturesExplanatory</t>
  </si>
  <si>
    <t>Disclosure Of Joint Ventures Explanatory</t>
  </si>
  <si>
    <t xml:space="preserve">                    Disclosure Of Joint Ventures Explanatory</t>
  </si>
  <si>
    <t>DisclosureOfInvestmentsAccountedForUsingEquityMethodExplanatory</t>
  </si>
  <si>
    <t>Disclosure Of Investments Accounted For Using Equity Method Explanatory</t>
  </si>
  <si>
    <t xml:space="preserve">                    Disclosure Of Investments Accounted For Using Equity Method Explanatory</t>
  </si>
  <si>
    <t>DescriptionOfAccountingPolicyForInvestmentInAssociatesAndJointVenturesExplanatory</t>
  </si>
  <si>
    <t>Description Of Accounting Policy For Investment In Associates And Joint Ventures Explanatory</t>
  </si>
  <si>
    <t xml:space="preserve">                    Description Of Accounting Policy For Investment In Associates And Joint Ventures Explanatory</t>
  </si>
  <si>
    <t>DescriptionOfAccountingPolicyForInvestmentInAssociates</t>
  </si>
  <si>
    <t>Description Of Accounting Policy For Investment In Associates</t>
  </si>
  <si>
    <t xml:space="preserve">                    Description Of Accounting Policy For Investment In Associates</t>
  </si>
  <si>
    <t>DescriptionOfAccountingPolicyForInvestmentsInJointVentures</t>
  </si>
  <si>
    <t>Description Of Accounting Policy For Investments In Joint Ventures</t>
  </si>
  <si>
    <t xml:space="preserve">                    Description Of Accounting Policy For Investments In Joint Ventures</t>
  </si>
  <si>
    <t>DisclosureOfIncomeTaxExplanatory</t>
  </si>
  <si>
    <t>Disclosure Of Income Tax Explanatory</t>
  </si>
  <si>
    <t xml:space="preserve">                    Disclosure Of Income Tax Explanatory</t>
  </si>
  <si>
    <t>DisclosureOfDeferredTaxesExplanatory</t>
  </si>
  <si>
    <t>Disclosure Of Deferred Taxes Explanatory</t>
  </si>
  <si>
    <t xml:space="preserve">                    Disclosure Of Deferred Taxes Explanatory</t>
  </si>
  <si>
    <t>DisclosureOfTaxReceivablesAndPayablesExplanatory</t>
  </si>
  <si>
    <t>Disclosure Of Tax Receivables And Payables Explanatory</t>
  </si>
  <si>
    <t xml:space="preserve">                    Disclosure Of Tax Receivables And Payables Explanatory</t>
  </si>
  <si>
    <t>DescriptionOfAccountingPolicyForDeferredIncomeTaxExplanatory</t>
  </si>
  <si>
    <t>Description Of Accounting Policy For Deferred Income Tax Explanatory</t>
  </si>
  <si>
    <t xml:space="preserve">                    Description Of Accounting Policy For Deferred Income Tax Explanatory</t>
  </si>
  <si>
    <t>DescriptionOfAccountingPolicyForIncomeTaxExplanatory</t>
  </si>
  <si>
    <t>Description Of Accounting Policy For Income Tax Explanatory</t>
  </si>
  <si>
    <t xml:space="preserve">                    Description Of Accounting Policy For Income Tax Explanatory</t>
  </si>
  <si>
    <t>DisclosureOfEarningsPerShareExplanatory</t>
  </si>
  <si>
    <t>Disclosure Of Earnings Per Share Explanatory</t>
  </si>
  <si>
    <t xml:space="preserve">                    Disclosure Of Earnings Per Share Explanatory</t>
  </si>
  <si>
    <t>DescriptionOfAccountingPolicyForEarningsPerShareExplanatory</t>
  </si>
  <si>
    <t>Description Of Accounting Policy For Earnings Per Share Explanatory</t>
  </si>
  <si>
    <t xml:space="preserve">                    Description Of Accounting Policy For Earnings Per Share Explanatory</t>
  </si>
  <si>
    <t>DisclosureOfIntangibleAssetsAndGoodwillExplanatory</t>
  </si>
  <si>
    <t>Disclosure Of Intangible Assets And Goodwill Explanatory</t>
  </si>
  <si>
    <t xml:space="preserve">                    Disclosure Of Intangible Assets And Goodwill Explanatory</t>
  </si>
  <si>
    <t>DisclosureOfIntangibleAssetsExplanatory</t>
  </si>
  <si>
    <t>Disclosure Of Intangible Assets Explanatory</t>
  </si>
  <si>
    <t xml:space="preserve">                    Disclosure Of Intangible Assets Explanatory</t>
  </si>
  <si>
    <t>DescriptionOfAccountingPolicyForIntangibleAssetsAndGoodwillExplanatory</t>
  </si>
  <si>
    <t>Description Of Accounting Policy For Intangible Assets And Goodwill Explanatory</t>
  </si>
  <si>
    <t xml:space="preserve">                    Description Of Accounting Policy For Intangible Assets And Goodwill Explanatory</t>
  </si>
  <si>
    <t>DescriptionOfAccountingPolicyForIntangibleAssetsOtherThanGoodwillExplanatory</t>
  </si>
  <si>
    <t>Description Of Accounting Policy For Intangible Assets Other Than Goodwill Explanatory</t>
  </si>
  <si>
    <t xml:space="preserve">                    Description Of Accounting Policy For Intangible Assets Other Than Goodwill Explanatory</t>
  </si>
  <si>
    <t>DescriptionOfAccountingPolicyForResearchAndDevelopmentExpenseExplanatory</t>
  </si>
  <si>
    <t>Description Of Accounting Policy For Research And Development Expense Explanatory</t>
  </si>
  <si>
    <t xml:space="preserve">                    Description Of Accounting Policy For Research And Development Expense Explanatory</t>
  </si>
  <si>
    <t>DisclosureOfPropertyPlantAndEquipmentExplanatory</t>
  </si>
  <si>
    <t>Disclosure Of Property Plant And Equipment Explanatory</t>
  </si>
  <si>
    <t xml:space="preserve">                    Disclosure Of Property Plant And Equipment Explanatory</t>
  </si>
  <si>
    <t>DescriptionOfAccountingPolicyForPropertyPlantAndEquipmentExplanatory</t>
  </si>
  <si>
    <t>Description Of Accounting Policy For Property Plant And Equipment Explanatory</t>
  </si>
  <si>
    <t xml:space="preserve">                    Description Of Accounting Policy For Property Plant And Equipment Explanatory</t>
  </si>
  <si>
    <t>DisclosureOfInventoriesExplanatory</t>
  </si>
  <si>
    <t>Disclosure Of Inventories Explanatory</t>
  </si>
  <si>
    <t xml:space="preserve">                    Disclosure Of Inventories Explanatory</t>
  </si>
  <si>
    <t>DescriptionOfAccountingPolicyForMeasuringInventories</t>
  </si>
  <si>
    <t>Description Of Accounting Policy For Measuring Inventories</t>
  </si>
  <si>
    <t xml:space="preserve">                    Description Of Accounting Policy For Measuring Inventories</t>
  </si>
  <si>
    <t>DisclosureOfAllowanceForCreditLossesExplanatory</t>
  </si>
  <si>
    <t>Disclosure Of Allowance For Credit Losses Explanatory</t>
  </si>
  <si>
    <t xml:space="preserve">                    Disclosure Of Allowance For Credit Losses Explanatory</t>
  </si>
  <si>
    <t>DisclosureOfOtherAssetsExplanatory</t>
  </si>
  <si>
    <t>Disclosure Of Other Assets Explanatory</t>
  </si>
  <si>
    <t xml:space="preserve">                    Disclosure Of Other Assets Explanatory</t>
  </si>
  <si>
    <t>DisclosureOfTradeAndOtherReceivablesExplanatory</t>
  </si>
  <si>
    <t>Disclosure Of Trade And Other Receivables Explanatory</t>
  </si>
  <si>
    <t xml:space="preserve">                    Disclosure Of Trade And Other Receivables Explanatory</t>
  </si>
  <si>
    <t>DisclosureOfPrepaymentsAndOtherAssetsExplanatory</t>
  </si>
  <si>
    <t>Disclosure Of Prepayments And Other Assets Explanatory</t>
  </si>
  <si>
    <t xml:space="preserve">                    Disclosure Of Prepayments And Other Assets Explanatory</t>
  </si>
  <si>
    <t>DescriptionOfAccountingPolicyForFairValueMeasurementExplanatory</t>
  </si>
  <si>
    <t>Description Of Accounting Policy For Fair Value Measurement Explanatory</t>
  </si>
  <si>
    <t xml:space="preserve">                    Description Of Accounting Policy For Fair Value Measurement Explanatory</t>
  </si>
  <si>
    <t>DescriptionOfAccountingPolicyForBorrowingsExplanatory</t>
  </si>
  <si>
    <t>Description Of Accounting Policy For Borrowings Explanatory</t>
  </si>
  <si>
    <t xml:space="preserve">                    Description Of Accounting Policy For Borrowings Explanatory</t>
  </si>
  <si>
    <t>DisclosureOfObjectivesPoliciesAndProcessesForManagingCapitalExplanatory</t>
  </si>
  <si>
    <t>Disclosure Of Objectives Policies And Processes For Managing Capital Explanatory</t>
  </si>
  <si>
    <t xml:space="preserve">                    Disclosure Of Objectives Policies And Processes For Managing Capital Explanatory</t>
  </si>
  <si>
    <t>DisclosureOfCreditRiskExplanatory</t>
  </si>
  <si>
    <t>Disclosure Of Credit Risk Explanatory</t>
  </si>
  <si>
    <t xml:space="preserve">                    Disclosure Of Credit Risk Explanatory</t>
  </si>
  <si>
    <t>DisclosureOfCashAndCashEquivalentsExplanatory</t>
  </si>
  <si>
    <t>Disclosure Of Cash And Cash Equivalents Explanatory</t>
  </si>
  <si>
    <t xml:space="preserve">                    Disclosure Of Cash And Cash Equivalents Explanatory</t>
  </si>
  <si>
    <t>DescriptionOfAccountingPolicyToDetermineComponentsOfCashAndCashEquivalents</t>
  </si>
  <si>
    <t>Description Of Accounting Policy To Determine Components Of Cash And Cash Equivalents</t>
  </si>
  <si>
    <t xml:space="preserve">                    Description Of Accounting Policy To Determine Components Of Cash And Cash Equivalents</t>
  </si>
  <si>
    <t>DisclosureOfRestrictedCashAndCashEquivalentsExplanatory</t>
  </si>
  <si>
    <t>Disclosure Of Restricted Cash And Cash Equivalents Explanatory</t>
  </si>
  <si>
    <t xml:space="preserve">                    Disclosure Of Restricted Cash And Cash Equivalents Explanatory</t>
  </si>
  <si>
    <t>DisclosureOfShareCapitalReservesAndOtherEquityInterestExplanatory</t>
  </si>
  <si>
    <t>Disclosure Of Share Capital Reserves And Other Equity Interest Explanatory</t>
  </si>
  <si>
    <t xml:space="preserve">                    Disclosure Of Share Capital Reserves And Other Equity Interest Explanatory</t>
  </si>
  <si>
    <t>DescriptionOfAccountingPolicyForIssuedCapitalExplanatory</t>
  </si>
  <si>
    <t>Description Of Accounting Policy For Issued Capital Explanatory</t>
  </si>
  <si>
    <t xml:space="preserve">                    Description Of Accounting Policy For Issued Capital Explanatory</t>
  </si>
  <si>
    <t>DisclosureOfIssuedCapitalExplanatory</t>
  </si>
  <si>
    <t>Disclosure Of Issued Capital Explanatory</t>
  </si>
  <si>
    <t xml:space="preserve">                    Disclosure Of Issued Capital Explanatory</t>
  </si>
  <si>
    <t>DisclosureOfReservesAndOtherEquityInterestExplanatory</t>
  </si>
  <si>
    <t>Disclosure Of Reserves And Other Equity Interest Explanatory</t>
  </si>
  <si>
    <t xml:space="preserve">                    Disclosure Of Reserves And Other Equity Interest Explanatory</t>
  </si>
  <si>
    <t>DisclosureOfNoncontrollingInterestsExplanatory</t>
  </si>
  <si>
    <t>Disclosure Of Noncontrolling Interests Explanatory</t>
  </si>
  <si>
    <t xml:space="preserve">                    Disclosure Of Noncontrolling Interests Explanatory</t>
  </si>
  <si>
    <t>DisclosureOfTreasurySharesExplanatory</t>
  </si>
  <si>
    <t>Disclosure Of Treasury Shares Explanatory</t>
  </si>
  <si>
    <t xml:space="preserve">                    Disclosure Of Treasury Shares Explanatory</t>
  </si>
  <si>
    <t>DisclosureOfClaimsAndBenefitsPaidExplanatory</t>
  </si>
  <si>
    <t>Disclosure Of Claims And Benefits Paid Explanatory</t>
  </si>
  <si>
    <t xml:space="preserve">                    Disclosure Of Claims And Benefits Paid Explanatory</t>
  </si>
  <si>
    <t>DescriptionOfAccountingPolicyForEmployeeBenefitsExplanatory</t>
  </si>
  <si>
    <t>Description Of Accounting Policy For Employee Benefits Explanatory</t>
  </si>
  <si>
    <t xml:space="preserve">                    Description Of Accounting Policy For Employee Benefits Explanatory</t>
  </si>
  <si>
    <t>DescriptionOfAccountingPolicyForTerminationBenefits</t>
  </si>
  <si>
    <t>Description Of Accounting Policy For Termination Benefits</t>
  </si>
  <si>
    <t xml:space="preserve">                    Description Of Accounting Policy For Termination Benefits</t>
  </si>
  <si>
    <t>DisclosureOfProvisionsExplanatory</t>
  </si>
  <si>
    <t>Disclosure Of Provisions Explanatory</t>
  </si>
  <si>
    <t xml:space="preserve">                    Disclosure Of Provisions Explanatory</t>
  </si>
  <si>
    <t>DescriptionOfAccountingPolicyForProvisionsExplanatory</t>
  </si>
  <si>
    <t>Description Of Accounting Policy For Provisions Explanatory</t>
  </si>
  <si>
    <t xml:space="preserve">                    Description Of Accounting Policy For Provisions Explanatory</t>
  </si>
  <si>
    <t>DisclosureOfOtherLiabilitiesExplanatory</t>
  </si>
  <si>
    <t>Disclosure Of Other Liabilities Explanatory</t>
  </si>
  <si>
    <t xml:space="preserve">                    Disclosure Of Other Liabilities Explanatory</t>
  </si>
  <si>
    <t>DisclosureOfAccruedExpensesAndOtherLiabilitiesExplanatory</t>
  </si>
  <si>
    <t>Disclosure Of Accrued Expenses And Other Liabilities Explanatory</t>
  </si>
  <si>
    <t xml:space="preserve">                    Disclosure Of Accrued Expenses And Other Liabilities Explanatory</t>
  </si>
  <si>
    <t>DisclosureOfContingentLiabilitiesExplanatory</t>
  </si>
  <si>
    <t>Disclosure Of Contingent Liabilities Explanatory</t>
  </si>
  <si>
    <t xml:space="preserve">                    Disclosure Of Contingent Liabilities Explanatory</t>
  </si>
  <si>
    <t>DisclosureOfCommitmentsAndContingentLiabilitiesExplanatory</t>
  </si>
  <si>
    <t>Disclosure Of Commitments And Contingent Liabilities Explanatory</t>
  </si>
  <si>
    <t xml:space="preserve">                    Disclosure Of Commitments And Contingent Liabilities Explanatory</t>
  </si>
  <si>
    <t>DescriptionOfAccountingPolicyForContingentLiabilitiesAndContingentAssetsExplanatory</t>
  </si>
  <si>
    <t>Description Of Accounting Policy For Contingent Liabilities And Contingent Assets Explanatory</t>
  </si>
  <si>
    <t xml:space="preserve">                    Description Of Accounting Policy For Contingent Liabilities And Contingent Assets Explanatory</t>
  </si>
  <si>
    <t>DisclosureOfCollateralExplanatory</t>
  </si>
  <si>
    <t>Disclosure Of Collateral Explanatory</t>
  </si>
  <si>
    <t xml:space="preserve">                    Disclosure Of Collateral Explanatory</t>
  </si>
  <si>
    <t>DisclosureOfCashFlowStatementExplanatory</t>
  </si>
  <si>
    <t>Disclosure Of Cash Flow Statement Explanatory</t>
  </si>
  <si>
    <t xml:space="preserve">                    Disclosure Of Cash Flow Statement Explanatory</t>
  </si>
  <si>
    <t>DisclosureOfBusinessCombinationsExplanatory</t>
  </si>
  <si>
    <t>Disclosure Of Business Combinations Explanatory</t>
  </si>
  <si>
    <t xml:space="preserve">                    Disclosure Of Business Combinations Explanatory</t>
  </si>
  <si>
    <t>DescriptionOfAccountingPolicyForBusinessCombinationsAndGoodwillExplanatory</t>
  </si>
  <si>
    <t>Description Of Accounting Policy For Business Combinations And Goodwill Explanatory</t>
  </si>
  <si>
    <t xml:space="preserve">                    Description Of Accounting Policy For Business Combinations And Goodwill Explanatory</t>
  </si>
  <si>
    <t>DescriptionOfAccountingPolicyForBusinessCombinationsExplanatory</t>
  </si>
  <si>
    <t>Description Of Accounting Policy For Business Combinations Explanatory</t>
  </si>
  <si>
    <t xml:space="preserve">                    Description Of Accounting Policy For Business Combinations Explanatory</t>
  </si>
  <si>
    <t>DescriptionOfAccountingPolicyForGoodwillExplanatory</t>
  </si>
  <si>
    <t>Description Of Accounting Policy For Goodwill Explanatory</t>
  </si>
  <si>
    <t xml:space="preserve">                    Description Of Accounting Policy For Goodwill Explanatory</t>
  </si>
  <si>
    <t>DisclosureOfEntitysReportableSegmentsExplanatory</t>
  </si>
  <si>
    <t>Disclosure Of Entitys Reportable Segments Explanatory</t>
  </si>
  <si>
    <t xml:space="preserve">                    Disclosure Of Entitys Reportable Segments Explanatory</t>
  </si>
  <si>
    <t>DescriptionOfAccountingPolicyForSegmentReportingExplanatory</t>
  </si>
  <si>
    <t>Description Of Accounting Policy For Segment Reporting Explanatory</t>
  </si>
  <si>
    <t xml:space="preserve">                    Description Of Accounting Policy For Segment Reporting Explanatory</t>
  </si>
  <si>
    <t>DisclosureOfEventsAfterReportingPeriodExplanatory</t>
  </si>
  <si>
    <t>Disclosure Of Events After Reporting Period Explanatory</t>
  </si>
  <si>
    <t xml:space="preserve">                    Disclosure Of Events After Reporting Period Explanatory</t>
  </si>
  <si>
    <t>2024</t>
  </si>
  <si>
    <t>2025</t>
  </si>
  <si>
    <t>2023</t>
  </si>
  <si>
    <t>Account</t>
  </si>
  <si>
    <t>ASSETS</t>
  </si>
  <si>
    <t>Non-Current Assets</t>
  </si>
  <si>
    <t>Total Noncurrent Assets</t>
  </si>
  <si>
    <t>Total Current Assets</t>
  </si>
  <si>
    <t>TOTAL ASSETS</t>
  </si>
  <si>
    <t>EQUITY AND LIABILITIES</t>
  </si>
  <si>
    <t>EQUITY</t>
  </si>
  <si>
    <t>Total Equity</t>
  </si>
  <si>
    <t>TOTAL EQUITY AND LIABILITIES</t>
  </si>
  <si>
    <t xml:space="preserve"> </t>
  </si>
  <si>
    <t>OPERATING ACTIVITIES</t>
  </si>
  <si>
    <t>INVESTING ACTIVITIES</t>
  </si>
  <si>
    <t>FINANCING ACTIVITIES</t>
  </si>
  <si>
    <t>Cash And Cash Equivalents End of Year</t>
  </si>
  <si>
    <t>Cash And Cash Equivalents Beginning of Year</t>
  </si>
  <si>
    <t>Revenue Growth</t>
  </si>
  <si>
    <t>Property Plant And Equipment</t>
  </si>
  <si>
    <t>Investment in Associates</t>
  </si>
  <si>
    <t>Other Non-current Assets</t>
  </si>
  <si>
    <t>Trade Receivables</t>
  </si>
  <si>
    <t>Long-Term Debt</t>
  </si>
  <si>
    <t>Short-Term Debt</t>
  </si>
  <si>
    <t>Provisions</t>
  </si>
  <si>
    <t>Tax Liabilities</t>
  </si>
  <si>
    <t>Derivative Liabilities</t>
  </si>
  <si>
    <t>Other Liabilities</t>
  </si>
  <si>
    <t>Contract Liabilities</t>
  </si>
  <si>
    <t>LIABILITIES</t>
  </si>
  <si>
    <t>Operating Liabilities</t>
  </si>
  <si>
    <t>Debt</t>
  </si>
  <si>
    <t>Y2024</t>
  </si>
  <si>
    <t>Y2025</t>
  </si>
  <si>
    <t>Depreciation &amp; amortization</t>
  </si>
  <si>
    <t>Income Taxes Paid</t>
  </si>
  <si>
    <t>Dividends Received</t>
  </si>
  <si>
    <t>Other Adjustments For Non-cash Items</t>
  </si>
  <si>
    <t>Change in Inventory</t>
  </si>
  <si>
    <t>Change in Receivable</t>
  </si>
  <si>
    <t>Change in Payable</t>
  </si>
  <si>
    <t>Change in Provisions</t>
  </si>
  <si>
    <t>Change in Contract Liabilities</t>
  </si>
  <si>
    <t>Other Working Capital</t>
  </si>
  <si>
    <t>Cash Flows from Operating Activities</t>
  </si>
  <si>
    <t>Other Investing</t>
  </si>
  <si>
    <t>Net Equity Investment</t>
  </si>
  <si>
    <t>Net Related-Party Loans</t>
  </si>
  <si>
    <t>Capital Expenditure</t>
  </si>
  <si>
    <t>Debt Issued</t>
  </si>
  <si>
    <t>Debt Repaid</t>
  </si>
  <si>
    <t>Equity Transactions</t>
  </si>
  <si>
    <t>Net Other Financing</t>
  </si>
  <si>
    <t>Change in Cash Flow</t>
  </si>
  <si>
    <t>Effect Of Exchange Rate Changes</t>
  </si>
  <si>
    <t>Query - Cash Flow</t>
  </si>
  <si>
    <t>Query - Balance Sheet</t>
  </si>
  <si>
    <t>Query - Income Statement</t>
  </si>
  <si>
    <t>Query - Data Transformation</t>
  </si>
  <si>
    <t>Query - Raw Data</t>
  </si>
  <si>
    <t>EBIT Margin</t>
  </si>
  <si>
    <t>EBIT</t>
  </si>
  <si>
    <t>All figures in SEK million unless stated</t>
  </si>
  <si>
    <t>Cost of Sales</t>
  </si>
  <si>
    <t>Interest Income</t>
  </si>
  <si>
    <t>Net Income</t>
  </si>
  <si>
    <t>Gross Income</t>
  </si>
  <si>
    <t>Other Operating Income and Expense</t>
  </si>
  <si>
    <t>Operating Income</t>
  </si>
  <si>
    <t>Share of Income in joint ventures and associates</t>
  </si>
  <si>
    <t>Interest Income and Similar Credits</t>
  </si>
  <si>
    <t>Interest Expense and Similar Changes</t>
  </si>
  <si>
    <t>Other Financial Uncome and expenses</t>
  </si>
  <si>
    <t>Income Before Tax</t>
  </si>
  <si>
    <t>Income Tax</t>
  </si>
  <si>
    <t>Base</t>
  </si>
  <si>
    <t>Upside</t>
  </si>
  <si>
    <t>Downside</t>
  </si>
  <si>
    <t>Scenario</t>
  </si>
  <si>
    <t>Other Financial Items</t>
  </si>
  <si>
    <t>Net Capital Expenditure</t>
  </si>
  <si>
    <t>Disposal of Tangible Assets</t>
  </si>
  <si>
    <t>Driver</t>
  </si>
  <si>
    <t>% of Revenue</t>
  </si>
  <si>
    <t>Total Debt</t>
  </si>
  <si>
    <t>Total Liabilities</t>
  </si>
  <si>
    <t>EBITDA</t>
  </si>
  <si>
    <t>Retail sales, units</t>
  </si>
  <si>
    <t>Revenue (SEKm)</t>
  </si>
  <si>
    <t>Research and development expenses</t>
  </si>
  <si>
    <t>Operating income (EBIT)</t>
  </si>
  <si>
    <t>EBIT excl. share of income from JVs and associates</t>
  </si>
  <si>
    <t>EBIT excl. items affecting comparability</t>
  </si>
  <si>
    <t>Net income</t>
  </si>
  <si>
    <t>Basic earnings per share (SEK)</t>
  </si>
  <si>
    <t>Cash flow from operating activities</t>
  </si>
  <si>
    <t>Cash flow from investing activities</t>
  </si>
  <si>
    <t>Net cash</t>
  </si>
  <si>
    <t>Gross margin (%)</t>
  </si>
  <si>
    <t>EBIT margin (%)</t>
  </si>
  <si>
    <t>EBIT margin excl. JV income (%)</t>
  </si>
  <si>
    <t>EBIT margin excl. comparability items (%)</t>
  </si>
  <si>
    <t>EBITDA margin (%)</t>
  </si>
  <si>
    <t>Equity ratio (%)</t>
  </si>
  <si>
    <t>Return on invested capital (ROIC) (%)</t>
  </si>
  <si>
    <t>Key Ratio Table</t>
  </si>
  <si>
    <t>Wholesales, units</t>
  </si>
  <si>
    <t>Production volume, units</t>
  </si>
  <si>
    <t>Other Key Financial Data</t>
  </si>
  <si>
    <t>Production and Wholesale Volumes</t>
  </si>
  <si>
    <t>Electrification Share</t>
  </si>
  <si>
    <t>Electrified cars share %</t>
  </si>
  <si>
    <t>BEV share %</t>
  </si>
  <si>
    <t>Region</t>
  </si>
  <si>
    <t>Europe</t>
  </si>
  <si>
    <t>China</t>
  </si>
  <si>
    <t>US</t>
  </si>
  <si>
    <t>Retail sales total</t>
  </si>
  <si>
    <t>Gross Margin</t>
  </si>
  <si>
    <t>Gross Margin (%)</t>
  </si>
  <si>
    <t>EBIT Margin (%)</t>
  </si>
  <si>
    <t>Volvo had very strong growth from 2021–2023, then:</t>
  </si>
  <si>
    <t>• growth stalled in 2024</t>
  </si>
  <si>
    <t>• revenue declined sharply in 2025</t>
  </si>
  <si>
    <t>So the issue is recent, not structural across the entire period.</t>
  </si>
  <si>
    <t>Volvo’s profitability had already been gradually declining before the sharp 2025 collapse.</t>
  </si>
  <si>
    <t>Research and Development</t>
  </si>
  <si>
    <t>R&amp;D spending more than doubled relative to revenue.</t>
  </si>
  <si>
    <t>This aligns with:</t>
  </si>
  <si>
    <t>• EV platform investment</t>
  </si>
  <si>
    <t>• battery technology</t>
  </si>
  <si>
    <t>• software development</t>
  </si>
  <si>
    <t>The EV transition has significantly increased Volvo’s development costs.</t>
  </si>
  <si>
    <t>Unit Solds</t>
  </si>
  <si>
    <t>Unit Solds (% Change)</t>
  </si>
  <si>
    <t>Revenue (% Change)</t>
  </si>
  <si>
    <t>Volumes dropped 7% in 2025, but revenue dropped 11%.</t>
  </si>
  <si>
    <t>Meaning:</t>
  </si>
  <si>
    <t>• pricing pressure</t>
  </si>
  <si>
    <t>• weaker product mix</t>
  </si>
  <si>
    <t>• discounting</t>
  </si>
  <si>
    <t>Trend Analysis</t>
  </si>
  <si>
    <t>REVENUE AND MARGIN TREND</t>
  </si>
  <si>
    <t>RESEARCH AND DEVELOPMENT INTENSITY</t>
  </si>
  <si>
    <t>VOLUME VS REVENUE</t>
  </si>
  <si>
    <t>CASH FLOW TREND</t>
  </si>
  <si>
    <t>Operating Cash Flow</t>
  </si>
  <si>
    <t>Cash flow grew strongly until 2024 but declined in 2025.</t>
  </si>
  <si>
    <t>INVESTMENT INTENSITY</t>
  </si>
  <si>
    <t>This reflects:</t>
  </si>
  <si>
    <t>• EV transition</t>
  </si>
  <si>
    <t>• factory upgrades</t>
  </si>
  <si>
    <t>• digital platforms</t>
  </si>
  <si>
    <t>INDUSTRY TRANSFORMATION INDICATOR</t>
  </si>
  <si>
    <t>Electrified %</t>
  </si>
  <si>
    <t>But this transition creates:</t>
  </si>
  <si>
    <t>• high upfront costs</t>
  </si>
  <si>
    <t>• temporary margin pressure</t>
  </si>
  <si>
    <t>R&amp;D Intensity</t>
  </si>
  <si>
    <t>Operating Expenses</t>
  </si>
  <si>
    <t>Can Volvo reach an 8% EBIT margin in 2026?</t>
  </si>
  <si>
    <t>R&amp;D</t>
  </si>
  <si>
    <t>EV competition stay intense</t>
  </si>
  <si>
    <t>EV costs stabilize and demand recovers</t>
  </si>
  <si>
    <t>EV scale improves manufacturing eficiency</t>
  </si>
  <si>
    <t>Scenario Switch</t>
  </si>
  <si>
    <t>R&amp;D % of Revenue</t>
  </si>
  <si>
    <t>Scenario Analysis</t>
  </si>
  <si>
    <r>
      <t xml:space="preserve">Volvo </t>
    </r>
    <r>
      <rPr>
        <b/>
        <sz val="11"/>
        <rFont val="Calibri"/>
        <family val="2"/>
        <scheme val="minor"/>
      </rPr>
      <t>has not reached 8% EBIT margin in the last five years</t>
    </r>
    <r>
      <rPr>
        <sz val="11"/>
        <rFont val="Calibri"/>
        <family val="2"/>
        <scheme val="minor"/>
      </rPr>
      <t>.</t>
    </r>
  </si>
  <si>
    <r>
      <t xml:space="preserve">Volvo has been investing </t>
    </r>
    <r>
      <rPr>
        <b/>
        <sz val="11"/>
        <rFont val="Calibri"/>
        <family val="2"/>
        <scheme val="minor"/>
      </rPr>
      <t>heavily for years</t>
    </r>
    <r>
      <rPr>
        <sz val="11"/>
        <rFont val="Calibri"/>
        <family val="2"/>
        <scheme val="minor"/>
      </rPr>
      <t>, peaking in 2023.</t>
    </r>
  </si>
  <si>
    <r>
      <t xml:space="preserve">Volvo is among the </t>
    </r>
    <r>
      <rPr>
        <b/>
        <sz val="11"/>
        <rFont val="Calibri"/>
        <family val="2"/>
        <scheme val="minor"/>
      </rPr>
      <t>fastest electrifying automakers</t>
    </r>
    <r>
      <rPr>
        <sz val="11"/>
        <rFont val="Calibri"/>
        <family val="2"/>
        <scheme val="minor"/>
      </rPr>
      <t>.</t>
    </r>
  </si>
  <si>
    <r>
      <t xml:space="preserve">Key Takeaway:
</t>
    </r>
    <r>
      <rPr>
        <sz val="12"/>
        <rFont val="Open Sans"/>
        <family val="2"/>
      </rPr>
      <t>Volvo’s 8% EBIT margin target for 2026 appears achievable only under favorable conditions, particularly if gross margins recover significantly and R&amp;D intensity declines as electrification investments stabilize.</t>
    </r>
  </si>
  <si>
    <r>
      <rPr>
        <b/>
        <sz val="11"/>
        <rFont val="Open Sans"/>
        <family val="2"/>
      </rPr>
      <t>KEY FINDING</t>
    </r>
    <r>
      <rPr>
        <sz val="11"/>
        <rFont val="Open Sans"/>
        <family val="2"/>
      </rPr>
      <t xml:space="preserve">
Volvo’s profitability deteriorated significantly in 2025 as gross margins declined and R&amp;D investment surged during the EV transition. Sensitivity analysis suggests that reaching the 8% EBIT margin target in 2026 requires a meaningful recovery in gross margins combined with a normalization of R&amp;D spending.</t>
    </r>
  </si>
  <si>
    <t>Drivers: Gross Margin vs R&amp;D Intensity</t>
  </si>
  <si>
    <t>EBIT Margin Sensitivity Analysis (2026)</t>
  </si>
  <si>
    <t>VOLVO Profitability Dashboard</t>
  </si>
  <si>
    <t>of Revenue</t>
  </si>
  <si>
    <r>
      <rPr>
        <b/>
        <sz val="11"/>
        <color theme="1"/>
        <rFont val="Open Sans"/>
        <family val="2"/>
      </rPr>
      <t>Revenue</t>
    </r>
    <r>
      <rPr>
        <sz val="11"/>
        <color theme="1"/>
        <rFont val="Open Sans"/>
        <family val="2"/>
      </rPr>
      <t xml:space="preserve"> (2025)</t>
    </r>
  </si>
  <si>
    <t>Change EBIT Margin (%)</t>
  </si>
  <si>
    <r>
      <t xml:space="preserve">EBIT Margin </t>
    </r>
    <r>
      <rPr>
        <sz val="11"/>
        <color theme="1"/>
        <rFont val="Open Sans"/>
        <family val="2"/>
      </rPr>
      <t>(2025)</t>
    </r>
  </si>
  <si>
    <t>2026 EBIT Margin Scenario Summary</t>
  </si>
  <si>
    <t>Volume</t>
  </si>
  <si>
    <t>EBIT Margin Sensitivity (2026)</t>
  </si>
  <si>
    <t>Key Insights</t>
  </si>
  <si>
    <r>
      <t xml:space="preserve">🟩 </t>
    </r>
    <r>
      <rPr>
        <b/>
        <sz val="11"/>
        <rFont val="Open Sans"/>
        <family val="2"/>
      </rPr>
      <t>Profitability collapsed</t>
    </r>
    <r>
      <rPr>
        <sz val="11"/>
        <rFont val="Open Sans"/>
        <family val="2"/>
      </rPr>
      <t xml:space="preserve"> in 2025 due to rising </t>
    </r>
    <r>
      <rPr>
        <b/>
        <sz val="11"/>
        <rFont val="Open Sans"/>
        <family val="2"/>
      </rPr>
      <t>R&amp;D</t>
    </r>
  </si>
  <si>
    <r>
      <t xml:space="preserve">🟩 </t>
    </r>
    <r>
      <rPr>
        <b/>
        <sz val="11"/>
        <rFont val="Open Sans"/>
        <family val="2"/>
      </rPr>
      <t>8%</t>
    </r>
    <r>
      <rPr>
        <sz val="11"/>
        <rFont val="Open Sans"/>
        <family val="2"/>
      </rPr>
      <t xml:space="preserve"> target achievable only in</t>
    </r>
    <r>
      <rPr>
        <b/>
        <sz val="11"/>
        <rFont val="Open Sans"/>
        <family val="2"/>
      </rPr>
      <t xml:space="preserve"> upside scenario</t>
    </r>
  </si>
  <si>
    <r>
      <t xml:space="preserve">🟩 </t>
    </r>
    <r>
      <rPr>
        <b/>
        <sz val="11"/>
        <rFont val="Open Sans"/>
        <family val="2"/>
      </rPr>
      <t>Gross margin recovery</t>
    </r>
    <r>
      <rPr>
        <sz val="11"/>
        <rFont val="Open Sans"/>
        <family val="2"/>
      </rPr>
      <t xml:space="preserve"> is the biggest driver</t>
    </r>
  </si>
  <si>
    <r>
      <t xml:space="preserve">🟩 R&amp;D must decline toward </t>
    </r>
    <r>
      <rPr>
        <b/>
        <sz val="11"/>
        <color theme="1"/>
        <rFont val="Open Sans"/>
        <family val="2"/>
      </rPr>
      <t>-8%</t>
    </r>
    <r>
      <rPr>
        <sz val="11"/>
        <color theme="1"/>
        <rFont val="Open Sans"/>
        <family val="2"/>
      </rPr>
      <t xml:space="preserve"> to </t>
    </r>
    <r>
      <rPr>
        <b/>
        <sz val="11"/>
        <color theme="1"/>
        <rFont val="Open Sans"/>
        <family val="2"/>
      </rPr>
      <t>restore margins</t>
    </r>
  </si>
  <si>
    <t>Disclaimer:
This analysis is based solely on publicly available information and is intended to demonstrate analytical approach and driver-based financial modeling rather than provide a full valuation.</t>
  </si>
  <si>
    <t>Table of Contents</t>
  </si>
  <si>
    <t>Model</t>
  </si>
  <si>
    <t>This brief snapshot is based solely on publicly available information and is intended for discussion purposes only. The objective is to demonstrate analytical approach and driver-based thinking rather than provide a complete financial assessment.</t>
  </si>
  <si>
    <t>Strategic Financial Analysis</t>
  </si>
  <si>
    <t>Can Volvo Reach 8% EBIT Margin by 2026?</t>
  </si>
  <si>
    <t xml:space="preserve">Prepared as part of application for Finance Business Office &amp; Strategy </t>
  </si>
  <si>
    <t>Felicia Nata, CTP</t>
  </si>
  <si>
    <t>Strategic Finance &amp; Treasury Professional | Turning Financial Insight into Executive Decision Support</t>
  </si>
  <si>
    <t>Dashboard</t>
  </si>
  <si>
    <t>Financial Data</t>
  </si>
  <si>
    <t>Model Query</t>
  </si>
  <si>
    <t>Strategic Goal</t>
  </si>
  <si>
    <t>EBIT 2026 &gt; 8%</t>
  </si>
  <si>
    <t xml:space="preserve">Can Volvo Reach 8% EBIT Margin by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</si>
</sst>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0.00_)_%;\(#,##0.00\)_%;_(&quot;–&quot;_)_%;_(@_)_%"/>
    <numFmt numFmtId="165" formatCode="_(#,##0_)_%;\(#,##0\)_%;_(&quot;–&quot;_)_%;_(@_)_%"/>
    <numFmt numFmtId="166" formatCode="_(###0_)_%;\(#,##0\)_%;_(&quot;–&quot;_)_%;_(@_)_%"/>
    <numFmt numFmtId="167" formatCode="_(#,##0.0%_);\(#,##0.0%\);_(&quot;–&quot;_)_%;_(@_)_%"/>
    <numFmt numFmtId="168" formatCode="_(#,##0.000_)_%;\(#,##0.000\)_%;_(&quot;–&quot;_)_%;_(@_)_%"/>
    <numFmt numFmtId="169" formatCode="_(#,##0.00%_);\(#,##0.00%\);_(&quot;–&quot;_)_%;_(@_)_%"/>
    <numFmt numFmtId="170" formatCode="_(#,##0.0000_)_%;\(#,##0.0000\)_%;_(&quot;–&quot;_)_%;_(@_)_%"/>
    <numFmt numFmtId="171" formatCode="0.000%"/>
    <numFmt numFmtId="172" formatCode=";;"/>
    <numFmt numFmtId="173" formatCode="&quot;SEK &quot;0,&quot; B&quot;"/>
    <numFmt numFmtId="174" formatCode="[Red]\▲\ 0.0%;\▼\ 0.0%"/>
    <numFmt numFmtId="175" formatCode="&quot;Yes&quot;;&quot;Yes&quot;;&quot;No&quot;"/>
  </numFmts>
  <fonts count="44" x14ac:knownFonts="1">
    <font>
      <sz val="11"/>
      <color theme="1"/>
      <name val="Calibri"/>
      <family val="2"/>
      <scheme val="minor"/>
    </font>
    <font>
      <b/>
      <sz val="11"/>
      <color theme="1"/>
      <name val="Calibri"/>
      <family val="2"/>
      <scheme val="minor"/>
    </font>
    <font>
      <sz val="8"/>
      <name val="Calibri"/>
      <family val="2"/>
      <scheme val="minor"/>
    </font>
    <font>
      <sz val="10"/>
      <name val="Open Sans"/>
      <family val="2"/>
    </font>
    <font>
      <b/>
      <sz val="10"/>
      <name val="Open Sans"/>
      <family val="2"/>
    </font>
    <font>
      <sz val="10"/>
      <color theme="1"/>
      <name val="Open sans"/>
    </font>
    <font>
      <b/>
      <sz val="10"/>
      <color theme="1"/>
      <name val="Open sans"/>
    </font>
    <font>
      <sz val="10"/>
      <color theme="4"/>
      <name val="Open sans"/>
    </font>
    <font>
      <b/>
      <sz val="10"/>
      <color theme="4"/>
      <name val="Open sans"/>
    </font>
    <font>
      <sz val="10"/>
      <color theme="1"/>
      <name val="Open Sans"/>
      <family val="2"/>
    </font>
    <font>
      <i/>
      <sz val="10"/>
      <name val="Open Sans"/>
      <family val="2"/>
    </font>
    <font>
      <b/>
      <sz val="10"/>
      <color theme="4"/>
      <name val="Open Sans"/>
      <family val="2"/>
    </font>
    <font>
      <b/>
      <sz val="10"/>
      <color theme="1"/>
      <name val="Open Sans"/>
      <family val="2"/>
    </font>
    <font>
      <b/>
      <sz val="11"/>
      <color theme="1"/>
      <name val="Open Sans"/>
      <family val="2"/>
    </font>
    <font>
      <sz val="11"/>
      <color theme="1"/>
      <name val="Open Sans"/>
      <family val="2"/>
    </font>
    <font>
      <b/>
      <sz val="14"/>
      <color theme="1"/>
      <name val="Open Sans"/>
      <family val="2"/>
    </font>
    <font>
      <b/>
      <sz val="16"/>
      <name val="Open Sans"/>
      <family val="2"/>
    </font>
    <font>
      <sz val="11"/>
      <color theme="1"/>
      <name val="Calibri"/>
      <family val="2"/>
      <scheme val="minor"/>
    </font>
    <font>
      <sz val="11"/>
      <name val="Calibri"/>
      <family val="2"/>
      <scheme val="minor"/>
    </font>
    <font>
      <i/>
      <sz val="11"/>
      <name val="Calibri"/>
      <family val="2"/>
      <scheme val="minor"/>
    </font>
    <font>
      <b/>
      <sz val="11"/>
      <name val="Calibri"/>
      <family val="2"/>
      <scheme val="minor"/>
    </font>
    <font>
      <sz val="11"/>
      <name val="Open Sans"/>
      <family val="2"/>
    </font>
    <font>
      <sz val="12"/>
      <name val="Open Sans"/>
      <family val="2"/>
    </font>
    <font>
      <b/>
      <sz val="12"/>
      <name val="Open Sans"/>
      <family val="2"/>
    </font>
    <font>
      <b/>
      <sz val="11"/>
      <name val="Open Sans"/>
      <family val="2"/>
    </font>
    <font>
      <b/>
      <sz val="11"/>
      <color rgb="FFFF0000"/>
      <name val="Open Sans"/>
      <family val="2"/>
    </font>
    <font>
      <b/>
      <sz val="24"/>
      <color theme="1"/>
      <name val="Open Sans"/>
      <family val="2"/>
    </font>
    <font>
      <sz val="9"/>
      <color theme="1"/>
      <name val="Open Sans"/>
      <family val="2"/>
    </font>
    <font>
      <b/>
      <sz val="8"/>
      <name val="Open Sans"/>
      <family val="2"/>
    </font>
    <font>
      <sz val="8"/>
      <name val="Open Sans"/>
      <family val="2"/>
    </font>
    <font>
      <sz val="8"/>
      <color theme="1"/>
      <name val="Open Sans"/>
      <family val="2"/>
    </font>
    <font>
      <b/>
      <sz val="8"/>
      <color theme="1"/>
      <name val="Open Sans"/>
      <family val="2"/>
    </font>
    <font>
      <sz val="14"/>
      <name val="Open Sans"/>
      <family val="2"/>
    </font>
    <font>
      <i/>
      <sz val="9"/>
      <name val="Open Sans"/>
      <family val="2"/>
    </font>
    <font>
      <u/>
      <sz val="11"/>
      <color theme="10"/>
      <name val="Calibri"/>
      <family val="2"/>
      <scheme val="minor"/>
    </font>
    <font>
      <sz val="11"/>
      <color rgb="FF22B46D"/>
      <name val="Open Sans"/>
      <family val="2"/>
    </font>
    <font>
      <u/>
      <sz val="11"/>
      <name val="Open Sans"/>
      <family val="2"/>
    </font>
    <font>
      <b/>
      <sz val="12"/>
      <color theme="1"/>
      <name val="Open Sans"/>
      <family val="2"/>
    </font>
    <font>
      <sz val="14"/>
      <color theme="1"/>
      <name val="Open Sans"/>
      <family val="2"/>
    </font>
    <font>
      <b/>
      <sz val="22"/>
      <color theme="1"/>
      <name val="Open Sans"/>
      <family val="2"/>
    </font>
    <font>
      <sz val="22"/>
      <color theme="1"/>
      <name val="Open Sans"/>
      <family val="2"/>
    </font>
    <font>
      <u/>
      <sz val="14"/>
      <color theme="10"/>
      <name val="Calibri"/>
      <family val="2"/>
      <scheme val="minor"/>
    </font>
    <font>
      <sz val="14"/>
      <color theme="1"/>
      <name val="Calibri"/>
      <family val="2"/>
      <scheme val="minor"/>
    </font>
    <font>
      <b/>
      <sz val="14"/>
      <name val="Open Sans"/>
      <family val="2"/>
    </font>
  </fonts>
  <fills count="4">
    <fill>
      <patternFill patternType="none"/>
    </fill>
    <fill>
      <patternFill patternType="gray125"/>
    </fill>
    <fill>
      <patternFill patternType="solid">
        <fgColor rgb="FFF9F4EA"/>
        <bgColor indexed="64"/>
      </patternFill>
    </fill>
    <fill>
      <patternFill patternType="solid">
        <fgColor theme="0"/>
        <bgColor indexed="64"/>
      </patternFill>
    </fill>
  </fills>
  <borders count="14">
    <border>
      <left/>
      <right/>
      <top/>
      <bottom/>
      <diagonal/>
    </border>
    <border>
      <left/>
      <right/>
      <top/>
      <bottom style="dotted">
        <color indexed="64"/>
      </bottom>
      <diagonal/>
    </border>
    <border>
      <left/>
      <right/>
      <top/>
      <bottom style="thin">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rgb="FF6E5B4B"/>
      </bottom>
      <diagonal/>
    </border>
    <border>
      <left style="medium">
        <color indexed="64"/>
      </left>
      <right/>
      <top/>
      <bottom/>
      <diagonal/>
    </border>
    <border>
      <left/>
      <right style="medium">
        <color indexed="64"/>
      </right>
      <top/>
      <bottom/>
      <diagonal/>
    </border>
  </borders>
  <cellStyleXfs count="3">
    <xf numFmtId="0" fontId="0" fillId="0" borderId="0"/>
    <xf numFmtId="9" fontId="17" fillId="0" borderId="0" applyFont="0" applyFill="0" applyBorder="0" applyAlignment="0" applyProtection="0"/>
    <xf numFmtId="0" fontId="34" fillId="0" borderId="0" applyNumberFormat="0" applyFill="0" applyBorder="0" applyAlignment="0" applyProtection="0"/>
  </cellStyleXfs>
  <cellXfs count="144">
    <xf numFmtId="0" fontId="0" fillId="0" borderId="0" xfId="0"/>
    <xf numFmtId="164" fontId="3" fillId="0" borderId="0" xfId="0" applyNumberFormat="1" applyFont="1" applyAlignment="1">
      <alignment vertical="center"/>
    </xf>
    <xf numFmtId="165" fontId="3" fillId="0" borderId="0" xfId="0" applyNumberFormat="1" applyFont="1" applyAlignment="1">
      <alignment vertical="center"/>
    </xf>
    <xf numFmtId="165" fontId="4" fillId="0" borderId="0" xfId="0" applyNumberFormat="1" applyFont="1" applyAlignment="1">
      <alignment vertical="center"/>
    </xf>
    <xf numFmtId="0" fontId="5" fillId="0" borderId="0" xfId="0" applyFont="1"/>
    <xf numFmtId="0" fontId="6" fillId="0" borderId="0" xfId="0" applyFont="1"/>
    <xf numFmtId="0" fontId="7" fillId="0" borderId="0" xfId="0" applyFont="1"/>
    <xf numFmtId="165" fontId="7" fillId="0" borderId="0" xfId="0" applyNumberFormat="1" applyFont="1" applyAlignment="1">
      <alignment vertical="center"/>
    </xf>
    <xf numFmtId="165" fontId="8" fillId="0" borderId="0" xfId="0" applyNumberFormat="1" applyFont="1" applyAlignment="1">
      <alignment vertical="center"/>
    </xf>
    <xf numFmtId="0" fontId="0" fillId="2" borderId="0" xfId="0" applyFill="1"/>
    <xf numFmtId="165" fontId="5" fillId="0" borderId="0" xfId="0" applyNumberFormat="1" applyFont="1"/>
    <xf numFmtId="0" fontId="3" fillId="2" borderId="0" xfId="0" applyFont="1" applyFill="1"/>
    <xf numFmtId="0" fontId="3" fillId="0" borderId="0" xfId="0" applyFont="1"/>
    <xf numFmtId="0" fontId="9" fillId="0" borderId="0" xfId="0" applyFont="1"/>
    <xf numFmtId="165" fontId="3" fillId="0" borderId="0" xfId="0" applyNumberFormat="1" applyFont="1"/>
    <xf numFmtId="165" fontId="4" fillId="0" borderId="0" xfId="0" applyNumberFormat="1" applyFont="1"/>
    <xf numFmtId="165" fontId="11" fillId="0" borderId="0" xfId="0" applyNumberFormat="1" applyFont="1" applyAlignment="1">
      <alignment vertical="center"/>
    </xf>
    <xf numFmtId="0" fontId="4" fillId="2" borderId="0" xfId="0" applyFont="1" applyFill="1" applyAlignment="1">
      <alignment horizontal="center"/>
    </xf>
    <xf numFmtId="0" fontId="1" fillId="2" borderId="0" xfId="0" applyFont="1" applyFill="1" applyAlignment="1">
      <alignment horizontal="center"/>
    </xf>
    <xf numFmtId="0" fontId="14" fillId="0" borderId="0" xfId="0" applyFont="1"/>
    <xf numFmtId="0" fontId="12" fillId="2" borderId="0" xfId="0" applyFont="1" applyFill="1" applyAlignment="1">
      <alignment horizontal="center"/>
    </xf>
    <xf numFmtId="0" fontId="1" fillId="0" borderId="0" xfId="0" applyFont="1" applyAlignment="1">
      <alignment horizontal="center"/>
    </xf>
    <xf numFmtId="0" fontId="15" fillId="2" borderId="0" xfId="0" applyFont="1" applyFill="1"/>
    <xf numFmtId="0" fontId="4" fillId="0" borderId="0" xfId="0" applyFont="1"/>
    <xf numFmtId="0" fontId="16" fillId="2" borderId="0" xfId="0" applyFont="1" applyFill="1"/>
    <xf numFmtId="167" fontId="3" fillId="0" borderId="0" xfId="0" applyNumberFormat="1" applyFont="1"/>
    <xf numFmtId="165" fontId="3" fillId="0" borderId="1" xfId="0" applyNumberFormat="1" applyFont="1" applyBorder="1" applyAlignment="1">
      <alignment vertical="center"/>
    </xf>
    <xf numFmtId="166" fontId="4" fillId="0" borderId="2" xfId="0" applyNumberFormat="1" applyFont="1" applyBorder="1" applyAlignment="1">
      <alignment horizontal="right" vertical="center"/>
    </xf>
    <xf numFmtId="0" fontId="18" fillId="0" borderId="0" xfId="0" applyFont="1"/>
    <xf numFmtId="0" fontId="10" fillId="2" borderId="0" xfId="0" applyFont="1" applyFill="1" applyAlignment="1">
      <alignment horizontal="right"/>
    </xf>
    <xf numFmtId="0" fontId="10" fillId="0" borderId="0" xfId="0" applyFont="1" applyAlignment="1">
      <alignment horizontal="right"/>
    </xf>
    <xf numFmtId="0" fontId="10" fillId="0" borderId="2" xfId="0" applyFont="1" applyBorder="1"/>
    <xf numFmtId="0" fontId="3" fillId="0" borderId="2" xfId="0" applyFont="1" applyBorder="1"/>
    <xf numFmtId="0" fontId="10" fillId="0" borderId="2" xfId="0" applyFont="1" applyBorder="1" applyAlignment="1">
      <alignment horizontal="right"/>
    </xf>
    <xf numFmtId="0" fontId="4" fillId="0" borderId="3" xfId="0" applyFont="1" applyBorder="1"/>
    <xf numFmtId="0" fontId="10" fillId="0" borderId="3" xfId="0" applyFont="1" applyBorder="1" applyAlignment="1">
      <alignment horizontal="right"/>
    </xf>
    <xf numFmtId="165" fontId="4" fillId="0" borderId="3" xfId="0" applyNumberFormat="1" applyFont="1" applyBorder="1" applyAlignment="1">
      <alignment vertical="center"/>
    </xf>
    <xf numFmtId="166" fontId="4" fillId="0" borderId="0" xfId="0" applyNumberFormat="1" applyFont="1" applyAlignment="1">
      <alignment vertical="center"/>
    </xf>
    <xf numFmtId="0" fontId="19" fillId="0" borderId="0" xfId="0" applyFont="1" applyAlignment="1">
      <alignment horizontal="right"/>
    </xf>
    <xf numFmtId="166" fontId="4" fillId="0" borderId="2" xfId="0" applyNumberFormat="1" applyFont="1" applyBorder="1" applyAlignment="1">
      <alignment horizontal="left" vertical="center"/>
    </xf>
    <xf numFmtId="0" fontId="18" fillId="0" borderId="0" xfId="0" applyFont="1" applyAlignment="1">
      <alignment vertical="center"/>
    </xf>
    <xf numFmtId="0" fontId="20" fillId="0" borderId="0" xfId="0" applyFont="1"/>
    <xf numFmtId="0" fontId="20" fillId="0" borderId="0" xfId="0" applyFont="1" applyAlignment="1">
      <alignment vertical="center"/>
    </xf>
    <xf numFmtId="0" fontId="20" fillId="0" borderId="0" xfId="0" applyFont="1" applyAlignment="1">
      <alignment horizontal="right" vertical="center"/>
    </xf>
    <xf numFmtId="164" fontId="4" fillId="0" borderId="0" xfId="0" applyNumberFormat="1"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0" fontId="16" fillId="0" borderId="0" xfId="0" applyFont="1"/>
    <xf numFmtId="0" fontId="3" fillId="0" borderId="0" xfId="0" applyFont="1" applyAlignment="1">
      <alignment horizontal="center"/>
    </xf>
    <xf numFmtId="0" fontId="4" fillId="0" borderId="0" xfId="0" applyFont="1" applyAlignment="1">
      <alignment horizontal="right"/>
    </xf>
    <xf numFmtId="164" fontId="3" fillId="0" borderId="0" xfId="0" applyNumberFormat="1" applyFont="1"/>
    <xf numFmtId="168" fontId="3" fillId="0" borderId="0" xfId="0" applyNumberFormat="1" applyFont="1"/>
    <xf numFmtId="169" fontId="3" fillId="0" borderId="0" xfId="0" applyNumberFormat="1" applyFont="1" applyAlignment="1">
      <alignment vertical="center"/>
    </xf>
    <xf numFmtId="170" fontId="3" fillId="0" borderId="0" xfId="0" applyNumberFormat="1" applyFont="1"/>
    <xf numFmtId="10" fontId="3" fillId="0" borderId="0" xfId="1" applyNumberFormat="1" applyFont="1"/>
    <xf numFmtId="168" fontId="4" fillId="0" borderId="0" xfId="0" applyNumberFormat="1" applyFont="1"/>
    <xf numFmtId="171" fontId="3" fillId="0" borderId="0" xfId="0" applyNumberFormat="1" applyFont="1"/>
    <xf numFmtId="0" fontId="10" fillId="0" borderId="0" xfId="0" applyFont="1"/>
    <xf numFmtId="0" fontId="3" fillId="0" borderId="0" xfId="0" applyFont="1" applyAlignment="1">
      <alignment vertical="center"/>
    </xf>
    <xf numFmtId="0" fontId="4" fillId="0" borderId="0" xfId="0" applyFont="1" applyAlignment="1">
      <alignment vertical="center" textRotation="90"/>
    </xf>
    <xf numFmtId="0" fontId="4" fillId="0" borderId="0" xfId="0" applyFont="1" applyAlignment="1">
      <alignment vertical="center"/>
    </xf>
    <xf numFmtId="169" fontId="3" fillId="0" borderId="0" xfId="0" applyNumberFormat="1" applyFont="1"/>
    <xf numFmtId="167" fontId="3" fillId="0" borderId="10" xfId="0" applyNumberFormat="1" applyFont="1" applyBorder="1" applyAlignment="1">
      <alignment vertical="center"/>
    </xf>
    <xf numFmtId="0" fontId="23" fillId="2" borderId="0" xfId="0" applyFont="1" applyFill="1" applyAlignment="1">
      <alignment horizontal="right" vertical="center"/>
    </xf>
    <xf numFmtId="0" fontId="23" fillId="0" borderId="0" xfId="0" applyFont="1"/>
    <xf numFmtId="9" fontId="4" fillId="2" borderId="0" xfId="1" applyFont="1" applyFill="1" applyBorder="1" applyAlignment="1">
      <alignment horizontal="center"/>
    </xf>
    <xf numFmtId="9" fontId="3" fillId="0" borderId="10" xfId="1" applyFont="1" applyBorder="1" applyAlignment="1">
      <alignment horizontal="center"/>
    </xf>
    <xf numFmtId="172" fontId="3" fillId="0" borderId="0" xfId="1" applyNumberFormat="1" applyFont="1" applyFill="1" applyBorder="1" applyAlignment="1">
      <alignment horizontal="center"/>
    </xf>
    <xf numFmtId="0" fontId="4" fillId="2" borderId="0" xfId="0" applyFont="1" applyFill="1" applyAlignment="1">
      <alignment vertical="center"/>
    </xf>
    <xf numFmtId="0" fontId="4" fillId="2" borderId="0" xfId="0" applyFont="1" applyFill="1" applyAlignment="1">
      <alignment vertical="center" wrapText="1"/>
    </xf>
    <xf numFmtId="0" fontId="14" fillId="3" borderId="0" xfId="0" applyFont="1" applyFill="1"/>
    <xf numFmtId="165" fontId="3" fillId="0" borderId="11" xfId="0" applyNumberFormat="1" applyFont="1" applyBorder="1"/>
    <xf numFmtId="10" fontId="3" fillId="0" borderId="0" xfId="1" applyNumberFormat="1" applyFont="1" applyBorder="1"/>
    <xf numFmtId="0" fontId="14" fillId="2" borderId="0" xfId="0" applyFont="1" applyFill="1"/>
    <xf numFmtId="0" fontId="27" fillId="2" borderId="0" xfId="0" applyFont="1" applyFill="1" applyAlignment="1">
      <alignment horizontal="left"/>
    </xf>
    <xf numFmtId="174" fontId="25" fillId="2" borderId="0" xfId="1" applyNumberFormat="1" applyFont="1" applyFill="1" applyAlignment="1">
      <alignment horizontal="left" vertical="top"/>
    </xf>
    <xf numFmtId="0" fontId="16" fillId="3" borderId="0" xfId="0" applyFont="1" applyFill="1"/>
    <xf numFmtId="0" fontId="27" fillId="3" borderId="0" xfId="0" applyFont="1" applyFill="1" applyAlignment="1">
      <alignment horizontal="left"/>
    </xf>
    <xf numFmtId="174" fontId="25" fillId="3" borderId="0" xfId="1" applyNumberFormat="1" applyFont="1" applyFill="1" applyAlignment="1">
      <alignment horizontal="left" vertical="top"/>
    </xf>
    <xf numFmtId="0" fontId="13" fillId="0" borderId="0" xfId="0" applyFont="1" applyAlignment="1">
      <alignment horizontal="center"/>
    </xf>
    <xf numFmtId="10" fontId="26" fillId="0" borderId="0" xfId="0" applyNumberFormat="1" applyFont="1" applyAlignment="1">
      <alignment horizontal="center"/>
    </xf>
    <xf numFmtId="0" fontId="14" fillId="0" borderId="0" xfId="0" applyFont="1" applyAlignment="1">
      <alignment horizontal="center" vertical="top"/>
    </xf>
    <xf numFmtId="0" fontId="12" fillId="2" borderId="0" xfId="0" applyFont="1" applyFill="1"/>
    <xf numFmtId="9" fontId="28" fillId="2" borderId="0" xfId="1" applyFont="1" applyFill="1" applyBorder="1" applyAlignment="1">
      <alignment horizontal="center"/>
    </xf>
    <xf numFmtId="9" fontId="28" fillId="2" borderId="0" xfId="1" applyFont="1" applyFill="1" applyAlignment="1">
      <alignment horizontal="center" vertical="center"/>
    </xf>
    <xf numFmtId="0" fontId="12" fillId="0" borderId="0" xfId="0" applyFont="1"/>
    <xf numFmtId="10" fontId="24" fillId="0" borderId="0" xfId="1" applyNumberFormat="1" applyFont="1" applyFill="1" applyAlignment="1">
      <alignment vertical="top"/>
    </xf>
    <xf numFmtId="0" fontId="30" fillId="2" borderId="0" xfId="0" applyFont="1" applyFill="1"/>
    <xf numFmtId="0" fontId="31" fillId="2" borderId="0" xfId="0" applyFont="1" applyFill="1" applyAlignment="1">
      <alignment horizontal="center"/>
    </xf>
    <xf numFmtId="9" fontId="29" fillId="2" borderId="10" xfId="1" applyFont="1" applyFill="1" applyBorder="1" applyAlignment="1">
      <alignment horizontal="center" vertical="center"/>
    </xf>
    <xf numFmtId="9" fontId="29" fillId="2" borderId="0" xfId="1" applyFont="1" applyFill="1" applyBorder="1" applyAlignment="1">
      <alignment horizontal="center" vertical="center"/>
    </xf>
    <xf numFmtId="0" fontId="13" fillId="0" borderId="0" xfId="0" applyFont="1"/>
    <xf numFmtId="0" fontId="21" fillId="0" borderId="0" xfId="0" applyFont="1"/>
    <xf numFmtId="0" fontId="21" fillId="3" borderId="0" xfId="0" applyFont="1" applyFill="1"/>
    <xf numFmtId="0" fontId="14" fillId="0" borderId="4" xfId="0" applyFont="1" applyBorder="1"/>
    <xf numFmtId="0" fontId="14" fillId="0" borderId="5" xfId="0" applyFont="1" applyBorder="1"/>
    <xf numFmtId="0" fontId="14" fillId="0" borderId="6" xfId="0" applyFont="1" applyBorder="1"/>
    <xf numFmtId="0" fontId="14" fillId="0" borderId="12" xfId="0" applyFont="1" applyBorder="1"/>
    <xf numFmtId="0" fontId="14" fillId="0" borderId="13" xfId="0" applyFont="1" applyBorder="1"/>
    <xf numFmtId="0" fontId="35" fillId="0" borderId="0" xfId="0" applyFont="1"/>
    <xf numFmtId="0" fontId="14" fillId="0" borderId="0" xfId="0" applyFont="1" applyAlignment="1">
      <alignment horizontal="right"/>
    </xf>
    <xf numFmtId="0" fontId="21" fillId="2" borderId="4" xfId="0" applyFont="1" applyFill="1" applyBorder="1"/>
    <xf numFmtId="0" fontId="21" fillId="2" borderId="5" xfId="0" applyFont="1" applyFill="1" applyBorder="1"/>
    <xf numFmtId="0" fontId="21" fillId="2" borderId="6" xfId="0" applyFont="1" applyFill="1" applyBorder="1"/>
    <xf numFmtId="0" fontId="21" fillId="2" borderId="12" xfId="0" applyFont="1" applyFill="1" applyBorder="1"/>
    <xf numFmtId="0" fontId="21" fillId="2" borderId="13" xfId="0" applyFont="1" applyFill="1" applyBorder="1"/>
    <xf numFmtId="0" fontId="21" fillId="2" borderId="7" xfId="0" applyFont="1" applyFill="1" applyBorder="1"/>
    <xf numFmtId="0" fontId="21" fillId="2" borderId="8" xfId="0" applyFont="1" applyFill="1" applyBorder="1"/>
    <xf numFmtId="0" fontId="21" fillId="2" borderId="9" xfId="0" applyFont="1" applyFill="1" applyBorder="1"/>
    <xf numFmtId="0" fontId="36" fillId="0" borderId="0" xfId="2"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2" applyFont="1" applyFill="1" applyBorder="1"/>
    <xf numFmtId="0" fontId="32" fillId="0" borderId="0" xfId="0" applyFont="1"/>
    <xf numFmtId="0" fontId="42" fillId="0" borderId="0" xfId="0" applyFont="1"/>
    <xf numFmtId="0" fontId="38" fillId="0" borderId="12" xfId="0" applyFont="1" applyBorder="1"/>
    <xf numFmtId="0" fontId="43" fillId="0" borderId="0" xfId="0" applyFont="1"/>
    <xf numFmtId="0" fontId="43" fillId="0" borderId="8" xfId="0" applyFont="1" applyBorder="1"/>
    <xf numFmtId="0" fontId="32" fillId="0" borderId="8" xfId="0" applyFont="1" applyBorder="1"/>
    <xf numFmtId="0" fontId="42" fillId="0" borderId="8" xfId="0" applyFont="1" applyBorder="1"/>
    <xf numFmtId="175" fontId="24" fillId="2" borderId="0" xfId="2" applyNumberFormat="1" applyFont="1" applyFill="1" applyAlignment="1">
      <alignment horizontal="center"/>
    </xf>
    <xf numFmtId="0" fontId="4" fillId="2" borderId="0" xfId="0" applyFont="1" applyFill="1" applyAlignment="1">
      <alignment horizontal="center" vertical="center" wrapText="1"/>
    </xf>
    <xf numFmtId="0" fontId="14" fillId="2" borderId="0" xfId="0" applyFont="1" applyFill="1" applyAlignment="1">
      <alignment horizontal="center"/>
    </xf>
    <xf numFmtId="174" fontId="25" fillId="2" borderId="0" xfId="1" applyNumberFormat="1" applyFont="1" applyFill="1" applyBorder="1" applyAlignment="1">
      <alignment horizontal="center" vertical="top"/>
    </xf>
    <xf numFmtId="173" fontId="26" fillId="2" borderId="0" xfId="0" applyNumberFormat="1" applyFont="1" applyFill="1" applyAlignment="1">
      <alignment horizontal="center"/>
    </xf>
    <xf numFmtId="0" fontId="33" fillId="0" borderId="0" xfId="0" applyFont="1" applyAlignment="1">
      <alignment horizontal="right" vertical="center" wrapText="1"/>
    </xf>
    <xf numFmtId="0" fontId="31" fillId="2" borderId="0" xfId="0" applyFont="1" applyFill="1" applyAlignment="1">
      <alignment horizontal="center"/>
    </xf>
    <xf numFmtId="0" fontId="12" fillId="2" borderId="0" xfId="0" applyFont="1" applyFill="1" applyAlignment="1">
      <alignment horizontal="center" vertical="top"/>
    </xf>
    <xf numFmtId="0" fontId="13" fillId="2" borderId="0" xfId="0" applyFont="1" applyFill="1" applyAlignment="1">
      <alignment horizontal="center"/>
    </xf>
    <xf numFmtId="0" fontId="14" fillId="2" borderId="0" xfId="0" applyFont="1" applyFill="1" applyAlignment="1">
      <alignment horizontal="center" vertical="top"/>
    </xf>
    <xf numFmtId="10" fontId="26" fillId="2" borderId="0" xfId="0" applyNumberFormat="1" applyFont="1" applyFill="1" applyAlignment="1">
      <alignment horizontal="center"/>
    </xf>
    <xf numFmtId="174" fontId="25" fillId="2" borderId="0" xfId="1" applyNumberFormat="1" applyFont="1" applyFill="1" applyAlignment="1">
      <alignment horizontal="center" vertical="top"/>
    </xf>
    <xf numFmtId="0" fontId="28" fillId="2" borderId="0" xfId="0" applyFont="1" applyFill="1" applyAlignment="1">
      <alignment horizontal="center" vertical="center" textRotation="90"/>
    </xf>
    <xf numFmtId="0" fontId="23" fillId="0" borderId="0" xfId="0" applyFont="1" applyAlignment="1">
      <alignment horizontal="left"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4" fillId="2" borderId="0" xfId="0" applyFont="1" applyFill="1" applyAlignment="1">
      <alignment horizontal="center" vertical="center"/>
    </xf>
    <xf numFmtId="0" fontId="4" fillId="2" borderId="0" xfId="0" applyFont="1" applyFill="1" applyAlignment="1">
      <alignment horizontal="center" vertical="center" textRotation="90"/>
    </xf>
  </cellXfs>
  <cellStyles count="3">
    <cellStyle name="Hyperlink" xfId="2" builtinId="8"/>
    <cellStyle name="Normal" xfId="0" builtinId="0"/>
    <cellStyle name="Percent" xfId="1" builtinId="5"/>
  </cellStyles>
  <dxfs count="34">
    <dxf>
      <font>
        <b/>
        <i val="0"/>
        <color rgb="FF006100"/>
      </font>
      <fill>
        <patternFill>
          <bgColor rgb="FFC6EFCE"/>
        </patternFill>
      </fill>
    </dxf>
    <dxf>
      <font>
        <b/>
        <i val="0"/>
        <color theme="0"/>
      </font>
      <fill>
        <patternFill>
          <bgColor theme="9"/>
        </patternFill>
      </fil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dxf>
    <dxf>
      <font>
        <b/>
        <strike val="0"/>
        <outline val="0"/>
        <shadow val="0"/>
        <u val="none"/>
        <vertAlign val="baseline"/>
        <sz val="10"/>
        <color theme="1"/>
        <name val="Open Sans"/>
        <family val="2"/>
        <scheme val="none"/>
      </font>
      <fill>
        <patternFill patternType="solid">
          <fgColor indexed="64"/>
          <bgColor rgb="FFF9F4EA"/>
        </patternFill>
      </fill>
      <alignment horizontal="center" vertical="bottom" textRotation="0" wrapText="0" indent="0" justifyLastLine="0" shrinkToFit="0" readingOrder="0"/>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numFmt numFmtId="0" formatCode="General"/>
    </dxf>
    <dxf>
      <font>
        <strike val="0"/>
        <outline val="0"/>
        <shadow val="0"/>
        <u val="none"/>
        <vertAlign val="baseline"/>
        <sz val="10"/>
        <color theme="1"/>
        <name val="Open Sans"/>
        <family val="2"/>
        <scheme val="none"/>
      </font>
    </dxf>
    <dxf>
      <font>
        <b/>
        <strike val="0"/>
        <outline val="0"/>
        <shadow val="0"/>
        <u val="none"/>
        <vertAlign val="baseline"/>
        <sz val="10"/>
        <color theme="1"/>
        <name val="Open Sans"/>
        <family val="2"/>
        <scheme val="none"/>
      </font>
      <fill>
        <patternFill patternType="solid">
          <fgColor indexed="64"/>
          <bgColor rgb="FFF9F4EA"/>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0_)_%;\(#,##0\)_%;_(&quot;–&quot;_)_%;_(@_)_%"/>
      <alignment horizontal="general"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0_)_%;\(#,##0\)_%;_(&quot;–&quot;_)_%;_(@_)_%"/>
      <alignment horizontal="general"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dxf>
    <dxf>
      <font>
        <b val="0"/>
        <strike val="0"/>
        <outline val="0"/>
        <shadow val="0"/>
        <u val="none"/>
        <vertAlign val="baseline"/>
        <sz val="10"/>
        <color auto="1"/>
        <name val="Open Sans"/>
        <family val="2"/>
        <scheme val="none"/>
      </font>
    </dxf>
    <dxf>
      <font>
        <b/>
        <strike val="0"/>
        <outline val="0"/>
        <shadow val="0"/>
        <u val="none"/>
        <vertAlign val="baseline"/>
        <sz val="10"/>
        <color auto="1"/>
        <name val="Open Sans"/>
        <family val="2"/>
        <scheme val="none"/>
      </font>
      <fill>
        <patternFill patternType="solid">
          <fgColor indexed="64"/>
          <bgColor rgb="FFF9F4EA"/>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0_)_%;\(#,##0\)_%;_(&quot;–&quot;_)_%;_(@_)_%"/>
      <alignment horizontal="general"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0_)_%;\(#,##0\)_%;_(&quot;–&quot;_)_%;_(@_)_%"/>
      <alignment horizontal="general" vertical="center" textRotation="0" wrapText="0" indent="0" justifyLastLine="0" shrinkToFit="0" readingOrder="0"/>
    </dxf>
    <dxf>
      <font>
        <b val="0"/>
        <i val="0"/>
        <strike val="0"/>
        <condense val="0"/>
        <extend val="0"/>
        <outline val="0"/>
        <shadow val="0"/>
        <u val="none"/>
        <vertAlign val="baseline"/>
        <sz val="10"/>
        <color auto="1"/>
        <name val="Open Sans"/>
        <family val="2"/>
        <scheme val="none"/>
      </font>
    </dxf>
  </dxfs>
  <tableStyles count="0" defaultTableStyle="TableStyleMedium2" defaultPivotStyle="PivotStyleLight16"/>
  <colors>
    <mruColors>
      <color rgb="FFF9F4EA"/>
      <color rgb="FF6E5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00" b="1" i="0" u="none" strike="noStrike" kern="1200" spc="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r>
              <a:rPr lang="en-US" sz="1200" b="1">
                <a:solidFill>
                  <a:schemeClr val="tx1"/>
                </a:solidFill>
                <a:latin typeface="Open Sans" panose="020B0606030504020204" pitchFamily="34" charset="0"/>
                <a:ea typeface="Open Sans" panose="020B0606030504020204" pitchFamily="34" charset="0"/>
                <a:cs typeface="Open Sans" panose="020B0606030504020204" pitchFamily="34" charset="0"/>
              </a:rPr>
              <a:t>Revenue &amp; EBIT Trend </a:t>
            </a:r>
            <a:r>
              <a:rPr lang="en-US" sz="1200" b="0">
                <a:solidFill>
                  <a:schemeClr val="tx1"/>
                </a:solidFill>
                <a:latin typeface="Open Sans" panose="020B0606030504020204" pitchFamily="34" charset="0"/>
                <a:ea typeface="Open Sans" panose="020B0606030504020204" pitchFamily="34" charset="0"/>
                <a:cs typeface="Open Sans" panose="020B0606030504020204" pitchFamily="34" charset="0"/>
              </a:rPr>
              <a:t>(2021 - 2025)</a:t>
            </a:r>
          </a:p>
        </c:rich>
      </c:tx>
      <c:overlay val="1"/>
      <c:spPr>
        <a:noFill/>
        <a:ln>
          <a:noFill/>
        </a:ln>
        <a:effectLst/>
      </c:spPr>
      <c:txPr>
        <a:bodyPr rot="0" spcFirstLastPara="1" vertOverflow="ellipsis" vert="horz" wrap="square" anchor="ctr" anchorCtr="1"/>
        <a:lstStyle/>
        <a:p>
          <a:pPr algn="ctr">
            <a:defRPr sz="1200" b="1" i="0" u="none" strike="noStrike" kern="1200" spc="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manualLayout>
          <c:layoutTarget val="inner"/>
          <c:xMode val="edge"/>
          <c:yMode val="edge"/>
          <c:x val="0.15421133554894512"/>
          <c:y val="0.18611932584976748"/>
          <c:w val="0.71980620521803951"/>
          <c:h val="0.67679073041275128"/>
        </c:manualLayout>
      </c:layout>
      <c:barChart>
        <c:barDir val="col"/>
        <c:grouping val="clustered"/>
        <c:varyColors val="0"/>
        <c:ser>
          <c:idx val="0"/>
          <c:order val="0"/>
          <c:tx>
            <c:strRef>
              <c:f>Model!$B$11</c:f>
              <c:strCache>
                <c:ptCount val="1"/>
                <c:pt idx="0">
                  <c:v>Revenue</c:v>
                </c:pt>
              </c:strCache>
            </c:strRef>
          </c:tx>
          <c:spPr>
            <a:solidFill>
              <a:schemeClr val="accent1">
                <a:lumMod val="50000"/>
              </a:schemeClr>
            </a:solidFill>
            <a:ln w="38100">
              <a:noFill/>
            </a:ln>
            <a:effectLst/>
          </c:spPr>
          <c:invertIfNegative val="0"/>
          <c:dPt>
            <c:idx val="4"/>
            <c:invertIfNegative val="0"/>
            <c:bubble3D val="0"/>
            <c:spPr>
              <a:solidFill>
                <a:schemeClr val="accent1">
                  <a:lumMod val="50000"/>
                </a:schemeClr>
              </a:solidFill>
              <a:ln w="38100">
                <a:noFill/>
                <a:prstDash val="dash"/>
              </a:ln>
              <a:effectLst/>
            </c:spPr>
            <c:extLst>
              <c:ext xmlns:c16="http://schemas.microsoft.com/office/drawing/2014/chart" uri="{C3380CC4-5D6E-409C-BE32-E72D297353CC}">
                <c16:uniqueId val="{00000001-5930-44B8-9A4C-758043A01BDA}"/>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Model!$F$10:$J$10</c:f>
              <c:numCache>
                <c:formatCode>_(###0_)_%;\(#,##0\)_%;_("–"_)_%;_(@_)_%</c:formatCode>
                <c:ptCount val="5"/>
                <c:pt idx="0">
                  <c:v>2021</c:v>
                </c:pt>
                <c:pt idx="1">
                  <c:v>2022</c:v>
                </c:pt>
                <c:pt idx="2">
                  <c:v>2023</c:v>
                </c:pt>
                <c:pt idx="3">
                  <c:v>2024</c:v>
                </c:pt>
                <c:pt idx="4">
                  <c:v>2025</c:v>
                </c:pt>
              </c:numCache>
            </c:numRef>
          </c:cat>
          <c:val>
            <c:numRef>
              <c:f>Model!$F$11:$J$11</c:f>
              <c:numCache>
                <c:formatCode>_(#,##0_)_%;\(#,##0\)_%;_("–"_)_%;_(@_)_%</c:formatCode>
                <c:ptCount val="5"/>
                <c:pt idx="0">
                  <c:v>282045</c:v>
                </c:pt>
                <c:pt idx="1">
                  <c:v>330145</c:v>
                </c:pt>
                <c:pt idx="2">
                  <c:v>399343</c:v>
                </c:pt>
                <c:pt idx="3">
                  <c:v>400234</c:v>
                </c:pt>
                <c:pt idx="4">
                  <c:v>357263</c:v>
                </c:pt>
              </c:numCache>
            </c:numRef>
          </c:val>
          <c:extLst>
            <c:ext xmlns:c16="http://schemas.microsoft.com/office/drawing/2014/chart" uri="{C3380CC4-5D6E-409C-BE32-E72D297353CC}">
              <c16:uniqueId val="{00000000-5930-44B8-9A4C-758043A01BDA}"/>
            </c:ext>
          </c:extLst>
        </c:ser>
        <c:dLbls>
          <c:showLegendKey val="0"/>
          <c:showVal val="0"/>
          <c:showCatName val="0"/>
          <c:showSerName val="0"/>
          <c:showPercent val="0"/>
          <c:showBubbleSize val="0"/>
        </c:dLbls>
        <c:gapWidth val="150"/>
        <c:axId val="846568655"/>
        <c:axId val="846571055"/>
      </c:barChart>
      <c:lineChart>
        <c:grouping val="standard"/>
        <c:varyColors val="0"/>
        <c:ser>
          <c:idx val="1"/>
          <c:order val="1"/>
          <c:tx>
            <c:strRef>
              <c:f>Model!$B$13</c:f>
              <c:strCache>
                <c:ptCount val="1"/>
                <c:pt idx="0">
                  <c:v>EBIT Margin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A-5930-44B8-9A4C-758043A01BDA}"/>
                </c:ext>
              </c:extLst>
            </c:dLbl>
            <c:dLbl>
              <c:idx val="1"/>
              <c:delete val="1"/>
              <c:extLst>
                <c:ext xmlns:c15="http://schemas.microsoft.com/office/drawing/2012/chart" uri="{CE6537A1-D6FC-4f65-9D91-7224C49458BB}"/>
                <c:ext xmlns:c16="http://schemas.microsoft.com/office/drawing/2014/chart" uri="{C3380CC4-5D6E-409C-BE32-E72D297353CC}">
                  <c16:uniqueId val="{00000008-5930-44B8-9A4C-758043A01BDA}"/>
                </c:ext>
              </c:extLst>
            </c:dLbl>
            <c:dLbl>
              <c:idx val="2"/>
              <c:delete val="1"/>
              <c:extLst>
                <c:ext xmlns:c15="http://schemas.microsoft.com/office/drawing/2012/chart" uri="{CE6537A1-D6FC-4f65-9D91-7224C49458BB}"/>
                <c:ext xmlns:c16="http://schemas.microsoft.com/office/drawing/2014/chart" uri="{C3380CC4-5D6E-409C-BE32-E72D297353CC}">
                  <c16:uniqueId val="{00000009-5930-44B8-9A4C-758043A01BDA}"/>
                </c:ext>
              </c:extLst>
            </c:dLbl>
            <c:dLbl>
              <c:idx val="3"/>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6="http://schemas.microsoft.com/office/drawing/2014/chart" uri="{C3380CC4-5D6E-409C-BE32-E72D297353CC}">
                  <c16:uniqueId val="{0000000B-5930-44B8-9A4C-758043A01BDA}"/>
                </c:ext>
              </c:extLst>
            </c:dLbl>
            <c:dLbl>
              <c:idx val="4"/>
              <c:layout>
                <c:manualLayout>
                  <c:x val="-6.0575159242093723E-2"/>
                  <c:y val="-6.0215050055646119E-2"/>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930-44B8-9A4C-758043A01B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Model!$F$10:$J$10</c:f>
              <c:numCache>
                <c:formatCode>_(###0_)_%;\(#,##0\)_%;_("–"_)_%;_(@_)_%</c:formatCode>
                <c:ptCount val="5"/>
                <c:pt idx="0">
                  <c:v>2021</c:v>
                </c:pt>
                <c:pt idx="1">
                  <c:v>2022</c:v>
                </c:pt>
                <c:pt idx="2">
                  <c:v>2023</c:v>
                </c:pt>
                <c:pt idx="3">
                  <c:v>2024</c:v>
                </c:pt>
                <c:pt idx="4">
                  <c:v>2025</c:v>
                </c:pt>
              </c:numCache>
            </c:numRef>
          </c:cat>
          <c:val>
            <c:numRef>
              <c:f>Model!$F$13:$J$13</c:f>
              <c:numCache>
                <c:formatCode>_(#,##0.0%_);\(#,##0.0%\);_("–"_)_%;_(@_)_%</c:formatCode>
                <c:ptCount val="5"/>
                <c:pt idx="0">
                  <c:v>7.2000000000000008E-2</c:v>
                </c:pt>
                <c:pt idx="1">
                  <c:v>6.8000000000000005E-2</c:v>
                </c:pt>
                <c:pt idx="2">
                  <c:v>0.05</c:v>
                </c:pt>
                <c:pt idx="3">
                  <c:v>5.5999999999999994E-2</c:v>
                </c:pt>
                <c:pt idx="4">
                  <c:v>1E-3</c:v>
                </c:pt>
              </c:numCache>
            </c:numRef>
          </c:val>
          <c:smooth val="0"/>
          <c:extLst>
            <c:ext xmlns:c16="http://schemas.microsoft.com/office/drawing/2014/chart" uri="{C3380CC4-5D6E-409C-BE32-E72D297353CC}">
              <c16:uniqueId val="{00000007-5930-44B8-9A4C-758043A01BDA}"/>
            </c:ext>
          </c:extLst>
        </c:ser>
        <c:dLbls>
          <c:showLegendKey val="0"/>
          <c:showVal val="0"/>
          <c:showCatName val="0"/>
          <c:showSerName val="0"/>
          <c:showPercent val="0"/>
          <c:showBubbleSize val="0"/>
        </c:dLbls>
        <c:marker val="1"/>
        <c:smooth val="0"/>
        <c:axId val="1509308207"/>
        <c:axId val="1509310127"/>
      </c:lineChart>
      <c:catAx>
        <c:axId val="846568655"/>
        <c:scaling>
          <c:orientation val="minMax"/>
        </c:scaling>
        <c:delete val="0"/>
        <c:axPos val="b"/>
        <c:numFmt formatCode="_(###0_)_%;\(#,##0\)_%;_(&quot;–&quot;_)_%;_(@_)_%"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846571055"/>
        <c:crosses val="autoZero"/>
        <c:auto val="1"/>
        <c:lblAlgn val="ctr"/>
        <c:lblOffset val="100"/>
        <c:noMultiLvlLbl val="0"/>
      </c:catAx>
      <c:valAx>
        <c:axId val="846571055"/>
        <c:scaling>
          <c:orientation val="minMax"/>
          <c:max val="500000"/>
          <c:min val="205000"/>
        </c:scaling>
        <c:delete val="0"/>
        <c:axPos val="l"/>
        <c:numFmt formatCode="_(#,##0_)_%;\(#,##0\)_%;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9F4EA"/>
                </a:solidFill>
                <a:latin typeface="+mn-lt"/>
                <a:ea typeface="+mn-ea"/>
                <a:cs typeface="+mn-cs"/>
              </a:defRPr>
            </a:pPr>
            <a:endParaRPr lang="en-US"/>
          </a:p>
        </c:txPr>
        <c:crossAx val="846568655"/>
        <c:crosses val="autoZero"/>
        <c:crossBetween val="between"/>
        <c:majorUnit val="205000"/>
      </c:valAx>
      <c:valAx>
        <c:axId val="1509310127"/>
        <c:scaling>
          <c:orientation val="minMax"/>
          <c:max val="0.2"/>
        </c:scaling>
        <c:delete val="0"/>
        <c:axPos val="r"/>
        <c:numFmt formatCode="_(#,##0.0%_);\(#,##0.0%\);_(&quot;–&quot;_)_%;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9F4EA"/>
                </a:solidFill>
                <a:latin typeface="+mn-lt"/>
                <a:ea typeface="+mn-ea"/>
                <a:cs typeface="+mn-cs"/>
              </a:defRPr>
            </a:pPr>
            <a:endParaRPr lang="en-US"/>
          </a:p>
        </c:txPr>
        <c:crossAx val="1509308207"/>
        <c:crosses val="max"/>
        <c:crossBetween val="between"/>
      </c:valAx>
      <c:catAx>
        <c:axId val="1509308207"/>
        <c:scaling>
          <c:orientation val="minMax"/>
        </c:scaling>
        <c:delete val="1"/>
        <c:axPos val="b"/>
        <c:numFmt formatCode="_(###0_)_%;\(#,##0\)_%;_(&quot;–&quot;_)_%;_(@_)_%" sourceLinked="1"/>
        <c:majorTickMark val="out"/>
        <c:minorTickMark val="none"/>
        <c:tickLblPos val="nextTo"/>
        <c:crossAx val="1509310127"/>
        <c:crosses val="autoZero"/>
        <c:auto val="1"/>
        <c:lblAlgn val="ctr"/>
        <c:lblOffset val="100"/>
        <c:noMultiLvlLbl val="0"/>
      </c:catAx>
      <c:spPr>
        <a:noFill/>
        <a:ln>
          <a:noFill/>
        </a:ln>
        <a:effectLst/>
      </c:spPr>
    </c:plotArea>
    <c:legend>
      <c:legendPos val="t"/>
      <c:layout>
        <c:manualLayout>
          <c:xMode val="edge"/>
          <c:yMode val="edge"/>
          <c:x val="0.188532761211058"/>
          <c:y val="0.1368524454777702"/>
          <c:w val="0.622934477577884"/>
          <c:h val="9.2376007427528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4E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r>
              <a:rPr lang="en-US"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R&amp;D Intensity</a:t>
            </a:r>
            <a:r>
              <a:rPr lang="en-US" sz="1200" b="1"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a:t>
            </a:r>
            <a:r>
              <a:rPr lang="en-US" sz="12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a:t>
            </a:r>
            <a:r>
              <a:rPr lang="en-US" sz="1200" b="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of Revenue)</a:t>
            </a:r>
          </a:p>
        </c:rich>
      </c:tx>
      <c:layout>
        <c:manualLayout>
          <c:xMode val="edge"/>
          <c:yMode val="edge"/>
          <c:x val="3.6319755657691466E-2"/>
          <c:y val="4.379278255288646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lineChart>
        <c:grouping val="standard"/>
        <c:varyColors val="0"/>
        <c:ser>
          <c:idx val="0"/>
          <c:order val="0"/>
          <c:tx>
            <c:strRef>
              <c:f>Model!$B$27</c:f>
              <c:strCache>
                <c:ptCount val="1"/>
                <c:pt idx="0">
                  <c:v>Research and Development</c:v>
                </c:pt>
              </c:strCache>
            </c:strRef>
          </c:tx>
          <c:spPr>
            <a:ln w="28575" cap="rnd">
              <a:solidFill>
                <a:schemeClr val="accent1">
                  <a:lumMod val="50000"/>
                </a:schemeClr>
              </a:solidFill>
              <a:round/>
            </a:ln>
            <a:effectLst/>
          </c:spPr>
          <c:marker>
            <c:symbol val="none"/>
          </c:marker>
          <c:dPt>
            <c:idx val="4"/>
            <c:marker>
              <c:symbol val="none"/>
            </c:marker>
            <c:bubble3D val="0"/>
            <c:spPr>
              <a:ln w="28575" cap="rnd">
                <a:solidFill>
                  <a:schemeClr val="accent1">
                    <a:lumMod val="50000"/>
                  </a:schemeClr>
                </a:solidFill>
                <a:prstDash val="solid"/>
                <a:round/>
              </a:ln>
              <a:effectLst/>
            </c:spPr>
            <c:extLst>
              <c:ext xmlns:c16="http://schemas.microsoft.com/office/drawing/2014/chart" uri="{C3380CC4-5D6E-409C-BE32-E72D297353CC}">
                <c16:uniqueId val="{00000002-03B6-4032-A80E-C08561BD3AB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Model!$F$26:$J$26</c:f>
              <c:numCache>
                <c:formatCode>_(###0_)_%;\(#,##0\)_%;_("–"_)_%;_(@_)_%</c:formatCode>
                <c:ptCount val="5"/>
                <c:pt idx="0">
                  <c:v>2021</c:v>
                </c:pt>
                <c:pt idx="1">
                  <c:v>2022</c:v>
                </c:pt>
                <c:pt idx="2">
                  <c:v>2023</c:v>
                </c:pt>
                <c:pt idx="3">
                  <c:v>2024</c:v>
                </c:pt>
                <c:pt idx="4">
                  <c:v>2025</c:v>
                </c:pt>
              </c:numCache>
            </c:numRef>
          </c:cat>
          <c:val>
            <c:numRef>
              <c:f>Model!$F$28:$J$28</c:f>
              <c:numCache>
                <c:formatCode>_(#,##0.0%_);\(#,##0.0%\);_("–"_)_%;_(@_)_%</c:formatCode>
                <c:ptCount val="5"/>
                <c:pt idx="0">
                  <c:v>4.507791309897357E-2</c:v>
                </c:pt>
                <c:pt idx="1">
                  <c:v>3.4875584970240348E-2</c:v>
                </c:pt>
                <c:pt idx="2">
                  <c:v>3.2262991964301366E-2</c:v>
                </c:pt>
                <c:pt idx="3">
                  <c:v>4.2432676884022844E-2</c:v>
                </c:pt>
                <c:pt idx="4">
                  <c:v>7.2963055228221232E-2</c:v>
                </c:pt>
              </c:numCache>
            </c:numRef>
          </c:val>
          <c:smooth val="0"/>
          <c:extLst>
            <c:ext xmlns:c16="http://schemas.microsoft.com/office/drawing/2014/chart" uri="{C3380CC4-5D6E-409C-BE32-E72D297353CC}">
              <c16:uniqueId val="{00000000-03B6-4032-A80E-C08561BD3ABB}"/>
            </c:ext>
          </c:extLst>
        </c:ser>
        <c:dLbls>
          <c:showLegendKey val="0"/>
          <c:showVal val="0"/>
          <c:showCatName val="0"/>
          <c:showSerName val="0"/>
          <c:showPercent val="0"/>
          <c:showBubbleSize val="0"/>
        </c:dLbls>
        <c:smooth val="0"/>
        <c:axId val="1045510831"/>
        <c:axId val="1045510351"/>
      </c:lineChart>
      <c:catAx>
        <c:axId val="1045510831"/>
        <c:scaling>
          <c:orientation val="minMax"/>
        </c:scaling>
        <c:delete val="0"/>
        <c:axPos val="b"/>
        <c:numFmt formatCode="_(###0_)_%;\(#,##0\)_%;_(&quot;–&quot;_)_%;_(@_)_%"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045510351"/>
        <c:crosses val="autoZero"/>
        <c:auto val="1"/>
        <c:lblAlgn val="ctr"/>
        <c:lblOffset val="100"/>
        <c:noMultiLvlLbl val="0"/>
      </c:catAx>
      <c:valAx>
        <c:axId val="1045510351"/>
        <c:scaling>
          <c:orientation val="minMax"/>
        </c:scaling>
        <c:delete val="1"/>
        <c:axPos val="l"/>
        <c:numFmt formatCode="_(#,##0.0%_);\(#,##0.0%\);_(&quot;–&quot;_)_%;_(@_)_%" sourceLinked="1"/>
        <c:majorTickMark val="none"/>
        <c:minorTickMark val="none"/>
        <c:tickLblPos val="nextTo"/>
        <c:crossAx val="104551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4E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2026 EBIT Margin Scenarios </a:t>
            </a:r>
          </a:p>
        </c:rich>
      </c:tx>
      <c:layout>
        <c:manualLayout>
          <c:xMode val="edge"/>
          <c:yMode val="edge"/>
          <c:x val="4.1993000874890642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Model!$B$126:$B$128</c:f>
              <c:strCache>
                <c:ptCount val="3"/>
                <c:pt idx="0">
                  <c:v>Base</c:v>
                </c:pt>
                <c:pt idx="1">
                  <c:v>Upside</c:v>
                </c:pt>
                <c:pt idx="2">
                  <c:v>Downside</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3-2059-42B5-BC6C-5E9F56DC1C63}"/>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2059-42B5-BC6C-5E9F56DC1C63}"/>
              </c:ext>
            </c:extLst>
          </c:dPt>
          <c:dPt>
            <c:idx val="2"/>
            <c:invertIfNegative val="0"/>
            <c:bubble3D val="0"/>
            <c:spPr>
              <a:solidFill>
                <a:srgbClr val="FF0000"/>
              </a:solidFill>
              <a:ln>
                <a:noFill/>
              </a:ln>
              <a:effectLst/>
            </c:spPr>
            <c:extLst>
              <c:ext xmlns:c16="http://schemas.microsoft.com/office/drawing/2014/chart" uri="{C3380CC4-5D6E-409C-BE32-E72D297353CC}">
                <c16:uniqueId val="{00000001-2059-42B5-BC6C-5E9F56DC1C63}"/>
              </c:ext>
            </c:extLst>
          </c:dPt>
          <c:cat>
            <c:strRef>
              <c:f>Model!$B$126:$B$128</c:f>
              <c:strCache>
                <c:ptCount val="3"/>
                <c:pt idx="0">
                  <c:v>Base</c:v>
                </c:pt>
                <c:pt idx="1">
                  <c:v>Upside</c:v>
                </c:pt>
                <c:pt idx="2">
                  <c:v>Downside</c:v>
                </c:pt>
              </c:strCache>
            </c:strRef>
          </c:cat>
          <c:val>
            <c:numRef>
              <c:f>Model!$C$126:$C$128</c:f>
              <c:numCache>
                <c:formatCode>0.00%</c:formatCode>
                <c:ptCount val="3"/>
                <c:pt idx="0">
                  <c:v>5.2999999999999999E-2</c:v>
                </c:pt>
                <c:pt idx="1">
                  <c:v>0.09</c:v>
                </c:pt>
                <c:pt idx="2">
                  <c:v>0.01</c:v>
                </c:pt>
              </c:numCache>
            </c:numRef>
          </c:val>
          <c:extLst>
            <c:ext xmlns:c16="http://schemas.microsoft.com/office/drawing/2014/chart" uri="{C3380CC4-5D6E-409C-BE32-E72D297353CC}">
              <c16:uniqueId val="{00000000-2059-42B5-BC6C-5E9F56DC1C63}"/>
            </c:ext>
          </c:extLst>
        </c:ser>
        <c:dLbls>
          <c:showLegendKey val="0"/>
          <c:showVal val="0"/>
          <c:showCatName val="0"/>
          <c:showSerName val="0"/>
          <c:showPercent val="0"/>
          <c:showBubbleSize val="0"/>
        </c:dLbls>
        <c:gapWidth val="182"/>
        <c:axId val="270019471"/>
        <c:axId val="270014671"/>
      </c:barChart>
      <c:catAx>
        <c:axId val="27001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270014671"/>
        <c:crosses val="autoZero"/>
        <c:auto val="1"/>
        <c:lblAlgn val="ctr"/>
        <c:lblOffset val="100"/>
        <c:noMultiLvlLbl val="0"/>
      </c:catAx>
      <c:valAx>
        <c:axId val="2700146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2700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4E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Volume vs Revenue</a:t>
            </a:r>
          </a:p>
        </c:rich>
      </c:tx>
      <c:overlay val="1"/>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Model!$B$40</c:f>
              <c:strCache>
                <c:ptCount val="1"/>
                <c:pt idx="0">
                  <c:v>Unit Solds</c:v>
                </c:pt>
              </c:strCache>
            </c:strRef>
          </c:tx>
          <c:spPr>
            <a:solidFill>
              <a:schemeClr val="accent1">
                <a:lumMod val="50000"/>
              </a:schemeClr>
            </a:solidFill>
            <a:ln>
              <a:noFill/>
            </a:ln>
            <a:effectLst/>
          </c:spPr>
          <c:invertIfNegative val="0"/>
          <c:cat>
            <c:numRef>
              <c:extLst>
                <c:ext xmlns:c15="http://schemas.microsoft.com/office/drawing/2012/chart" uri="{02D57815-91ED-43cb-92C2-25804820EDAC}">
                  <c15:fullRef>
                    <c15:sqref>Model!$F$39:$J$39</c15:sqref>
                  </c15:fullRef>
                </c:ext>
              </c:extLst>
              <c:f>Model!$I$39:$J$39</c:f>
              <c:numCache>
                <c:formatCode>_(###0_)_%;\(#,##0\)_%;_("–"_)_%;_(@_)_%</c:formatCode>
                <c:ptCount val="2"/>
                <c:pt idx="0">
                  <c:v>2024</c:v>
                </c:pt>
                <c:pt idx="1">
                  <c:v>2025</c:v>
                </c:pt>
              </c:numCache>
            </c:numRef>
          </c:cat>
          <c:val>
            <c:numRef>
              <c:extLst>
                <c:ext xmlns:c15="http://schemas.microsoft.com/office/drawing/2012/chart" uri="{02D57815-91ED-43cb-92C2-25804820EDAC}">
                  <c15:fullRef>
                    <c15:sqref>Model!$F$40:$J$40</c15:sqref>
                  </c15:fullRef>
                </c:ext>
              </c:extLst>
              <c:f>Model!$I$40:$J$40</c:f>
              <c:numCache>
                <c:formatCode>_(#,##0_)_%;\(#,##0\)_%;_("–"_)_%;_(@_)_%</c:formatCode>
                <c:ptCount val="2"/>
                <c:pt idx="0">
                  <c:v>763389</c:v>
                </c:pt>
                <c:pt idx="1">
                  <c:v>710042</c:v>
                </c:pt>
              </c:numCache>
            </c:numRef>
          </c:val>
          <c:extLst>
            <c:ext xmlns:c16="http://schemas.microsoft.com/office/drawing/2014/chart" uri="{C3380CC4-5D6E-409C-BE32-E72D297353CC}">
              <c16:uniqueId val="{00000000-C152-499E-AD62-FC5BE0745D9D}"/>
            </c:ext>
          </c:extLst>
        </c:ser>
        <c:ser>
          <c:idx val="1"/>
          <c:order val="1"/>
          <c:tx>
            <c:strRef>
              <c:f>Model!$B$42</c:f>
              <c:strCache>
                <c:ptCount val="1"/>
                <c:pt idx="0">
                  <c:v>Revenue</c:v>
                </c:pt>
              </c:strCache>
            </c:strRef>
          </c:tx>
          <c:spPr>
            <a:solidFill>
              <a:schemeClr val="accent6"/>
            </a:solidFill>
            <a:ln>
              <a:noFill/>
            </a:ln>
            <a:effectLst/>
          </c:spPr>
          <c:invertIfNegative val="0"/>
          <c:cat>
            <c:numRef>
              <c:extLst>
                <c:ext xmlns:c15="http://schemas.microsoft.com/office/drawing/2012/chart" uri="{02D57815-91ED-43cb-92C2-25804820EDAC}">
                  <c15:fullRef>
                    <c15:sqref>Model!$F$39:$J$39</c15:sqref>
                  </c15:fullRef>
                </c:ext>
              </c:extLst>
              <c:f>Model!$I$39:$J$39</c:f>
              <c:numCache>
                <c:formatCode>_(###0_)_%;\(#,##0\)_%;_("–"_)_%;_(@_)_%</c:formatCode>
                <c:ptCount val="2"/>
                <c:pt idx="0">
                  <c:v>2024</c:v>
                </c:pt>
                <c:pt idx="1">
                  <c:v>2025</c:v>
                </c:pt>
              </c:numCache>
            </c:numRef>
          </c:cat>
          <c:val>
            <c:numRef>
              <c:extLst>
                <c:ext xmlns:c15="http://schemas.microsoft.com/office/drawing/2012/chart" uri="{02D57815-91ED-43cb-92C2-25804820EDAC}">
                  <c15:fullRef>
                    <c15:sqref>Model!$F$42:$J$42</c15:sqref>
                  </c15:fullRef>
                </c:ext>
              </c:extLst>
              <c:f>Model!$I$42:$J$42</c:f>
              <c:numCache>
                <c:formatCode>_(#,##0_)_%;\(#,##0\)_%;_("–"_)_%;_(@_)_%</c:formatCode>
                <c:ptCount val="2"/>
                <c:pt idx="0">
                  <c:v>400234</c:v>
                </c:pt>
                <c:pt idx="1">
                  <c:v>357263</c:v>
                </c:pt>
              </c:numCache>
            </c:numRef>
          </c:val>
          <c:extLst>
            <c:ext xmlns:c16="http://schemas.microsoft.com/office/drawing/2014/chart" uri="{C3380CC4-5D6E-409C-BE32-E72D297353CC}">
              <c16:uniqueId val="{00000001-C152-499E-AD62-FC5BE0745D9D}"/>
            </c:ext>
          </c:extLst>
        </c:ser>
        <c:dLbls>
          <c:showLegendKey val="0"/>
          <c:showVal val="0"/>
          <c:showCatName val="0"/>
          <c:showSerName val="0"/>
          <c:showPercent val="0"/>
          <c:showBubbleSize val="0"/>
        </c:dLbls>
        <c:gapWidth val="182"/>
        <c:axId val="205405008"/>
        <c:axId val="205383408"/>
      </c:barChart>
      <c:catAx>
        <c:axId val="205405008"/>
        <c:scaling>
          <c:orientation val="minMax"/>
        </c:scaling>
        <c:delete val="0"/>
        <c:axPos val="l"/>
        <c:numFmt formatCode="_(###0_)_%;\(#,##0\)_%;_(&quot;–&quot;_)_%;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3408"/>
        <c:crosses val="autoZero"/>
        <c:auto val="1"/>
        <c:lblAlgn val="ctr"/>
        <c:lblOffset val="100"/>
        <c:noMultiLvlLbl val="0"/>
      </c:catAx>
      <c:valAx>
        <c:axId val="205383408"/>
        <c:scaling>
          <c:orientation val="minMax"/>
        </c:scaling>
        <c:delete val="1"/>
        <c:axPos val="b"/>
        <c:numFmt formatCode="_(#,##0_)_%;\(#,##0\)_%;_(&quot;–&quot;_)_%;_(@_)_%" sourceLinked="1"/>
        <c:majorTickMark val="none"/>
        <c:minorTickMark val="none"/>
        <c:tickLblPos val="nextTo"/>
        <c:crossAx val="205405008"/>
        <c:crosses val="autoZero"/>
        <c:crossBetween val="between"/>
      </c:valAx>
      <c:spPr>
        <a:noFill/>
        <a:ln>
          <a:noFill/>
        </a:ln>
        <a:effectLst/>
      </c:spPr>
    </c:plotArea>
    <c:legend>
      <c:legendPos val="t"/>
      <c:layout>
        <c:manualLayout>
          <c:xMode val="edge"/>
          <c:yMode val="edge"/>
          <c:x val="0.26474862730053333"/>
          <c:y val="0.1448506898128539"/>
          <c:w val="0.62952595374483977"/>
          <c:h val="9.2939334040425634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4E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vertOverflow="overflow" horzOverflow="overflow" wrap="square" lIns="0" tIns="0" rIns="0" bIns="0"/>
          <a:lstStyle/>
          <a:p>
            <a:pPr algn="ctr" rtl="0">
              <a:defRPr sz="14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solidFill>
                  <a:sysClr val="windowText" lastClr="000000"/>
                </a:solidFill>
              </a:rPr>
              <a:t>EBIT Change </a:t>
            </a:r>
            <a:r>
              <a:rPr lang="en-US" b="0">
                <a:solidFill>
                  <a:sysClr val="windowText" lastClr="000000"/>
                </a:solidFill>
              </a:rPr>
              <a:t>(2026)</a:t>
            </a:r>
          </a:p>
        </cx:rich>
      </cx:tx>
    </cx:title>
    <cx:plotArea>
      <cx:plotAreaRegion>
        <cx:series layoutId="waterfall" uniqueId="{00000002-6A25-4D7F-A8E3-909B01A7280D}" formatIdx="0">
          <cx:tx>
            <cx:txData>
              <cx:f>_xlchart.v1.0</cx:f>
              <cx:v>Gross Margin R&amp;D Intensity Operating Expenses EBIT</cx:v>
            </cx:txData>
          </cx:tx>
          <cx:dataPt idx="0">
            <cx:spPr>
              <a:solidFill>
                <a:srgbClr val="4472C4">
                  <a:lumMod val="50000"/>
                </a:srgbClr>
              </a:solidFill>
            </cx:spPr>
          </cx:dataPt>
          <cx:dataPt idx="1">
            <cx:spPr>
              <a:solidFill>
                <a:srgbClr val="FF0000"/>
              </a:solidFill>
            </cx:spPr>
          </cx:dataPt>
          <cx:dataPt idx="2">
            <cx:spPr>
              <a:solidFill>
                <a:srgbClr val="FF0000"/>
              </a:solidFill>
            </cx:spPr>
          </cx:dataPt>
          <cx:dataPt idx="3">
            <cx:spPr>
              <a:solidFill>
                <a:srgbClr val="4472C4">
                  <a:lumMod val="50000"/>
                </a:srgbClr>
              </a:solidFill>
            </cx:spPr>
          </cx:dataPt>
          <cx:dataLabels pos="outEnd">
            <cx:txPr>
              <a:bodyPr spcFirstLastPara="1" vertOverflow="ellipsis" horzOverflow="overflow" wrap="square" lIns="0" tIns="0" rIns="0" bIns="0" anchor="ctr" anchorCtr="1"/>
              <a:lstStyle/>
              <a:p>
                <a:pPr algn="ctr" rtl="0">
                  <a:defRPr sz="800" b="1">
                    <a:solidFill>
                      <a:schemeClr val="accent1">
                        <a:lumMod val="50000"/>
                      </a:schemeClr>
                    </a:solidFill>
                    <a:latin typeface="Open Sans" panose="020B0606030504020204" pitchFamily="34" charset="0"/>
                    <a:ea typeface="Open Sans" panose="020B0606030504020204" pitchFamily="34" charset="0"/>
                    <a:cs typeface="Open Sans" panose="020B0606030504020204" pitchFamily="34" charset="0"/>
                  </a:defRPr>
                </a:pPr>
                <a:endParaRPr lang="en-US" sz="800" b="1" i="0" u="none" strike="noStrike" baseline="0">
                  <a:solidFill>
                    <a:schemeClr val="accent1">
                      <a:lumMod val="50000"/>
                    </a:schemeClr>
                  </a:solidFill>
                  <a:latin typeface="Open Sans" panose="020B0606030504020204" pitchFamily="34" charset="0"/>
                  <a:ea typeface="Open Sans" panose="020B0606030504020204" pitchFamily="34" charset="0"/>
                  <a:cs typeface="Open Sans" panose="020B060603050402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800" b="1" i="0" u="none" strike="noStrike" baseline="0">
                      <a:solidFill>
                        <a:schemeClr val="accent1">
                          <a:lumMod val="50000"/>
                        </a:schemeClr>
                      </a:solidFill>
                      <a:latin typeface="Open Sans" panose="020B0606030504020204" pitchFamily="34" charset="0"/>
                      <a:ea typeface="Open Sans" panose="020B0606030504020204" pitchFamily="34" charset="0"/>
                      <a:cs typeface="Open Sans" panose="020B0606030504020204" pitchFamily="34" charset="0"/>
                    </a:rPr>
                    <a:t> 75,025  </a:t>
                  </a:r>
                </a:p>
              </cx:txPr>
            </cx:dataLabel>
          </cx:dataLabels>
          <cx:dataId val="0"/>
          <cx:layoutPr>
            <cx:subtotals/>
          </cx:layoutPr>
        </cx:series>
      </cx:plotAreaRegion>
      <cx:axis id="0">
        <cx:catScaling gapWidth="0.5"/>
        <cx:tickLabels/>
        <cx:spPr>
          <a:ln>
            <a:solidFill>
              <a:schemeClr val="tx1"/>
            </a:solidFill>
          </a:ln>
        </cx:spPr>
        <cx:txPr>
          <a:bodyPr vertOverflow="overflow" horzOverflow="overflow" wrap="square" lIns="0" tIns="0" rIns="0" bIns="0"/>
          <a:lstStyle/>
          <a:p>
            <a:pPr algn="ctr" rtl="0">
              <a:defRPr sz="7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700" b="0">
              <a:solidFill>
                <a:sysClr val="windowText" lastClr="000000"/>
              </a:solidFill>
            </a:endParaRPr>
          </a:p>
        </cx:txPr>
      </cx:axis>
      <cx:axis id="1" hidden="1">
        <cx:valScaling/>
        <cx:tickLabels/>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b="1"/>
          </a:p>
        </cx:txPr>
      </cx:axis>
    </cx:plotArea>
  </cx:chart>
  <cx:spPr>
    <a:solidFill>
      <a:srgbClr val="F9F4EA"/>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Model!$C$82" fmlaRange="Model!$C$85:$C$87" noThreeD="1" sel="1" val="0"/>
</file>

<file path=xl/ctrlProps/ctrlProp2.xml><?xml version="1.0" encoding="utf-8"?>
<formControlPr xmlns="http://schemas.microsoft.com/office/spreadsheetml/2009/9/main" objectType="Drop" dropStyle="combo" dx="22" fmlaLink="$C$82" fmlaRange="$C$85:$C$87"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xdr:col>
      <xdr:colOff>708789</xdr:colOff>
      <xdr:row>9</xdr:row>
      <xdr:rowOff>2158</xdr:rowOff>
    </xdr:to>
    <xdr:pic>
      <xdr:nvPicPr>
        <xdr:cNvPr id="2" name="Picture 1">
          <a:extLst>
            <a:ext uri="{FF2B5EF4-FFF2-40B4-BE49-F238E27FC236}">
              <a16:creationId xmlns:a16="http://schemas.microsoft.com/office/drawing/2014/main" id="{B6D36E6D-BBB5-4932-A357-BB3FE67851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062" b="40234"/>
        <a:stretch>
          <a:fillRect/>
        </a:stretch>
      </xdr:blipFill>
      <xdr:spPr>
        <a:xfrm>
          <a:off x="1314450" y="1457325"/>
          <a:ext cx="2032764" cy="4212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517071</xdr:colOff>
      <xdr:row>0</xdr:row>
      <xdr:rowOff>262617</xdr:rowOff>
    </xdr:from>
    <xdr:to>
      <xdr:col>15</xdr:col>
      <xdr:colOff>559253</xdr:colOff>
      <xdr:row>0</xdr:row>
      <xdr:rowOff>550525</xdr:rowOff>
    </xdr:to>
    <xdr:pic>
      <xdr:nvPicPr>
        <xdr:cNvPr id="4" name="Picture 3">
          <a:extLst>
            <a:ext uri="{FF2B5EF4-FFF2-40B4-BE49-F238E27FC236}">
              <a16:creationId xmlns:a16="http://schemas.microsoft.com/office/drawing/2014/main" id="{CFA058C7-F982-4050-86EE-53D7AEDB02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062" b="40234"/>
        <a:stretch>
          <a:fillRect/>
        </a:stretch>
      </xdr:blipFill>
      <xdr:spPr>
        <a:xfrm>
          <a:off x="9504589" y="262617"/>
          <a:ext cx="1389289" cy="287908"/>
        </a:xfrm>
        <a:prstGeom prst="rect">
          <a:avLst/>
        </a:prstGeom>
      </xdr:spPr>
    </xdr:pic>
    <xdr:clientData/>
  </xdr:twoCellAnchor>
  <xdr:twoCellAnchor editAs="oneCell">
    <xdr:from>
      <xdr:col>23</xdr:col>
      <xdr:colOff>0</xdr:colOff>
      <xdr:row>7</xdr:row>
      <xdr:rowOff>0</xdr:rowOff>
    </xdr:from>
    <xdr:to>
      <xdr:col>39</xdr:col>
      <xdr:colOff>0</xdr:colOff>
      <xdr:row>77</xdr:row>
      <xdr:rowOff>12246</xdr:rowOff>
    </xdr:to>
    <xdr:sp macro="" textlink="">
      <xdr:nvSpPr>
        <xdr:cNvPr id="2049" name="_r_878_" descr="Generated image: Volvo profitability dashboard analysis">
          <a:extLst>
            <a:ext uri="{FF2B5EF4-FFF2-40B4-BE49-F238E27FC236}">
              <a16:creationId xmlns:a16="http://schemas.microsoft.com/office/drawing/2014/main" id="{2D8BD41C-A4E1-7964-A60C-C033F15BB4DB}"/>
            </a:ext>
          </a:extLst>
        </xdr:cNvPr>
        <xdr:cNvSpPr>
          <a:spLocks noChangeAspect="1" noChangeArrowheads="1"/>
        </xdr:cNvSpPr>
      </xdr:nvSpPr>
      <xdr:spPr bwMode="auto">
        <a:xfrm>
          <a:off x="13030200" y="2524125"/>
          <a:ext cx="9753600" cy="1463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8</xdr:row>
      <xdr:rowOff>0</xdr:rowOff>
    </xdr:from>
    <xdr:to>
      <xdr:col>24</xdr:col>
      <xdr:colOff>304800</xdr:colOff>
      <xdr:row>10</xdr:row>
      <xdr:rowOff>62593</xdr:rowOff>
    </xdr:to>
    <xdr:sp macro="" textlink="">
      <xdr:nvSpPr>
        <xdr:cNvPr id="2050" name="AutoShape 2">
          <a:extLst>
            <a:ext uri="{FF2B5EF4-FFF2-40B4-BE49-F238E27FC236}">
              <a16:creationId xmlns:a16="http://schemas.microsoft.com/office/drawing/2014/main" id="{1226CA8A-3DD3-A1CD-1B52-427B80B86991}"/>
            </a:ext>
          </a:extLst>
        </xdr:cNvPr>
        <xdr:cNvSpPr>
          <a:spLocks noChangeAspect="1" noChangeArrowheads="1"/>
        </xdr:cNvSpPr>
      </xdr:nvSpPr>
      <xdr:spPr bwMode="auto">
        <a:xfrm>
          <a:off x="13639800" y="28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xdr:colOff>
      <xdr:row>12</xdr:row>
      <xdr:rowOff>0</xdr:rowOff>
    </xdr:from>
    <xdr:to>
      <xdr:col>4</xdr:col>
      <xdr:colOff>918482</xdr:colOff>
      <xdr:row>22</xdr:row>
      <xdr:rowOff>210910</xdr:rowOff>
    </xdr:to>
    <xdr:graphicFrame macro="">
      <xdr:nvGraphicFramePr>
        <xdr:cNvPr id="8" name="Chart 7">
          <a:extLst>
            <a:ext uri="{FF2B5EF4-FFF2-40B4-BE49-F238E27FC236}">
              <a16:creationId xmlns:a16="http://schemas.microsoft.com/office/drawing/2014/main" id="{B12209CE-8326-EA72-2A30-BE4FD81E0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54429</xdr:colOff>
      <xdr:row>12</xdr:row>
      <xdr:rowOff>0</xdr:rowOff>
    </xdr:from>
    <xdr:to>
      <xdr:col>10</xdr:col>
      <xdr:colOff>401412</xdr:colOff>
      <xdr:row>23</xdr:row>
      <xdr:rowOff>1</xdr:rowOff>
    </xdr:to>
    <xdr:graphicFrame macro="">
      <xdr:nvGraphicFramePr>
        <xdr:cNvPr id="10" name="Chart 9">
          <a:extLst>
            <a:ext uri="{FF2B5EF4-FFF2-40B4-BE49-F238E27FC236}">
              <a16:creationId xmlns:a16="http://schemas.microsoft.com/office/drawing/2014/main" id="{E3BAA842-B2F4-7DD7-A993-6E5A826FB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0</xdr:colOff>
          <xdr:row>3</xdr:row>
          <xdr:rowOff>0</xdr:rowOff>
        </xdr:from>
        <xdr:to>
          <xdr:col>16</xdr:col>
          <xdr:colOff>0</xdr:colOff>
          <xdr:row>4</xdr:row>
          <xdr:rowOff>0</xdr:rowOff>
        </xdr:to>
        <xdr:sp macro="" textlink="">
          <xdr:nvSpPr>
            <xdr:cNvPr id="2051" name="Drop Dow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544285</xdr:colOff>
      <xdr:row>12</xdr:row>
      <xdr:rowOff>2722</xdr:rowOff>
    </xdr:from>
    <xdr:to>
      <xdr:col>17</xdr:col>
      <xdr:colOff>0</xdr:colOff>
      <xdr:row>23</xdr:row>
      <xdr:rowOff>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CE085FA-0570-6391-1A9B-77A498CCD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16585" y="3231697"/>
              <a:ext cx="3703865" cy="23023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xdr:colOff>
      <xdr:row>23</xdr:row>
      <xdr:rowOff>210910</xdr:rowOff>
    </xdr:from>
    <xdr:to>
      <xdr:col>4</xdr:col>
      <xdr:colOff>435429</xdr:colOff>
      <xdr:row>33</xdr:row>
      <xdr:rowOff>210910</xdr:rowOff>
    </xdr:to>
    <xdr:graphicFrame macro="">
      <xdr:nvGraphicFramePr>
        <xdr:cNvPr id="12" name="Chart 11">
          <a:extLst>
            <a:ext uri="{FF2B5EF4-FFF2-40B4-BE49-F238E27FC236}">
              <a16:creationId xmlns:a16="http://schemas.microsoft.com/office/drawing/2014/main" id="{72EC3980-9F8B-AE39-3430-1F877C2B6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588510</xdr:colOff>
      <xdr:row>24</xdr:row>
      <xdr:rowOff>0</xdr:rowOff>
    </xdr:from>
    <xdr:to>
      <xdr:col>7</xdr:col>
      <xdr:colOff>1</xdr:colOff>
      <xdr:row>34</xdr:row>
      <xdr:rowOff>0</xdr:rowOff>
    </xdr:to>
    <xdr:graphicFrame macro="">
      <xdr:nvGraphicFramePr>
        <xdr:cNvPr id="2" name="Chart 1">
          <a:extLst>
            <a:ext uri="{FF2B5EF4-FFF2-40B4-BE49-F238E27FC236}">
              <a16:creationId xmlns:a16="http://schemas.microsoft.com/office/drawing/2014/main" id="{ED8F35D2-BD22-4A87-2C39-75CA4728D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81</xdr:row>
          <xdr:rowOff>0</xdr:rowOff>
        </xdr:from>
        <xdr:to>
          <xdr:col>4</xdr:col>
          <xdr:colOff>0</xdr:colOff>
          <xdr:row>82</xdr:row>
          <xdr:rowOff>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306916</xdr:colOff>
      <xdr:row>0</xdr:row>
      <xdr:rowOff>243417</xdr:rowOff>
    </xdr:from>
    <xdr:to>
      <xdr:col>2</xdr:col>
      <xdr:colOff>385233</xdr:colOff>
      <xdr:row>0</xdr:row>
      <xdr:rowOff>531325</xdr:rowOff>
    </xdr:to>
    <xdr:pic>
      <xdr:nvPicPr>
        <xdr:cNvPr id="2" name="Picture 1">
          <a:extLst>
            <a:ext uri="{FF2B5EF4-FFF2-40B4-BE49-F238E27FC236}">
              <a16:creationId xmlns:a16="http://schemas.microsoft.com/office/drawing/2014/main" id="{ACDF3C93-27BB-4D3E-8F2D-D5274E861B2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062" b="40234"/>
        <a:stretch>
          <a:fillRect/>
        </a:stretch>
      </xdr:blipFill>
      <xdr:spPr>
        <a:xfrm>
          <a:off x="1735666" y="243417"/>
          <a:ext cx="1390650" cy="2879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0</xdr:row>
      <xdr:rowOff>228600</xdr:rowOff>
    </xdr:from>
    <xdr:to>
      <xdr:col>2</xdr:col>
      <xdr:colOff>1409700</xdr:colOff>
      <xdr:row>0</xdr:row>
      <xdr:rowOff>516508</xdr:rowOff>
    </xdr:to>
    <xdr:pic>
      <xdr:nvPicPr>
        <xdr:cNvPr id="4" name="Picture 3">
          <a:extLst>
            <a:ext uri="{FF2B5EF4-FFF2-40B4-BE49-F238E27FC236}">
              <a16:creationId xmlns:a16="http://schemas.microsoft.com/office/drawing/2014/main" id="{55A3200B-0864-B9C0-46DA-6BAB53A7F6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062" b="40234"/>
        <a:stretch>
          <a:fillRect/>
        </a:stretch>
      </xdr:blipFill>
      <xdr:spPr>
        <a:xfrm>
          <a:off x="838200" y="228600"/>
          <a:ext cx="1390650" cy="2879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180975</xdr:colOff>
      <xdr:row>0</xdr:row>
      <xdr:rowOff>228600</xdr:rowOff>
    </xdr:from>
    <xdr:to>
      <xdr:col>1</xdr:col>
      <xdr:colOff>1571625</xdr:colOff>
      <xdr:row>0</xdr:row>
      <xdr:rowOff>516508</xdr:rowOff>
    </xdr:to>
    <xdr:pic>
      <xdr:nvPicPr>
        <xdr:cNvPr id="2" name="Picture 1">
          <a:extLst>
            <a:ext uri="{FF2B5EF4-FFF2-40B4-BE49-F238E27FC236}">
              <a16:creationId xmlns:a16="http://schemas.microsoft.com/office/drawing/2014/main" id="{6A02C413-2959-41E9-8C38-3C3ADF3C25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062" b="40234"/>
        <a:stretch>
          <a:fillRect/>
        </a:stretch>
      </xdr:blipFill>
      <xdr:spPr>
        <a:xfrm>
          <a:off x="419100" y="228600"/>
          <a:ext cx="1390650" cy="287908"/>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4FB55178-42F2-455A-9DB3-C0B9C65C999E}" autoFormatId="16" applyNumberFormats="0" applyBorderFormats="0" applyFontFormats="0" applyPatternFormats="0" applyAlignmentFormats="0" applyWidthHeightFormats="0">
  <queryTableRefresh nextId="8">
    <queryTableFields count="4">
      <queryTableField id="5" name="Account" tableColumnId="5"/>
      <queryTableField id="4" name="2023" tableColumnId="4"/>
      <queryTableField id="2" name="2024" tableColumnId="2"/>
      <queryTableField id="3" name="2025"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7C2DFD61-1033-4D67-AE34-13B237D13010}" autoFormatId="16" applyNumberFormats="0" applyBorderFormats="0" applyFontFormats="0" applyPatternFormats="0" applyAlignmentFormats="0" applyWidthHeightFormats="0">
  <queryTableRefresh nextId="6">
    <queryTableFields count="3">
      <queryTableField id="4" name="Account" tableColumnId="4"/>
      <queryTableField id="2" name="2024" tableColumnId="2"/>
      <queryTableField id="3" name="2025"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4AA772BB-D743-4FF3-984E-6DF6D766CCEF}" autoFormatId="16" applyNumberFormats="0" applyBorderFormats="0" applyFontFormats="0" applyPatternFormats="0" applyAlignmentFormats="0" applyWidthHeightFormats="0">
  <queryTableRefresh nextId="6">
    <queryTableFields count="3">
      <queryTableField id="4" name="Account" tableColumnId="4"/>
      <queryTableField id="2" name="2024" tableColumnId="2"/>
      <queryTableField id="3" name="2025"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F7A6E5FA-9D82-474E-BF88-0AF561B23D01}" autoFormatId="16" applyNumberFormats="0" applyBorderFormats="0" applyFontFormats="0" applyPatternFormats="0" applyAlignmentFormats="0" applyWidthHeightFormats="0">
  <queryTableRefresh nextId="13">
    <queryTableFields count="12">
      <queryTableField id="1" name="id" tableColumnId="1"/>
      <queryTableField id="2" name="concept" tableColumnId="2"/>
      <queryTableField id="3" name="period" tableColumnId="3"/>
      <queryTableField id="4" name="ifrs-full_ComponentsOfEquityAxis" tableColumnId="4"/>
      <queryTableField id="5" name="value" tableColumnId="5"/>
      <queryTableField id="6" name="Statement" tableColumnId="6"/>
      <queryTableField id="7" name="Report" tableColumnId="7"/>
      <queryTableField id="8" name="ReportYear" tableColumnId="8"/>
      <queryTableField id="9" name="Label" tableColumnId="9"/>
      <queryTableField id="10" name="Level" tableColumnId="10"/>
      <queryTableField id="11" name="RowOrder" tableColumnId="11"/>
      <queryTableField id="12" name="IndentedLabel"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16853664-DE51-4C1B-B9D4-67E5D139E7B3}" autoFormatId="16" applyNumberFormats="0" applyBorderFormats="0" applyFontFormats="0" applyPatternFormats="0" applyAlignmentFormats="0" applyWidthHeightFormats="0">
  <queryTableRefresh nextId="9">
    <queryTableFields count="8">
      <queryTableField id="1" name="id" tableColumnId="1"/>
      <queryTableField id="2" name="concept" tableColumnId="2"/>
      <queryTableField id="3" name="decimals" tableColumnId="3"/>
      <queryTableField id="4" name="entity" tableColumnId="4"/>
      <queryTableField id="5" name="period" tableColumnId="5"/>
      <queryTableField id="6" name="unit" tableColumnId="6"/>
      <queryTableField id="7" name="ifrs-full_ComponentsOfEquityAxis" tableColumnId="7"/>
      <queryTableField id="8" name="valu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D450E9-2E5C-4458-B5BE-6E4F9F29E299}" name="Cash_Flow" displayName="Cash_Flow" ref="B5:E85" tableType="queryTable" totalsRowShown="0">
  <autoFilter ref="B5:E85" xr:uid="{CCD450E9-2E5C-4458-B5BE-6E4F9F29E299}"/>
  <tableColumns count="4">
    <tableColumn id="5" xr3:uid="{03BA3F4F-294D-467C-8B20-40839784B0E6}" uniqueName="5" name="Account" queryTableFieldId="5"/>
    <tableColumn id="4" xr3:uid="{A4230DFD-4AA4-4793-8799-4D86BC93F675}" uniqueName="4" name="2023" queryTableFieldId="4" dataDxfId="33"/>
    <tableColumn id="2" xr3:uid="{FFC3AF63-4222-4047-B11F-81A7666BF91D}" uniqueName="2" name="2024" queryTableFieldId="2"/>
    <tableColumn id="3" xr3:uid="{B94F2E6E-F7FD-4F5A-95FF-35DC2FFBA5D0}" uniqueName="3" name="2025" queryTableField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670FB8-EAFE-40D9-91F5-CB56A99910B6}" name="Balance_Sheet" displayName="Balance_Sheet" ref="B90:D174" tableType="queryTable" totalsRowShown="0">
  <autoFilter ref="B90:D174" xr:uid="{ED670FB8-EAFE-40D9-91F5-CB56A99910B6}"/>
  <tableColumns count="3">
    <tableColumn id="4" xr3:uid="{26DE11AE-1130-44F1-8F8F-D206A5692F65}" uniqueName="4" name="Account" queryTableFieldId="4"/>
    <tableColumn id="2" xr3:uid="{13C456A2-45A8-4BAD-8A71-CA0F1AF7F99F}" uniqueName="2" name="2024" queryTableFieldId="2" dataDxfId="32"/>
    <tableColumn id="3" xr3:uid="{0B756BD3-95A3-486F-9EAD-02B54291E9E8}" uniqueName="3" name="2025" queryTableFieldId="3" dataDxfId="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8489B4-5810-4D3A-9342-E9E87BADC0DE}" name="Income_Statement" displayName="Income_Statement" ref="B179:D219" tableType="queryTable" totalsRowShown="0" headerRowDxfId="30" dataDxfId="29">
  <autoFilter ref="B179:D219" xr:uid="{728489B4-5810-4D3A-9342-E9E87BADC0DE}"/>
  <tableColumns count="3">
    <tableColumn id="4" xr3:uid="{78E9D2B4-EABB-41B0-BB9E-89BB7D646F34}" uniqueName="4" name="Account" queryTableFieldId="4" dataDxfId="28"/>
    <tableColumn id="2" xr3:uid="{685E18BA-26CC-47CC-8C3D-F1208F9501C1}" uniqueName="2" name="2024" queryTableFieldId="2" dataDxfId="27"/>
    <tableColumn id="3" xr3:uid="{50FF1E48-CFAD-4EE6-9131-404144FF732F}" uniqueName="3" name="2025" queryTableFieldId="3" dataDxfId="2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34E760-2E6A-42C7-8032-2C4E59351D84}" name="Transform_Data" displayName="Transform_Data" ref="B224:M923" tableType="queryTable" totalsRowShown="0" headerRowDxfId="25" dataDxfId="24">
  <autoFilter ref="B224:M923" xr:uid="{B034E760-2E6A-42C7-8032-2C4E59351D84}"/>
  <tableColumns count="12">
    <tableColumn id="1" xr3:uid="{CC981CDD-C8AA-4FA6-A6CF-E07EB45DFA3D}" uniqueName="1" name="id" queryTableFieldId="1" dataDxfId="23"/>
    <tableColumn id="2" xr3:uid="{D45153EE-4201-4F51-A3DE-F051D46FDCC7}" uniqueName="2" name="concept" queryTableFieldId="2" dataDxfId="22"/>
    <tableColumn id="3" xr3:uid="{8ADE8941-9F11-478B-B338-49459CD8F624}" uniqueName="3" name="period" queryTableFieldId="3" dataDxfId="21"/>
    <tableColumn id="4" xr3:uid="{7379BB16-2EB0-44CD-8F36-3900785316BB}" uniqueName="4" name="ifrs-full_ComponentsOfEquityAxis" queryTableFieldId="4" dataDxfId="20"/>
    <tableColumn id="5" xr3:uid="{F6D9954A-783E-4B05-89BD-BF4E07A2F60F}" uniqueName="5" name="value" queryTableFieldId="5" dataDxfId="19"/>
    <tableColumn id="6" xr3:uid="{0FD7B54D-1129-4759-8523-8FA2DB82AABC}" uniqueName="6" name="Statement" queryTableFieldId="6" dataDxfId="18"/>
    <tableColumn id="7" xr3:uid="{91503169-9A92-4E06-A8D5-D7A5DB9A8C81}" uniqueName="7" name="Report" queryTableFieldId="7" dataDxfId="17"/>
    <tableColumn id="8" xr3:uid="{A21E47A1-8FB6-4A13-BE30-B759D1589D8B}" uniqueName="8" name="ReportYear" queryTableFieldId="8" dataDxfId="16"/>
    <tableColumn id="9" xr3:uid="{7699105D-650F-4FC0-8C1D-8F827CD7FB78}" uniqueName="9" name="Label" queryTableFieldId="9" dataDxfId="15"/>
    <tableColumn id="10" xr3:uid="{92DB8577-AD9A-43A1-8091-113C7A0ADEFB}" uniqueName="10" name="Level" queryTableFieldId="10" dataDxfId="14"/>
    <tableColumn id="11" xr3:uid="{6011FAC7-BE6F-4AF0-B6BB-B4B3CBE62B65}" uniqueName="11" name="RowOrder" queryTableFieldId="11" dataDxfId="13"/>
    <tableColumn id="12" xr3:uid="{46D29371-C4D7-4684-89C4-6232A8930C79}" uniqueName="12" name="IndentedLabel" queryTableFieldId="12" dataDxfId="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20794-3E20-4CFF-9F6B-FCCEEA47823E}" name="Raw_Data" displayName="Raw_Data" ref="B928:I1627" tableType="queryTable" totalsRowShown="0" headerRowDxfId="11" dataDxfId="10">
  <autoFilter ref="B928:I1627" xr:uid="{08C20794-3E20-4CFF-9F6B-FCCEEA47823E}"/>
  <tableColumns count="8">
    <tableColumn id="1" xr3:uid="{CDE09433-EB37-4A19-B6F2-491490D7D7F0}" uniqueName="1" name="id" queryTableFieldId="1" dataDxfId="9"/>
    <tableColumn id="2" xr3:uid="{F5C6F5A1-1A1F-4E9F-A1AB-C8D31455B8F9}" uniqueName="2" name="concept" queryTableFieldId="2" dataDxfId="8"/>
    <tableColumn id="3" xr3:uid="{DD771C17-41AA-4B04-A173-B89D3C3E5977}" uniqueName="3" name="decimals" queryTableFieldId="3" dataDxfId="7"/>
    <tableColumn id="4" xr3:uid="{7272D5F2-7505-47D5-A0AA-D6C93963E86D}" uniqueName="4" name="entity" queryTableFieldId="4" dataDxfId="6"/>
    <tableColumn id="5" xr3:uid="{AF2BC8EF-7F84-46B3-9D52-050A3BB12184}" uniqueName="5" name="period" queryTableFieldId="5" dataDxfId="5"/>
    <tableColumn id="6" xr3:uid="{65A61AB4-B281-47B1-8AD6-0445F73E3EB3}" uniqueName="6" name="unit" queryTableFieldId="6" dataDxfId="4"/>
    <tableColumn id="7" xr3:uid="{57EFDD1B-D304-4C74-B900-8D7D2629710B}" uniqueName="7" name="ifrs-full_ComponentsOfEquityAxis" queryTableFieldId="7" dataDxfId="3"/>
    <tableColumn id="8" xr3:uid="{3835DAFE-83C2-4490-ABD0-E6E25069D070}" uniqueName="8" name="value" queryTableFieldId="8"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5.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0163-BE82-4C54-AFA1-C25160E95382}">
  <sheetPr>
    <tabColor theme="1"/>
  </sheetPr>
  <dimension ref="B1:O38"/>
  <sheetViews>
    <sheetView showGridLines="0" tabSelected="1" workbookViewId="0"/>
  </sheetViews>
  <sheetFormatPr defaultRowHeight="15" x14ac:dyDescent="0.25"/>
  <cols>
    <col min="2" max="2" width="10.5703125" customWidth="1"/>
    <col min="3" max="3" width="2.7109375" customWidth="1"/>
    <col min="4" max="4" width="7.28515625" bestFit="1" customWidth="1"/>
    <col min="5" max="5" width="9.85546875" bestFit="1" customWidth="1"/>
    <col min="6" max="6" width="23.42578125" bestFit="1" customWidth="1"/>
    <col min="11" max="11" width="21.28515625" customWidth="1"/>
    <col min="12" max="12" width="12.28515625" customWidth="1"/>
    <col min="13" max="13" width="17.7109375" customWidth="1"/>
  </cols>
  <sheetData>
    <row r="1" spans="2:15" ht="15.75" thickBot="1" x14ac:dyDescent="0.3"/>
    <row r="2" spans="2:15" ht="16.5" x14ac:dyDescent="0.3">
      <c r="B2" s="94"/>
      <c r="C2" s="95"/>
      <c r="D2" s="95"/>
      <c r="E2" s="95"/>
      <c r="F2" s="95"/>
      <c r="G2" s="95"/>
      <c r="H2" s="95"/>
      <c r="I2" s="95"/>
      <c r="J2" s="95"/>
      <c r="K2" s="95"/>
      <c r="L2" s="95"/>
      <c r="M2" s="95"/>
      <c r="N2" s="95"/>
      <c r="O2" s="96"/>
    </row>
    <row r="3" spans="2:15" ht="16.5" x14ac:dyDescent="0.3">
      <c r="B3" s="97"/>
      <c r="C3" s="19"/>
      <c r="D3" s="19"/>
      <c r="E3" s="19"/>
      <c r="F3" s="19"/>
      <c r="G3" s="19"/>
      <c r="H3" s="19"/>
      <c r="I3" s="19"/>
      <c r="J3" s="19"/>
      <c r="K3" s="19"/>
      <c r="L3" s="19"/>
      <c r="M3" s="19"/>
      <c r="N3" s="19"/>
      <c r="O3" s="98"/>
    </row>
    <row r="4" spans="2:15" ht="16.5" x14ac:dyDescent="0.3">
      <c r="B4" s="97"/>
      <c r="C4" s="19"/>
      <c r="D4" s="19"/>
      <c r="E4" s="19"/>
      <c r="F4" s="19"/>
      <c r="G4" s="19"/>
      <c r="H4" s="19"/>
      <c r="I4" s="19"/>
      <c r="J4" s="19"/>
      <c r="K4" s="19"/>
      <c r="L4" s="19"/>
      <c r="M4" s="19"/>
      <c r="N4" s="19"/>
      <c r="O4" s="98"/>
    </row>
    <row r="5" spans="2:15" ht="16.5" x14ac:dyDescent="0.3">
      <c r="B5" s="97"/>
      <c r="C5" s="19"/>
      <c r="D5" s="19"/>
      <c r="E5" s="19"/>
      <c r="F5" s="19"/>
      <c r="G5" s="19"/>
      <c r="H5" s="19"/>
      <c r="I5" s="19"/>
      <c r="J5" s="19"/>
      <c r="K5" s="19"/>
      <c r="L5" s="19"/>
      <c r="M5" s="19"/>
      <c r="N5" s="19"/>
      <c r="O5" s="98"/>
    </row>
    <row r="6" spans="2:15" ht="16.5" x14ac:dyDescent="0.3">
      <c r="B6" s="97"/>
      <c r="C6" s="19"/>
      <c r="D6" s="19"/>
      <c r="E6" s="19"/>
      <c r="F6" s="19"/>
      <c r="G6" s="19"/>
      <c r="H6" s="19"/>
      <c r="I6" s="19"/>
      <c r="J6" s="19"/>
      <c r="K6" s="19"/>
      <c r="L6" s="19"/>
      <c r="M6" s="19"/>
      <c r="N6" s="19"/>
      <c r="O6" s="98"/>
    </row>
    <row r="7" spans="2:15" ht="16.5" x14ac:dyDescent="0.3">
      <c r="B7" s="97"/>
      <c r="C7" s="19"/>
      <c r="D7" s="19"/>
      <c r="E7" s="19"/>
      <c r="F7" s="19"/>
      <c r="G7" s="19"/>
      <c r="H7" s="19"/>
      <c r="I7" s="19"/>
      <c r="J7" s="19"/>
      <c r="K7" s="19"/>
      <c r="L7" s="19"/>
      <c r="M7" s="19"/>
      <c r="N7" s="19"/>
      <c r="O7" s="98"/>
    </row>
    <row r="8" spans="2:15" ht="16.5" x14ac:dyDescent="0.3">
      <c r="B8" s="97"/>
      <c r="C8" s="19"/>
      <c r="D8" s="19"/>
      <c r="E8" s="19"/>
      <c r="F8" s="19"/>
      <c r="G8" s="19"/>
      <c r="H8" s="19"/>
      <c r="I8" s="19"/>
      <c r="J8" s="19"/>
      <c r="K8" s="19"/>
      <c r="L8" s="19"/>
      <c r="M8" s="19"/>
      <c r="N8" s="19"/>
      <c r="O8" s="98"/>
    </row>
    <row r="9" spans="2:15" ht="16.5" x14ac:dyDescent="0.3">
      <c r="B9" s="97"/>
      <c r="C9" s="19"/>
      <c r="D9" s="19"/>
      <c r="E9" s="19"/>
      <c r="F9" s="19"/>
      <c r="G9" s="19"/>
      <c r="H9" s="19"/>
      <c r="I9" s="19"/>
      <c r="J9" s="19"/>
      <c r="K9" s="19"/>
      <c r="L9" s="19"/>
      <c r="M9" s="19"/>
      <c r="N9" s="19"/>
      <c r="O9" s="98"/>
    </row>
    <row r="10" spans="2:15" ht="16.5" x14ac:dyDescent="0.3">
      <c r="B10" s="97"/>
      <c r="C10" s="19"/>
      <c r="D10" s="19"/>
      <c r="E10" s="19"/>
      <c r="F10" s="19"/>
      <c r="G10" s="19"/>
      <c r="H10" s="19"/>
      <c r="I10" s="19"/>
      <c r="J10" s="19"/>
      <c r="K10" s="19"/>
      <c r="L10" s="19"/>
      <c r="M10" s="19"/>
      <c r="N10" s="19"/>
      <c r="O10" s="98"/>
    </row>
    <row r="11" spans="2:15" ht="31.5" x14ac:dyDescent="0.55000000000000004">
      <c r="B11" s="97"/>
      <c r="C11" s="112" t="s">
        <v>2631</v>
      </c>
      <c r="D11" s="113"/>
      <c r="E11" s="113"/>
      <c r="F11" s="19"/>
      <c r="G11" s="19"/>
      <c r="H11" s="19"/>
      <c r="I11" s="19"/>
      <c r="J11" s="19"/>
      <c r="K11" s="19"/>
      <c r="L11" s="19"/>
      <c r="M11" s="19"/>
      <c r="N11" s="19"/>
      <c r="O11" s="98"/>
    </row>
    <row r="12" spans="2:15" ht="31.5" x14ac:dyDescent="0.55000000000000004">
      <c r="B12" s="97"/>
      <c r="C12" s="113" t="s">
        <v>2632</v>
      </c>
      <c r="D12" s="113"/>
      <c r="E12" s="113"/>
      <c r="F12" s="19"/>
      <c r="G12" s="19"/>
      <c r="H12" s="19"/>
      <c r="I12" s="19"/>
      <c r="J12" s="19"/>
      <c r="K12" s="19"/>
      <c r="L12" s="19"/>
      <c r="M12" s="19"/>
      <c r="N12" s="19"/>
      <c r="O12" s="98"/>
    </row>
    <row r="13" spans="2:15" ht="31.5" x14ac:dyDescent="0.55000000000000004">
      <c r="B13" s="97"/>
      <c r="C13" s="113"/>
      <c r="D13" s="113"/>
      <c r="E13" s="113"/>
      <c r="F13" s="19"/>
      <c r="G13" s="19"/>
      <c r="H13" s="19"/>
      <c r="I13" s="19"/>
      <c r="J13" s="19"/>
      <c r="K13" s="19"/>
      <c r="L13" s="19"/>
      <c r="M13" s="19"/>
      <c r="N13" s="19"/>
      <c r="O13" s="98"/>
    </row>
    <row r="14" spans="2:15" ht="16.5" x14ac:dyDescent="0.3">
      <c r="B14" s="97"/>
      <c r="G14" s="19"/>
      <c r="H14" s="19"/>
      <c r="I14" s="19"/>
      <c r="J14" s="19"/>
      <c r="K14" s="19"/>
      <c r="L14" s="19"/>
      <c r="M14" s="19"/>
      <c r="N14" s="19"/>
      <c r="O14" s="98"/>
    </row>
    <row r="15" spans="2:15" ht="21.75" thickBot="1" x14ac:dyDescent="0.45">
      <c r="B15" s="117"/>
      <c r="C15" s="119" t="s">
        <v>2628</v>
      </c>
      <c r="D15" s="120"/>
      <c r="E15" s="121"/>
      <c r="F15" s="121"/>
      <c r="G15" s="19"/>
      <c r="H15" s="19"/>
      <c r="I15" s="19"/>
      <c r="J15" s="19"/>
      <c r="K15" s="119" t="s">
        <v>2639</v>
      </c>
      <c r="L15" s="120"/>
      <c r="M15" s="116"/>
      <c r="N15" s="116"/>
      <c r="O15" s="98"/>
    </row>
    <row r="16" spans="2:15" ht="21" x14ac:dyDescent="0.4">
      <c r="B16" s="117"/>
      <c r="C16" s="118"/>
      <c r="D16" s="115"/>
      <c r="E16" s="116"/>
      <c r="F16" s="116"/>
      <c r="G16" s="19"/>
      <c r="H16" s="19"/>
      <c r="I16" s="19"/>
      <c r="J16" s="19"/>
      <c r="K16" s="118"/>
      <c r="L16" s="115"/>
      <c r="M16" s="116"/>
      <c r="N16" s="116"/>
      <c r="O16" s="98"/>
    </row>
    <row r="17" spans="2:15" ht="21" x14ac:dyDescent="0.4">
      <c r="B17" s="117"/>
      <c r="C17" s="116"/>
      <c r="D17" s="114" t="s">
        <v>2636</v>
      </c>
      <c r="E17" s="111"/>
      <c r="F17" s="111"/>
      <c r="G17" s="19"/>
      <c r="H17" s="19"/>
      <c r="I17" s="19"/>
      <c r="J17" s="19"/>
      <c r="K17" s="110" t="s">
        <v>2640</v>
      </c>
      <c r="L17" s="122">
        <f>IF(Model!C127&gt;0.08,1,2)</f>
        <v>1</v>
      </c>
      <c r="M17" s="92"/>
      <c r="N17" s="100"/>
      <c r="O17" s="98"/>
    </row>
    <row r="18" spans="2:15" ht="21" x14ac:dyDescent="0.4">
      <c r="B18" s="117"/>
      <c r="C18" s="116"/>
      <c r="D18" s="114" t="s">
        <v>2629</v>
      </c>
      <c r="E18" s="115"/>
      <c r="F18" s="115"/>
      <c r="G18" s="19"/>
      <c r="H18" s="19"/>
      <c r="I18" s="19"/>
      <c r="J18" s="19"/>
      <c r="K18" s="19"/>
      <c r="L18" s="109"/>
      <c r="M18" s="92"/>
      <c r="N18" s="19"/>
      <c r="O18" s="98"/>
    </row>
    <row r="19" spans="2:15" ht="21" x14ac:dyDescent="0.4">
      <c r="B19" s="117"/>
      <c r="C19" s="116"/>
      <c r="D19" s="114" t="s">
        <v>2637</v>
      </c>
      <c r="E19" s="115"/>
      <c r="F19" s="115"/>
      <c r="G19" s="19"/>
      <c r="H19" s="19"/>
      <c r="I19" s="19"/>
      <c r="J19" s="19"/>
      <c r="K19" s="19"/>
      <c r="L19" s="19"/>
      <c r="M19" s="19"/>
      <c r="N19" s="19"/>
      <c r="O19" s="98"/>
    </row>
    <row r="20" spans="2:15" ht="21" x14ac:dyDescent="0.4">
      <c r="B20" s="117"/>
      <c r="C20" s="116"/>
      <c r="D20" s="114" t="s">
        <v>2638</v>
      </c>
      <c r="E20" s="115"/>
      <c r="F20" s="115"/>
      <c r="G20" s="19"/>
      <c r="H20" s="19"/>
      <c r="I20" s="19"/>
      <c r="J20" s="19"/>
      <c r="K20" s="19"/>
      <c r="L20" s="19"/>
      <c r="M20" s="19"/>
      <c r="N20" s="19"/>
      <c r="O20" s="98"/>
    </row>
    <row r="21" spans="2:15" ht="21" x14ac:dyDescent="0.4">
      <c r="B21" s="97"/>
      <c r="D21" s="116"/>
      <c r="E21" s="115"/>
      <c r="F21" s="92"/>
      <c r="G21" s="19"/>
      <c r="H21" s="19"/>
      <c r="I21" s="19"/>
      <c r="J21" s="19"/>
      <c r="K21" s="19"/>
      <c r="L21" s="19"/>
      <c r="M21" s="19"/>
      <c r="N21" s="19"/>
      <c r="O21" s="98"/>
    </row>
    <row r="22" spans="2:15" ht="21" x14ac:dyDescent="0.4">
      <c r="B22" s="97"/>
      <c r="C22" s="92"/>
      <c r="D22" s="115"/>
      <c r="E22" s="115"/>
      <c r="F22" s="92"/>
      <c r="G22" s="19"/>
      <c r="H22" s="19"/>
      <c r="I22" s="19"/>
      <c r="J22" s="19"/>
      <c r="K22" s="19"/>
      <c r="L22" s="19"/>
      <c r="M22" s="19"/>
      <c r="N22" s="19"/>
      <c r="O22" s="98"/>
    </row>
    <row r="23" spans="2:15" ht="16.5" x14ac:dyDescent="0.3">
      <c r="B23" s="97"/>
      <c r="C23" s="19"/>
      <c r="D23" s="99"/>
      <c r="E23" s="99"/>
      <c r="F23" s="19"/>
      <c r="G23" s="19"/>
      <c r="H23" s="19"/>
      <c r="I23" s="19"/>
      <c r="J23" s="19"/>
      <c r="K23" s="19"/>
      <c r="L23" s="19"/>
      <c r="M23" s="19"/>
      <c r="N23" s="19"/>
      <c r="O23" s="98"/>
    </row>
    <row r="24" spans="2:15" ht="16.5" x14ac:dyDescent="0.3">
      <c r="B24" s="97"/>
      <c r="C24" s="19"/>
      <c r="D24" s="19"/>
      <c r="E24" s="19"/>
      <c r="F24" s="19"/>
      <c r="G24" s="19"/>
      <c r="H24" s="19"/>
      <c r="I24" s="19"/>
      <c r="J24" s="19"/>
      <c r="K24" s="19"/>
      <c r="L24" s="19"/>
      <c r="M24" s="19"/>
      <c r="N24" s="19"/>
      <c r="O24" s="98"/>
    </row>
    <row r="25" spans="2:15" ht="16.5" x14ac:dyDescent="0.3">
      <c r="B25" s="97"/>
      <c r="C25" s="19"/>
      <c r="D25" s="19"/>
      <c r="E25" s="19"/>
      <c r="F25" s="19"/>
      <c r="G25" s="19"/>
      <c r="H25" s="19"/>
      <c r="I25" s="19"/>
      <c r="J25" s="19"/>
      <c r="K25" s="19"/>
      <c r="L25" s="19"/>
      <c r="M25" s="19"/>
      <c r="N25" s="19"/>
      <c r="O25" s="98"/>
    </row>
    <row r="26" spans="2:15" ht="16.5" x14ac:dyDescent="0.3">
      <c r="B26" s="97"/>
      <c r="C26" s="19"/>
      <c r="D26" s="19"/>
      <c r="E26" s="19"/>
      <c r="F26" s="19"/>
      <c r="G26" s="19"/>
      <c r="H26" s="19"/>
      <c r="I26" s="19"/>
      <c r="J26" s="19"/>
      <c r="K26" s="19"/>
      <c r="L26" s="19"/>
      <c r="M26" s="19"/>
      <c r="N26" s="19"/>
      <c r="O26" s="98"/>
    </row>
    <row r="27" spans="2:15" ht="16.5" x14ac:dyDescent="0.3">
      <c r="B27" s="97"/>
      <c r="C27" s="19"/>
      <c r="D27" s="19"/>
      <c r="E27" s="19"/>
      <c r="F27" s="19"/>
      <c r="G27" s="19"/>
      <c r="H27" s="19"/>
      <c r="I27" s="19"/>
      <c r="J27" s="19"/>
      <c r="K27" s="19"/>
      <c r="L27" s="19"/>
      <c r="M27" s="19"/>
      <c r="N27" s="19"/>
      <c r="O27" s="98"/>
    </row>
    <row r="28" spans="2:15" ht="21" x14ac:dyDescent="0.4">
      <c r="B28" s="97"/>
      <c r="C28" s="111" t="s">
        <v>2633</v>
      </c>
      <c r="D28" s="19"/>
      <c r="E28" s="19"/>
      <c r="F28" s="19"/>
      <c r="G28" s="19"/>
      <c r="H28" s="19"/>
      <c r="I28" s="19"/>
      <c r="J28" s="19"/>
      <c r="K28" s="19"/>
      <c r="L28" s="19"/>
      <c r="M28" s="19"/>
      <c r="N28" s="19"/>
      <c r="O28" s="98"/>
    </row>
    <row r="29" spans="2:15" ht="16.5" x14ac:dyDescent="0.3">
      <c r="B29" s="97"/>
      <c r="D29" s="19"/>
      <c r="E29" s="19"/>
      <c r="F29" s="19"/>
      <c r="G29" s="19"/>
      <c r="H29" s="19"/>
      <c r="I29" s="19"/>
      <c r="J29" s="19"/>
      <c r="K29" s="19"/>
      <c r="L29" s="19"/>
      <c r="M29" s="19"/>
      <c r="N29" s="19"/>
      <c r="O29" s="98"/>
    </row>
    <row r="30" spans="2:15" ht="16.5" x14ac:dyDescent="0.3">
      <c r="B30" s="97"/>
      <c r="C30" s="91" t="s">
        <v>2634</v>
      </c>
      <c r="D30" s="19"/>
      <c r="E30" s="19"/>
      <c r="F30" s="19"/>
      <c r="G30" s="19"/>
      <c r="H30" s="19"/>
      <c r="I30" s="19"/>
      <c r="J30" s="19"/>
      <c r="K30" s="19"/>
      <c r="L30" s="19"/>
      <c r="M30" s="19"/>
      <c r="N30" s="19"/>
      <c r="O30" s="98"/>
    </row>
    <row r="31" spans="2:15" ht="16.5" x14ac:dyDescent="0.3">
      <c r="B31" s="97"/>
      <c r="C31" s="13" t="s">
        <v>2635</v>
      </c>
      <c r="D31" s="19"/>
      <c r="E31" s="19"/>
      <c r="F31" s="19"/>
      <c r="G31" s="19"/>
      <c r="H31" s="19"/>
      <c r="I31" s="19"/>
      <c r="J31" s="19"/>
      <c r="K31" s="19"/>
      <c r="L31" s="19"/>
      <c r="M31" s="19"/>
      <c r="N31" s="19"/>
      <c r="O31" s="98"/>
    </row>
    <row r="32" spans="2:15" ht="16.5" x14ac:dyDescent="0.3">
      <c r="B32" s="97"/>
      <c r="C32" s="19"/>
      <c r="D32" s="19"/>
      <c r="E32" s="19"/>
      <c r="F32" s="19"/>
      <c r="G32" s="19"/>
      <c r="H32" s="19"/>
      <c r="I32" s="19"/>
      <c r="J32" s="19"/>
      <c r="K32" s="19"/>
      <c r="L32" s="19"/>
      <c r="M32" s="19"/>
      <c r="N32" s="19"/>
      <c r="O32" s="98"/>
    </row>
    <row r="33" spans="2:15" ht="16.5" x14ac:dyDescent="0.3">
      <c r="B33" s="97"/>
      <c r="C33" s="19"/>
      <c r="D33" s="19"/>
      <c r="E33" s="19"/>
      <c r="F33" s="19"/>
      <c r="G33" s="19"/>
      <c r="H33" s="19"/>
      <c r="I33" s="19"/>
      <c r="J33" s="19"/>
      <c r="K33" s="19"/>
      <c r="L33" s="19"/>
      <c r="M33" s="19"/>
      <c r="N33" s="19"/>
      <c r="O33" s="98"/>
    </row>
    <row r="34" spans="2:15" ht="17.25" thickBot="1" x14ac:dyDescent="0.35">
      <c r="B34" s="97"/>
      <c r="C34" s="19"/>
      <c r="D34" s="19"/>
      <c r="E34" s="19"/>
      <c r="F34" s="19"/>
      <c r="G34" s="19"/>
      <c r="H34" s="19"/>
      <c r="I34" s="19"/>
      <c r="J34" s="19"/>
      <c r="K34" s="19"/>
      <c r="L34" s="19"/>
      <c r="M34" s="19"/>
      <c r="N34" s="19"/>
      <c r="O34" s="98"/>
    </row>
    <row r="35" spans="2:15" ht="16.5" x14ac:dyDescent="0.3">
      <c r="B35" s="101"/>
      <c r="C35" s="102"/>
      <c r="D35" s="102"/>
      <c r="E35" s="102"/>
      <c r="F35" s="102"/>
      <c r="G35" s="102"/>
      <c r="H35" s="102"/>
      <c r="I35" s="102"/>
      <c r="J35" s="102"/>
      <c r="K35" s="102"/>
      <c r="L35" s="102"/>
      <c r="M35" s="102"/>
      <c r="N35" s="102"/>
      <c r="O35" s="103"/>
    </row>
    <row r="36" spans="2:15" ht="16.5" x14ac:dyDescent="0.3">
      <c r="B36" s="104"/>
      <c r="C36" s="123" t="s">
        <v>2630</v>
      </c>
      <c r="D36" s="123"/>
      <c r="E36" s="123"/>
      <c r="F36" s="123"/>
      <c r="G36" s="123"/>
      <c r="H36" s="123"/>
      <c r="I36" s="123"/>
      <c r="J36" s="123"/>
      <c r="K36" s="123"/>
      <c r="L36" s="123"/>
      <c r="M36" s="123"/>
      <c r="N36" s="123"/>
      <c r="O36" s="105"/>
    </row>
    <row r="37" spans="2:15" ht="16.5" x14ac:dyDescent="0.3">
      <c r="B37" s="104"/>
      <c r="C37" s="123"/>
      <c r="D37" s="123"/>
      <c r="E37" s="123"/>
      <c r="F37" s="123"/>
      <c r="G37" s="123"/>
      <c r="H37" s="123"/>
      <c r="I37" s="123"/>
      <c r="J37" s="123"/>
      <c r="K37" s="123"/>
      <c r="L37" s="123"/>
      <c r="M37" s="123"/>
      <c r="N37" s="123"/>
      <c r="O37" s="105"/>
    </row>
    <row r="38" spans="2:15" ht="17.25" thickBot="1" x14ac:dyDescent="0.35">
      <c r="B38" s="106"/>
      <c r="C38" s="107"/>
      <c r="D38" s="107"/>
      <c r="E38" s="107"/>
      <c r="F38" s="107"/>
      <c r="G38" s="107"/>
      <c r="H38" s="107"/>
      <c r="I38" s="107"/>
      <c r="J38" s="107"/>
      <c r="K38" s="107"/>
      <c r="L38" s="107"/>
      <c r="M38" s="107"/>
      <c r="N38" s="107"/>
      <c r="O38" s="108"/>
    </row>
  </sheetData>
  <mergeCells count="1">
    <mergeCell ref="C36:N37"/>
  </mergeCells>
  <hyperlinks>
    <hyperlink ref="D17" location="Dashboard!A1" display="Dashboard" xr:uid="{9CE1432E-F245-4EFC-81AF-C73822466B64}"/>
    <hyperlink ref="D18" location="Model!A1" display="Model" xr:uid="{447B2E7F-191D-4E37-88B8-6BF3C778095B}"/>
    <hyperlink ref="D19" location="'Financial Data'!A1" display="Financial Data" xr:uid="{C1A464F9-08C6-4FE8-99FC-8E241635D401}"/>
    <hyperlink ref="D20" location="'Model Query'!A1" display="Model Query" xr:uid="{4B2F2846-8DBC-4DC1-809E-2D3D1C20A8D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F155-E29B-483F-ADD4-463420198869}">
  <sheetPr>
    <tabColor theme="1"/>
  </sheetPr>
  <dimension ref="A1:Y40"/>
  <sheetViews>
    <sheetView showGridLines="0" zoomScale="140" zoomScaleNormal="140" workbookViewId="0">
      <pane ySplit="1" topLeftCell="A2" activePane="bottomLeft" state="frozen"/>
      <selection pane="bottomLeft"/>
    </sheetView>
  </sheetViews>
  <sheetFormatPr defaultRowHeight="16.5" x14ac:dyDescent="0.3"/>
  <cols>
    <col min="1" max="1" width="9.140625" style="19"/>
    <col min="2" max="3" width="14.7109375" style="19" customWidth="1"/>
    <col min="4" max="4" width="7.42578125" style="19" customWidth="1"/>
    <col min="5" max="6" width="14.7109375" style="19" customWidth="1"/>
    <col min="7" max="7" width="7.85546875" style="19" customWidth="1"/>
    <col min="8" max="8" width="14.7109375" style="19" customWidth="1"/>
    <col min="9" max="10" width="3.28515625" style="70" customWidth="1"/>
    <col min="11" max="16" width="10.140625" style="19" customWidth="1"/>
    <col min="17" max="17" width="2.85546875" style="19" customWidth="1"/>
    <col min="18" max="18" width="10.140625" style="19" customWidth="1"/>
    <col min="19" max="19" width="9.140625" style="19" customWidth="1"/>
    <col min="20" max="16384" width="9.140625" style="19"/>
  </cols>
  <sheetData>
    <row r="1" spans="1:25" s="12" customFormat="1" ht="60.75" customHeight="1" x14ac:dyDescent="0.3">
      <c r="B1" s="11"/>
      <c r="C1" s="11"/>
      <c r="D1" s="69"/>
      <c r="E1" s="68"/>
      <c r="F1" s="68"/>
      <c r="G1" s="68"/>
      <c r="H1" s="68"/>
      <c r="I1" s="68"/>
      <c r="J1" s="68"/>
      <c r="K1" s="68"/>
      <c r="L1" s="68"/>
      <c r="M1" s="68"/>
      <c r="N1" s="68"/>
      <c r="O1" s="68"/>
      <c r="P1" s="68"/>
      <c r="Q1" s="68"/>
    </row>
    <row r="3" spans="1:25" s="12" customFormat="1" ht="22.5" x14ac:dyDescent="0.4">
      <c r="A3" s="12" t="s">
        <v>2450</v>
      </c>
      <c r="B3" s="47" t="s">
        <v>2614</v>
      </c>
      <c r="C3" s="47"/>
      <c r="D3" s="47"/>
      <c r="E3" s="47"/>
      <c r="F3" s="47"/>
      <c r="G3" s="47"/>
      <c r="H3" s="47"/>
      <c r="I3" s="76"/>
      <c r="J3" s="76"/>
      <c r="K3" s="47"/>
      <c r="L3" s="47"/>
      <c r="M3" s="47"/>
      <c r="N3" s="47"/>
      <c r="O3" s="47"/>
      <c r="P3" s="49" t="s">
        <v>2517</v>
      </c>
      <c r="Q3" s="49"/>
    </row>
    <row r="4" spans="1:25" x14ac:dyDescent="0.3">
      <c r="B4" s="19" t="s">
        <v>2632</v>
      </c>
    </row>
    <row r="5" spans="1:25" x14ac:dyDescent="0.3">
      <c r="B5" s="13"/>
    </row>
    <row r="6" spans="1:25" x14ac:dyDescent="0.3">
      <c r="B6" s="70"/>
      <c r="C6" s="70"/>
      <c r="D6" s="70"/>
      <c r="E6" s="70"/>
      <c r="F6" s="70"/>
      <c r="G6" s="70"/>
      <c r="H6" s="70"/>
      <c r="K6" s="70"/>
      <c r="L6" s="70"/>
      <c r="M6" s="70"/>
      <c r="N6" s="70"/>
      <c r="O6" s="70"/>
      <c r="P6" s="70"/>
      <c r="Q6" s="70"/>
      <c r="R6" s="70"/>
    </row>
    <row r="7" spans="1:25" ht="26.25" customHeight="1" x14ac:dyDescent="0.3">
      <c r="B7" s="124" t="s">
        <v>2616</v>
      </c>
      <c r="C7" s="124"/>
      <c r="D7" s="124"/>
      <c r="E7" s="124"/>
      <c r="G7" s="130" t="s">
        <v>2618</v>
      </c>
      <c r="H7" s="130"/>
      <c r="I7" s="130"/>
      <c r="J7" s="130"/>
      <c r="K7" s="130"/>
      <c r="L7" s="79"/>
      <c r="M7" s="130" t="s">
        <v>2597</v>
      </c>
      <c r="N7" s="130"/>
      <c r="O7" s="130"/>
      <c r="P7" s="130"/>
      <c r="Q7" s="130"/>
    </row>
    <row r="8" spans="1:25" ht="16.5" customHeight="1" x14ac:dyDescent="0.6">
      <c r="B8" s="126">
        <f>Model!J11</f>
        <v>357263</v>
      </c>
      <c r="C8" s="126"/>
      <c r="D8" s="126"/>
      <c r="E8" s="126"/>
      <c r="G8" s="132">
        <f>Model!J13</f>
        <v>1E-3</v>
      </c>
      <c r="H8" s="132"/>
      <c r="I8" s="132"/>
      <c r="J8" s="132"/>
      <c r="K8" s="132"/>
      <c r="L8" s="80"/>
      <c r="M8" s="132">
        <f>Model!J28</f>
        <v>7.2963055228221232E-2</v>
      </c>
      <c r="N8" s="132"/>
      <c r="O8" s="132"/>
      <c r="P8" s="132"/>
      <c r="Q8" s="132"/>
      <c r="X8"/>
    </row>
    <row r="9" spans="1:25" ht="19.5" customHeight="1" x14ac:dyDescent="0.6">
      <c r="B9" s="126"/>
      <c r="C9" s="126"/>
      <c r="D9" s="126"/>
      <c r="E9" s="126"/>
      <c r="G9" s="132"/>
      <c r="H9" s="132"/>
      <c r="I9" s="132"/>
      <c r="J9" s="132"/>
      <c r="K9" s="132"/>
      <c r="L9" s="80"/>
      <c r="M9" s="132"/>
      <c r="N9" s="132"/>
      <c r="O9" s="132"/>
      <c r="P9" s="132"/>
      <c r="Q9" s="132"/>
      <c r="Y9"/>
    </row>
    <row r="10" spans="1:25" ht="9.75" hidden="1" customHeight="1" x14ac:dyDescent="0.6">
      <c r="B10" s="126"/>
      <c r="C10" s="126"/>
      <c r="D10" s="126"/>
      <c r="E10" s="126"/>
      <c r="G10" s="132"/>
      <c r="H10" s="132"/>
      <c r="I10" s="132"/>
      <c r="J10" s="132"/>
      <c r="K10" s="132"/>
      <c r="L10" s="80"/>
      <c r="M10" s="132"/>
      <c r="N10" s="132"/>
      <c r="O10" s="132"/>
      <c r="P10" s="132"/>
      <c r="Q10" s="132"/>
    </row>
    <row r="11" spans="1:25" ht="26.25" customHeight="1" x14ac:dyDescent="0.3">
      <c r="B11" s="125">
        <f>Model!J43</f>
        <v>-0.10736469165538165</v>
      </c>
      <c r="C11" s="125"/>
      <c r="D11" s="125"/>
      <c r="E11" s="125"/>
      <c r="G11" s="133">
        <f>Model!J14</f>
        <v>-5.4999999999999993E-2</v>
      </c>
      <c r="H11" s="133"/>
      <c r="I11" s="133"/>
      <c r="J11" s="133"/>
      <c r="K11" s="133"/>
      <c r="L11" s="81"/>
      <c r="M11" s="131" t="s">
        <v>2615</v>
      </c>
      <c r="N11" s="131"/>
      <c r="O11" s="131"/>
      <c r="P11" s="131"/>
      <c r="Q11" s="131"/>
    </row>
    <row r="12" spans="1:25" x14ac:dyDescent="0.3">
      <c r="B12" s="70"/>
      <c r="C12" s="70"/>
      <c r="D12" s="70"/>
      <c r="E12" s="70"/>
      <c r="F12" s="70"/>
      <c r="G12" s="70"/>
      <c r="H12" s="70"/>
      <c r="K12" s="70"/>
      <c r="L12" s="70"/>
      <c r="M12" s="70"/>
      <c r="N12" s="70"/>
      <c r="O12" s="70"/>
      <c r="P12" s="70"/>
      <c r="Q12" s="70"/>
      <c r="R12" s="70"/>
    </row>
    <row r="13" spans="1:25" x14ac:dyDescent="0.3">
      <c r="B13" s="70"/>
      <c r="C13" s="70"/>
      <c r="D13" s="70"/>
      <c r="E13" s="70"/>
      <c r="F13" s="70"/>
      <c r="G13" s="70"/>
      <c r="H13" s="70"/>
      <c r="K13" s="70"/>
      <c r="L13" s="70"/>
      <c r="M13" s="70"/>
      <c r="N13" s="70"/>
      <c r="O13" s="70"/>
      <c r="P13" s="70"/>
      <c r="Q13" s="70"/>
      <c r="R13" s="70"/>
    </row>
    <row r="14" spans="1:25" x14ac:dyDescent="0.3">
      <c r="B14" s="70"/>
      <c r="C14" s="70"/>
      <c r="D14" s="70"/>
      <c r="E14" s="70"/>
      <c r="F14" s="70"/>
      <c r="G14" s="70"/>
      <c r="H14" s="70"/>
      <c r="K14" s="70"/>
      <c r="L14" s="70"/>
      <c r="M14" s="70"/>
      <c r="N14" s="70"/>
      <c r="O14" s="70"/>
      <c r="P14" s="70"/>
      <c r="Q14" s="70"/>
      <c r="R14" s="70"/>
    </row>
    <row r="15" spans="1:25" x14ac:dyDescent="0.3">
      <c r="B15" s="70"/>
      <c r="C15" s="70"/>
      <c r="D15" s="70"/>
      <c r="E15" s="70"/>
      <c r="F15" s="70"/>
      <c r="G15" s="70"/>
      <c r="H15" s="70"/>
      <c r="K15" s="70"/>
      <c r="L15" s="70"/>
      <c r="M15" s="70"/>
      <c r="N15" s="70"/>
      <c r="O15" s="70"/>
      <c r="P15" s="70"/>
      <c r="Q15" s="70"/>
      <c r="R15" s="70"/>
    </row>
    <row r="16" spans="1:25" x14ac:dyDescent="0.3">
      <c r="B16" s="70"/>
      <c r="C16" s="70"/>
      <c r="D16" s="70"/>
      <c r="E16" s="70"/>
      <c r="F16" s="70"/>
      <c r="G16" s="70"/>
      <c r="H16" s="70"/>
      <c r="K16" s="70"/>
      <c r="L16" s="70"/>
      <c r="M16" s="70"/>
      <c r="N16" s="70"/>
      <c r="O16" s="70"/>
      <c r="P16" s="70"/>
      <c r="Q16" s="70"/>
      <c r="R16" s="70"/>
    </row>
    <row r="17" spans="2:18" x14ac:dyDescent="0.3">
      <c r="B17" s="70"/>
      <c r="C17" s="70"/>
      <c r="D17" s="70"/>
      <c r="E17" s="70"/>
      <c r="F17" s="70"/>
      <c r="G17" s="70"/>
      <c r="H17" s="70"/>
      <c r="K17" s="70"/>
      <c r="L17" s="70"/>
      <c r="M17" s="70"/>
      <c r="N17" s="70"/>
      <c r="O17" s="70"/>
      <c r="P17" s="70"/>
      <c r="Q17" s="70"/>
      <c r="R17" s="70"/>
    </row>
    <row r="18" spans="2:18" x14ac:dyDescent="0.3">
      <c r="B18" s="70"/>
      <c r="C18" s="70"/>
      <c r="D18" s="70"/>
      <c r="E18" s="70"/>
      <c r="F18" s="70"/>
      <c r="G18" s="70"/>
      <c r="H18" s="70"/>
      <c r="K18" s="70"/>
      <c r="L18" s="70"/>
      <c r="M18" s="70"/>
      <c r="N18" s="70"/>
      <c r="O18" s="70"/>
      <c r="P18" s="70"/>
      <c r="Q18" s="70"/>
      <c r="R18" s="70"/>
    </row>
    <row r="19" spans="2:18" x14ac:dyDescent="0.3">
      <c r="B19" s="70"/>
      <c r="C19" s="70"/>
      <c r="D19" s="70"/>
      <c r="E19" s="70"/>
      <c r="F19" s="70"/>
      <c r="G19" s="70"/>
      <c r="H19" s="70"/>
      <c r="K19" s="70"/>
      <c r="L19" s="70"/>
      <c r="M19" s="70"/>
      <c r="N19" s="70"/>
      <c r="O19" s="70"/>
      <c r="P19" s="70"/>
      <c r="Q19" s="70"/>
      <c r="R19" s="70"/>
    </row>
    <row r="20" spans="2:18" x14ac:dyDescent="0.3">
      <c r="B20" s="70"/>
      <c r="C20" s="70"/>
      <c r="D20" s="70"/>
      <c r="E20" s="70"/>
      <c r="F20" s="70"/>
      <c r="G20" s="70"/>
      <c r="H20" s="70"/>
      <c r="K20" s="70"/>
      <c r="L20" s="70"/>
      <c r="M20" s="70"/>
      <c r="N20" s="70"/>
      <c r="O20" s="70"/>
      <c r="P20" s="70"/>
      <c r="Q20" s="70"/>
      <c r="R20" s="70"/>
    </row>
    <row r="21" spans="2:18" x14ac:dyDescent="0.3">
      <c r="B21" s="70"/>
      <c r="C21" s="70"/>
      <c r="D21" s="70"/>
      <c r="E21" s="70"/>
      <c r="F21" s="70"/>
      <c r="G21" s="70"/>
      <c r="H21" s="70"/>
      <c r="K21" s="70"/>
      <c r="L21" s="70"/>
      <c r="M21" s="70"/>
      <c r="N21" s="70"/>
      <c r="O21" s="70"/>
      <c r="P21" s="70"/>
      <c r="Q21" s="70"/>
      <c r="R21" s="70"/>
    </row>
    <row r="22" spans="2:18" x14ac:dyDescent="0.3">
      <c r="B22" s="70"/>
      <c r="C22" s="70"/>
      <c r="D22" s="70"/>
      <c r="E22" s="70"/>
      <c r="F22" s="70"/>
      <c r="G22" s="70"/>
      <c r="H22" s="70"/>
      <c r="K22" s="70"/>
      <c r="L22" s="70"/>
      <c r="M22" s="70"/>
      <c r="N22" s="70"/>
      <c r="O22" s="70"/>
      <c r="P22" s="70"/>
      <c r="Q22" s="70"/>
      <c r="R22" s="70"/>
    </row>
    <row r="23" spans="2:18" x14ac:dyDescent="0.3">
      <c r="B23" s="70"/>
      <c r="C23" s="70"/>
      <c r="D23" s="70"/>
      <c r="E23" s="70"/>
      <c r="F23" s="70"/>
      <c r="G23" s="70"/>
      <c r="H23" s="70"/>
      <c r="K23" s="70"/>
      <c r="L23" s="70"/>
      <c r="M23" s="70"/>
      <c r="N23" s="70"/>
      <c r="O23" s="70"/>
      <c r="P23" s="70"/>
      <c r="Q23" s="70"/>
      <c r="R23" s="70"/>
    </row>
    <row r="24" spans="2:18" x14ac:dyDescent="0.3">
      <c r="B24" s="70"/>
      <c r="C24" s="70"/>
      <c r="D24" s="70"/>
      <c r="E24" s="70"/>
      <c r="F24" s="70"/>
      <c r="G24" s="70"/>
      <c r="H24" s="70"/>
      <c r="K24" s="70"/>
      <c r="L24" s="70"/>
      <c r="M24" s="70"/>
      <c r="N24" s="70"/>
      <c r="O24" s="70"/>
      <c r="P24" s="70"/>
      <c r="Q24" s="70"/>
      <c r="R24" s="70"/>
    </row>
    <row r="25" spans="2:18" x14ac:dyDescent="0.3">
      <c r="B25" s="70"/>
      <c r="C25" s="70"/>
      <c r="D25" s="70"/>
      <c r="E25" s="70"/>
      <c r="F25" s="70"/>
      <c r="G25" s="70"/>
      <c r="H25" s="73"/>
      <c r="J25" s="73"/>
      <c r="K25" s="82"/>
      <c r="L25" s="82"/>
      <c r="M25" s="82"/>
      <c r="N25" s="82"/>
      <c r="O25" s="82"/>
      <c r="P25" s="82"/>
      <c r="Q25" s="82"/>
      <c r="R25" s="85"/>
    </row>
    <row r="26" spans="2:18" x14ac:dyDescent="0.3">
      <c r="B26" s="70"/>
      <c r="C26" s="70"/>
      <c r="D26" s="70"/>
      <c r="E26" s="70"/>
      <c r="F26" s="70"/>
      <c r="G26" s="70"/>
      <c r="H26" s="73"/>
      <c r="J26" s="73"/>
      <c r="K26" s="129" t="s">
        <v>2621</v>
      </c>
      <c r="L26" s="129"/>
      <c r="M26" s="129"/>
      <c r="N26" s="129"/>
      <c r="O26" s="129"/>
      <c r="P26" s="129"/>
      <c r="Q26" s="73"/>
    </row>
    <row r="27" spans="2:18" ht="16.5" customHeight="1" x14ac:dyDescent="0.3">
      <c r="B27" s="70"/>
      <c r="C27" s="70"/>
      <c r="D27" s="70"/>
      <c r="E27" s="70"/>
      <c r="F27" s="70"/>
      <c r="G27" s="70"/>
      <c r="H27" s="73"/>
      <c r="J27" s="87"/>
      <c r="K27" s="87"/>
      <c r="L27" s="128" t="s">
        <v>2565</v>
      </c>
      <c r="M27" s="128"/>
      <c r="N27" s="128"/>
      <c r="O27" s="128"/>
      <c r="P27" s="128"/>
      <c r="Q27" s="88"/>
      <c r="R27" s="86"/>
    </row>
    <row r="28" spans="2:18" x14ac:dyDescent="0.3">
      <c r="B28" s="70"/>
      <c r="C28" s="70"/>
      <c r="D28" s="70"/>
      <c r="E28" s="70"/>
      <c r="F28" s="70"/>
      <c r="G28" s="70"/>
      <c r="H28" s="74" t="s">
        <v>2620</v>
      </c>
      <c r="I28" s="77"/>
      <c r="J28" s="87"/>
      <c r="K28" s="87"/>
      <c r="L28" s="84">
        <f>Model!G114</f>
        <v>7.0000000000000007E-2</v>
      </c>
      <c r="M28" s="84">
        <f>Model!H114</f>
        <v>0.06</v>
      </c>
      <c r="N28" s="84">
        <f>Model!I114</f>
        <v>0.05</v>
      </c>
      <c r="O28" s="84">
        <f>Model!J114</f>
        <v>0.04</v>
      </c>
      <c r="P28" s="84">
        <f>Model!K114</f>
        <v>0.03</v>
      </c>
      <c r="Q28" s="84"/>
      <c r="R28" s="86"/>
    </row>
    <row r="29" spans="2:18" x14ac:dyDescent="0.3">
      <c r="H29" s="75">
        <f>Model!J41</f>
        <v>-6.9881803379404195E-2</v>
      </c>
      <c r="I29" s="78"/>
      <c r="J29" s="134" t="s">
        <v>2557</v>
      </c>
      <c r="K29" s="83">
        <f>Model!F115</f>
        <v>0.18</v>
      </c>
      <c r="L29" s="89">
        <f>Model!G115</f>
        <v>1.7999999999999964E-2</v>
      </c>
      <c r="M29" s="89">
        <f>Model!H115</f>
        <v>2.7999999999999962E-2</v>
      </c>
      <c r="N29" s="89">
        <f>Model!I115</f>
        <v>3.7999999999999964E-2</v>
      </c>
      <c r="O29" s="89">
        <f>Model!J115</f>
        <v>4.7999999999999966E-2</v>
      </c>
      <c r="P29" s="89">
        <f>Model!K115</f>
        <v>5.7999999999999968E-2</v>
      </c>
      <c r="Q29" s="90"/>
      <c r="R29" s="86"/>
    </row>
    <row r="30" spans="2:18" x14ac:dyDescent="0.3">
      <c r="H30" s="74" t="s">
        <v>1370</v>
      </c>
      <c r="I30" s="77"/>
      <c r="J30" s="134"/>
      <c r="K30" s="83">
        <f>Model!F116</f>
        <v>0.19</v>
      </c>
      <c r="L30" s="89">
        <f>Model!G116</f>
        <v>2.7999999999999983E-2</v>
      </c>
      <c r="M30" s="89">
        <f>Model!H116</f>
        <v>3.7999999999999985E-2</v>
      </c>
      <c r="N30" s="89">
        <f>Model!I116</f>
        <v>4.7999999999999987E-2</v>
      </c>
      <c r="O30" s="89">
        <f>Model!J116</f>
        <v>5.7999999999999982E-2</v>
      </c>
      <c r="P30" s="89">
        <f>Model!K116</f>
        <v>6.7999999999999991E-2</v>
      </c>
      <c r="Q30" s="90"/>
      <c r="R30" s="86"/>
    </row>
    <row r="31" spans="2:18" x14ac:dyDescent="0.3">
      <c r="H31" s="75">
        <f>Model!J43</f>
        <v>-0.10736469165538165</v>
      </c>
      <c r="I31" s="78"/>
      <c r="J31" s="134"/>
      <c r="K31" s="83">
        <f>Model!F117</f>
        <v>0.2</v>
      </c>
      <c r="L31" s="89">
        <f>Model!G117</f>
        <v>3.8000000000000006E-2</v>
      </c>
      <c r="M31" s="89">
        <f>Model!H117</f>
        <v>4.8000000000000001E-2</v>
      </c>
      <c r="N31" s="89">
        <f>Model!I117</f>
        <v>5.8000000000000003E-2</v>
      </c>
      <c r="O31" s="89">
        <f>Model!J117</f>
        <v>6.8000000000000005E-2</v>
      </c>
      <c r="P31" s="89">
        <f>Model!K117</f>
        <v>7.8E-2</v>
      </c>
      <c r="Q31" s="90"/>
      <c r="R31" s="86"/>
    </row>
    <row r="32" spans="2:18" x14ac:dyDescent="0.3">
      <c r="H32" s="73"/>
      <c r="J32" s="134"/>
      <c r="K32" s="83">
        <f>Model!F118</f>
        <v>0.21</v>
      </c>
      <c r="L32" s="89">
        <f>Model!G118</f>
        <v>4.7999999999999987E-2</v>
      </c>
      <c r="M32" s="89">
        <f>Model!H118</f>
        <v>5.7999999999999982E-2</v>
      </c>
      <c r="N32" s="89">
        <f>Model!I118</f>
        <v>6.7999999999999991E-2</v>
      </c>
      <c r="O32" s="89">
        <f>Model!J118</f>
        <v>7.7999999999999986E-2</v>
      </c>
      <c r="P32" s="89">
        <f>Model!K118</f>
        <v>8.8000000000000009E-2</v>
      </c>
      <c r="Q32" s="90"/>
      <c r="R32" s="86"/>
    </row>
    <row r="33" spans="2:17" x14ac:dyDescent="0.3">
      <c r="H33" s="73"/>
      <c r="J33" s="134"/>
      <c r="K33" s="83">
        <f>Model!F119</f>
        <v>0.22</v>
      </c>
      <c r="L33" s="89">
        <f>Model!G119</f>
        <v>5.8000000000000003E-2</v>
      </c>
      <c r="M33" s="89">
        <f>Model!H119</f>
        <v>6.8000000000000005E-2</v>
      </c>
      <c r="N33" s="89">
        <f>Model!I119</f>
        <v>7.8E-2</v>
      </c>
      <c r="O33" s="89">
        <f>Model!J119</f>
        <v>8.8000000000000009E-2</v>
      </c>
      <c r="P33" s="89">
        <f>Model!K119</f>
        <v>9.8000000000000032E-2</v>
      </c>
      <c r="Q33" s="90"/>
    </row>
    <row r="34" spans="2:17" x14ac:dyDescent="0.3">
      <c r="H34" s="73"/>
      <c r="J34" s="73"/>
      <c r="K34" s="73"/>
      <c r="L34" s="73"/>
      <c r="M34" s="73"/>
      <c r="N34" s="73"/>
      <c r="O34" s="73"/>
      <c r="P34" s="73"/>
      <c r="Q34" s="73"/>
    </row>
    <row r="36" spans="2:17" x14ac:dyDescent="0.3">
      <c r="B36" s="91" t="s">
        <v>2622</v>
      </c>
    </row>
    <row r="37" spans="2:17" s="92" customFormat="1" x14ac:dyDescent="0.3">
      <c r="B37" s="92" t="s">
        <v>2623</v>
      </c>
      <c r="I37" s="93"/>
      <c r="J37" s="93"/>
    </row>
    <row r="38" spans="2:17" s="92" customFormat="1" x14ac:dyDescent="0.3">
      <c r="B38" s="92" t="s">
        <v>2624</v>
      </c>
      <c r="G38" s="127" t="s">
        <v>2627</v>
      </c>
      <c r="H38" s="127"/>
      <c r="I38" s="127"/>
      <c r="J38" s="127"/>
      <c r="K38" s="127"/>
      <c r="L38" s="127"/>
      <c r="M38" s="127"/>
      <c r="N38" s="127"/>
      <c r="O38" s="127"/>
      <c r="P38" s="127"/>
      <c r="Q38" s="127"/>
    </row>
    <row r="39" spans="2:17" s="92" customFormat="1" x14ac:dyDescent="0.3">
      <c r="B39" s="92" t="s">
        <v>2625</v>
      </c>
      <c r="G39" s="127"/>
      <c r="H39" s="127"/>
      <c r="I39" s="127"/>
      <c r="J39" s="127"/>
      <c r="K39" s="127"/>
      <c r="L39" s="127"/>
      <c r="M39" s="127"/>
      <c r="N39" s="127"/>
      <c r="O39" s="127"/>
      <c r="P39" s="127"/>
      <c r="Q39" s="127"/>
    </row>
    <row r="40" spans="2:17" x14ac:dyDescent="0.3">
      <c r="B40" s="19" t="s">
        <v>2626</v>
      </c>
      <c r="G40" s="127"/>
      <c r="H40" s="127"/>
      <c r="I40" s="127"/>
      <c r="J40" s="127"/>
      <c r="K40" s="127"/>
      <c r="L40" s="127"/>
      <c r="M40" s="127"/>
      <c r="N40" s="127"/>
      <c r="O40" s="127"/>
      <c r="P40" s="127"/>
      <c r="Q40" s="127"/>
    </row>
  </sheetData>
  <mergeCells count="13">
    <mergeCell ref="B7:E7"/>
    <mergeCell ref="B11:E11"/>
    <mergeCell ref="B8:E10"/>
    <mergeCell ref="G38:Q40"/>
    <mergeCell ref="L27:P27"/>
    <mergeCell ref="K26:P26"/>
    <mergeCell ref="M7:Q7"/>
    <mergeCell ref="M11:Q11"/>
    <mergeCell ref="G7:K7"/>
    <mergeCell ref="G8:K10"/>
    <mergeCell ref="G11:K11"/>
    <mergeCell ref="M8:Q10"/>
    <mergeCell ref="J29:J33"/>
  </mergeCells>
  <conditionalFormatting sqref="L29:P33">
    <cfRule type="cellIs" dxfId="1" priority="1" operator="greaterThan">
      <formula>0.07</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Drop Down 3">
              <controlPr defaultSize="0" autoLine="0" autoPict="0">
                <anchor moveWithCells="1">
                  <from>
                    <xdr:col>15</xdr:col>
                    <xdr:colOff>0</xdr:colOff>
                    <xdr:row>3</xdr:row>
                    <xdr:rowOff>0</xdr:rowOff>
                  </from>
                  <to>
                    <xdr:col>16</xdr:col>
                    <xdr:colOff>0</xdr:colOff>
                    <xdr:row>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E0D1-B1D4-4FEC-8608-D42C52EBCEA9}">
  <sheetPr>
    <tabColor theme="1"/>
  </sheetPr>
  <dimension ref="A1:K141"/>
  <sheetViews>
    <sheetView showGridLines="0" zoomScale="90" zoomScaleNormal="90" workbookViewId="0">
      <pane ySplit="1" topLeftCell="A2" activePane="bottomLeft" state="frozen"/>
      <selection pane="bottomLeft"/>
    </sheetView>
  </sheetViews>
  <sheetFormatPr defaultRowHeight="15" outlineLevelRow="1" x14ac:dyDescent="0.3"/>
  <cols>
    <col min="1" max="1" width="12.140625" style="12" customWidth="1"/>
    <col min="2" max="2" width="19.7109375" style="12" customWidth="1"/>
    <col min="3" max="3" width="14.140625" style="12" customWidth="1"/>
    <col min="4" max="4" width="6.7109375" style="12" customWidth="1"/>
    <col min="5" max="5" width="4.7109375" style="12" customWidth="1"/>
    <col min="6" max="12" width="16.28515625" style="12" customWidth="1"/>
    <col min="13" max="16384" width="9.140625" style="12"/>
  </cols>
  <sheetData>
    <row r="1" spans="1:11" ht="60.75" customHeight="1" x14ac:dyDescent="0.3">
      <c r="B1" s="11"/>
      <c r="C1" s="11"/>
      <c r="D1" s="11"/>
      <c r="E1" s="11"/>
      <c r="F1" s="11"/>
      <c r="G1" s="11"/>
      <c r="H1" s="11"/>
      <c r="I1" s="11"/>
      <c r="J1" s="11"/>
      <c r="K1" s="63" t="s">
        <v>2641</v>
      </c>
    </row>
    <row r="3" spans="1:11" ht="22.5" x14ac:dyDescent="0.4">
      <c r="A3" s="12" t="s">
        <v>2450</v>
      </c>
      <c r="B3" s="24" t="s">
        <v>2580</v>
      </c>
      <c r="C3" s="24"/>
      <c r="D3" s="24"/>
      <c r="E3" s="24"/>
      <c r="F3" s="11"/>
      <c r="G3" s="11"/>
      <c r="H3" s="29"/>
      <c r="I3" s="11"/>
      <c r="J3" s="11"/>
      <c r="K3" s="11"/>
    </row>
    <row r="4" spans="1:11" ht="15.75" customHeight="1" outlineLevel="1" thickBot="1" x14ac:dyDescent="0.45">
      <c r="B4" s="47"/>
      <c r="C4" s="47"/>
      <c r="D4" s="47"/>
      <c r="E4" s="47"/>
      <c r="H4" s="30"/>
    </row>
    <row r="5" spans="1:11" ht="15.75" customHeight="1" outlineLevel="1" x14ac:dyDescent="0.3">
      <c r="B5" s="136" t="s">
        <v>2611</v>
      </c>
      <c r="C5" s="137"/>
      <c r="D5" s="137"/>
      <c r="E5" s="137"/>
      <c r="F5" s="137"/>
      <c r="G5" s="137"/>
      <c r="H5" s="137"/>
      <c r="I5" s="137"/>
      <c r="J5" s="137"/>
      <c r="K5" s="138"/>
    </row>
    <row r="6" spans="1:11" ht="81.75" customHeight="1" outlineLevel="1" thickBot="1" x14ac:dyDescent="0.35">
      <c r="B6" s="139"/>
      <c r="C6" s="140"/>
      <c r="D6" s="140"/>
      <c r="E6" s="140"/>
      <c r="F6" s="140"/>
      <c r="G6" s="140"/>
      <c r="H6" s="140"/>
      <c r="I6" s="140"/>
      <c r="J6" s="140"/>
      <c r="K6" s="141"/>
    </row>
    <row r="7" spans="1:11" ht="15.75" customHeight="1" outlineLevel="1" x14ac:dyDescent="0.4">
      <c r="B7" s="47"/>
      <c r="C7" s="47"/>
      <c r="D7" s="47"/>
      <c r="E7" s="47"/>
      <c r="H7" s="30"/>
    </row>
    <row r="8" spans="1:11" ht="15.75" customHeight="1" outlineLevel="1" x14ac:dyDescent="0.3">
      <c r="B8" s="23" t="s">
        <v>2581</v>
      </c>
      <c r="C8" s="23"/>
      <c r="D8" s="23"/>
      <c r="E8" s="23"/>
      <c r="H8" s="30"/>
    </row>
    <row r="9" spans="1:11" outlineLevel="1" x14ac:dyDescent="0.3"/>
    <row r="10" spans="1:11" outlineLevel="1" x14ac:dyDescent="0.3">
      <c r="B10" s="31" t="s">
        <v>2501</v>
      </c>
      <c r="C10" s="31"/>
      <c r="D10" s="31"/>
      <c r="E10" s="31"/>
      <c r="F10" s="27">
        <v>2021</v>
      </c>
      <c r="G10" s="27">
        <v>2022</v>
      </c>
      <c r="H10" s="27">
        <v>2023</v>
      </c>
      <c r="I10" s="27">
        <v>2024</v>
      </c>
      <c r="J10" s="27">
        <v>2025</v>
      </c>
    </row>
    <row r="11" spans="1:11" outlineLevel="1" x14ac:dyDescent="0.3">
      <c r="B11" s="12" t="s">
        <v>1370</v>
      </c>
      <c r="F11" s="2">
        <f>'Financial Data'!D127</f>
        <v>282045</v>
      </c>
      <c r="G11" s="2">
        <f>'Financial Data'!E127</f>
        <v>330145</v>
      </c>
      <c r="H11" s="2">
        <f>'Financial Data'!F127</f>
        <v>399343</v>
      </c>
      <c r="I11" s="2">
        <f>'Financial Data'!G127</f>
        <v>400234</v>
      </c>
      <c r="J11" s="2">
        <f>'Financial Data'!H127</f>
        <v>357263</v>
      </c>
    </row>
    <row r="12" spans="1:11" outlineLevel="1" x14ac:dyDescent="0.3">
      <c r="B12" s="12" t="s">
        <v>2558</v>
      </c>
      <c r="F12" s="46">
        <f>'Financial Data'!D138/100</f>
        <v>0.21600000000000003</v>
      </c>
      <c r="G12" s="46">
        <f>'Financial Data'!E138/100</f>
        <v>0.183</v>
      </c>
      <c r="H12" s="46">
        <f>'Financial Data'!F138/100</f>
        <v>0.19399999999999998</v>
      </c>
      <c r="I12" s="46">
        <f>'Financial Data'!G138/100</f>
        <v>0.19800000000000001</v>
      </c>
      <c r="J12" s="46">
        <f>'Financial Data'!H138/100</f>
        <v>0.16899999999999998</v>
      </c>
    </row>
    <row r="13" spans="1:11" outlineLevel="1" x14ac:dyDescent="0.3">
      <c r="B13" s="12" t="s">
        <v>2559</v>
      </c>
      <c r="F13" s="46">
        <f>'Financial Data'!D139/100</f>
        <v>7.2000000000000008E-2</v>
      </c>
      <c r="G13" s="46">
        <f>'Financial Data'!E139/100</f>
        <v>6.8000000000000005E-2</v>
      </c>
      <c r="H13" s="46">
        <f>'Financial Data'!F139/100</f>
        <v>0.05</v>
      </c>
      <c r="I13" s="46">
        <f>'Financial Data'!G139/100</f>
        <v>5.5999999999999994E-2</v>
      </c>
      <c r="J13" s="46">
        <f>'Financial Data'!H139/100</f>
        <v>1E-3</v>
      </c>
    </row>
    <row r="14" spans="1:11" outlineLevel="1" x14ac:dyDescent="0.3">
      <c r="B14" s="12" t="s">
        <v>2617</v>
      </c>
      <c r="F14" s="46"/>
      <c r="G14" s="46">
        <f>G13-F13</f>
        <v>-4.0000000000000036E-3</v>
      </c>
      <c r="H14" s="46">
        <f>H13-G13</f>
        <v>-1.8000000000000002E-2</v>
      </c>
      <c r="I14" s="46">
        <f>I13-H13</f>
        <v>5.9999999999999915E-3</v>
      </c>
      <c r="J14" s="46">
        <f>J13-I13</f>
        <v>-5.4999999999999993E-2</v>
      </c>
    </row>
    <row r="15" spans="1:11" outlineLevel="1" x14ac:dyDescent="0.3"/>
    <row r="16" spans="1:11" outlineLevel="1" x14ac:dyDescent="0.3">
      <c r="B16" s="12" t="s">
        <v>2560</v>
      </c>
    </row>
    <row r="17" spans="2:10" outlineLevel="1" x14ac:dyDescent="0.3">
      <c r="B17" s="12" t="s">
        <v>2561</v>
      </c>
    </row>
    <row r="18" spans="2:10" outlineLevel="1" x14ac:dyDescent="0.3">
      <c r="B18" s="12" t="s">
        <v>2562</v>
      </c>
    </row>
    <row r="19" spans="2:10" outlineLevel="1" x14ac:dyDescent="0.3">
      <c r="B19" s="12" t="s">
        <v>2563</v>
      </c>
    </row>
    <row r="20" spans="2:10" outlineLevel="1" x14ac:dyDescent="0.3">
      <c r="B20" s="12" t="s">
        <v>2564</v>
      </c>
    </row>
    <row r="21" spans="2:10" ht="15.75" outlineLevel="1" x14ac:dyDescent="0.3">
      <c r="B21" s="12" t="s">
        <v>2607</v>
      </c>
    </row>
    <row r="22" spans="2:10" outlineLevel="1" x14ac:dyDescent="0.3"/>
    <row r="23" spans="2:10" outlineLevel="1" x14ac:dyDescent="0.3"/>
    <row r="24" spans="2:10" outlineLevel="1" x14ac:dyDescent="0.3">
      <c r="B24" s="23" t="s">
        <v>2582</v>
      </c>
      <c r="C24" s="23"/>
      <c r="D24" s="23"/>
      <c r="E24" s="23"/>
    </row>
    <row r="25" spans="2:10" outlineLevel="1" x14ac:dyDescent="0.3"/>
    <row r="26" spans="2:10" outlineLevel="1" x14ac:dyDescent="0.3">
      <c r="B26" s="31" t="s">
        <v>2501</v>
      </c>
      <c r="C26" s="31"/>
      <c r="D26" s="31"/>
      <c r="E26" s="31"/>
      <c r="F26" s="27">
        <v>2021</v>
      </c>
      <c r="G26" s="27">
        <v>2022</v>
      </c>
      <c r="H26" s="27">
        <v>2023</v>
      </c>
      <c r="I26" s="27">
        <v>2024</v>
      </c>
      <c r="J26" s="27">
        <v>2025</v>
      </c>
    </row>
    <row r="27" spans="2:10" outlineLevel="1" x14ac:dyDescent="0.3">
      <c r="B27" s="12" t="s">
        <v>2565</v>
      </c>
      <c r="F27" s="2">
        <f>'Financial Data'!D128</f>
        <v>-12714</v>
      </c>
      <c r="G27" s="2">
        <f>'Financial Data'!E128</f>
        <v>-11514</v>
      </c>
      <c r="H27" s="2">
        <f>'Financial Data'!F128</f>
        <v>-12884</v>
      </c>
      <c r="I27" s="2">
        <f>'Financial Data'!G128</f>
        <v>-16983</v>
      </c>
      <c r="J27" s="2">
        <f>'Financial Data'!H128</f>
        <v>-26067</v>
      </c>
    </row>
    <row r="28" spans="2:10" outlineLevel="1" x14ac:dyDescent="0.3">
      <c r="B28" s="12" t="s">
        <v>2522</v>
      </c>
      <c r="F28" s="46">
        <f>-F27/F11</f>
        <v>4.507791309897357E-2</v>
      </c>
      <c r="G28" s="46">
        <f>-G27/G11</f>
        <v>3.4875584970240348E-2</v>
      </c>
      <c r="H28" s="46">
        <f>-H27/H11</f>
        <v>3.2262991964301366E-2</v>
      </c>
      <c r="I28" s="46">
        <f>-I27/I11</f>
        <v>4.2432676884022844E-2</v>
      </c>
      <c r="J28" s="46">
        <f>-J27/J11</f>
        <v>7.2963055228221232E-2</v>
      </c>
    </row>
    <row r="29" spans="2:10" outlineLevel="1" x14ac:dyDescent="0.3"/>
    <row r="30" spans="2:10" outlineLevel="1" x14ac:dyDescent="0.3">
      <c r="B30" s="12" t="s">
        <v>2566</v>
      </c>
    </row>
    <row r="31" spans="2:10" outlineLevel="1" x14ac:dyDescent="0.3">
      <c r="B31" s="12" t="s">
        <v>2567</v>
      </c>
    </row>
    <row r="32" spans="2:10" outlineLevel="1" x14ac:dyDescent="0.3">
      <c r="B32" s="12" t="s">
        <v>2568</v>
      </c>
    </row>
    <row r="33" spans="2:10" outlineLevel="1" x14ac:dyDescent="0.3">
      <c r="B33" s="12" t="s">
        <v>2569</v>
      </c>
    </row>
    <row r="34" spans="2:10" outlineLevel="1" x14ac:dyDescent="0.3">
      <c r="B34" s="12" t="s">
        <v>2570</v>
      </c>
    </row>
    <row r="35" spans="2:10" outlineLevel="1" x14ac:dyDescent="0.3">
      <c r="B35" s="12" t="s">
        <v>2571</v>
      </c>
    </row>
    <row r="36" spans="2:10" outlineLevel="1" x14ac:dyDescent="0.3"/>
    <row r="37" spans="2:10" outlineLevel="1" x14ac:dyDescent="0.3">
      <c r="B37" s="23" t="s">
        <v>2583</v>
      </c>
      <c r="C37" s="23"/>
      <c r="D37" s="23"/>
      <c r="E37" s="23"/>
    </row>
    <row r="38" spans="2:10" outlineLevel="1" x14ac:dyDescent="0.3"/>
    <row r="39" spans="2:10" outlineLevel="1" x14ac:dyDescent="0.3">
      <c r="B39" s="31" t="s">
        <v>2501</v>
      </c>
      <c r="C39" s="31"/>
      <c r="D39" s="31"/>
      <c r="E39" s="31"/>
      <c r="F39" s="27">
        <v>2021</v>
      </c>
      <c r="G39" s="27">
        <v>2022</v>
      </c>
      <c r="H39" s="27">
        <v>2023</v>
      </c>
      <c r="I39" s="27">
        <v>2024</v>
      </c>
      <c r="J39" s="27">
        <v>2025</v>
      </c>
    </row>
    <row r="40" spans="2:10" outlineLevel="1" x14ac:dyDescent="0.3">
      <c r="B40" s="12" t="s">
        <v>2572</v>
      </c>
      <c r="F40" s="2">
        <f>'Financial Data'!D126</f>
        <v>698693</v>
      </c>
      <c r="G40" s="2">
        <f>'Financial Data'!E126</f>
        <v>615121</v>
      </c>
      <c r="H40" s="2">
        <f>'Financial Data'!F126</f>
        <v>708716</v>
      </c>
      <c r="I40" s="2">
        <f>'Financial Data'!G126</f>
        <v>763389</v>
      </c>
      <c r="J40" s="2">
        <f>'Financial Data'!H126</f>
        <v>710042</v>
      </c>
    </row>
    <row r="41" spans="2:10" outlineLevel="1" x14ac:dyDescent="0.3">
      <c r="B41" s="12" t="s">
        <v>2573</v>
      </c>
      <c r="F41" s="45"/>
      <c r="G41" s="46">
        <f>G40/F40-1</f>
        <v>-0.11961190394064347</v>
      </c>
      <c r="H41" s="46">
        <f>H40/G40-1</f>
        <v>0.15215705527855494</v>
      </c>
      <c r="I41" s="46">
        <f>I40/H40-1</f>
        <v>7.7143735995800933E-2</v>
      </c>
      <c r="J41" s="46">
        <f>J40/I40-1</f>
        <v>-6.9881803379404195E-2</v>
      </c>
    </row>
    <row r="42" spans="2:10" outlineLevel="1" x14ac:dyDescent="0.3">
      <c r="B42" s="12" t="s">
        <v>1370</v>
      </c>
      <c r="F42" s="14">
        <f>F11</f>
        <v>282045</v>
      </c>
      <c r="G42" s="14">
        <f>G11</f>
        <v>330145</v>
      </c>
      <c r="H42" s="14">
        <f>H11</f>
        <v>399343</v>
      </c>
      <c r="I42" s="14">
        <f>I11</f>
        <v>400234</v>
      </c>
      <c r="J42" s="14">
        <f>J11</f>
        <v>357263</v>
      </c>
    </row>
    <row r="43" spans="2:10" outlineLevel="1" x14ac:dyDescent="0.3">
      <c r="B43" s="12" t="s">
        <v>2574</v>
      </c>
      <c r="G43" s="46">
        <f>G42/F42-1</f>
        <v>0.17054016203088151</v>
      </c>
      <c r="H43" s="46">
        <f>H42/G42-1</f>
        <v>0.20959881264292957</v>
      </c>
      <c r="I43" s="46">
        <f>I42/H42-1</f>
        <v>2.231164687999998E-3</v>
      </c>
      <c r="J43" s="46">
        <f>J42/I42-1</f>
        <v>-0.10736469165538165</v>
      </c>
    </row>
    <row r="44" spans="2:10" outlineLevel="1" x14ac:dyDescent="0.3"/>
    <row r="45" spans="2:10" outlineLevel="1" x14ac:dyDescent="0.3">
      <c r="B45" s="12" t="s">
        <v>2575</v>
      </c>
    </row>
    <row r="46" spans="2:10" outlineLevel="1" x14ac:dyDescent="0.3">
      <c r="B46" s="12" t="s">
        <v>2576</v>
      </c>
    </row>
    <row r="47" spans="2:10" outlineLevel="1" x14ac:dyDescent="0.3">
      <c r="B47" s="12" t="s">
        <v>2577</v>
      </c>
    </row>
    <row r="48" spans="2:10" outlineLevel="1" x14ac:dyDescent="0.3">
      <c r="B48" s="12" t="s">
        <v>2578</v>
      </c>
    </row>
    <row r="49" spans="2:10" outlineLevel="1" x14ac:dyDescent="0.3">
      <c r="B49" s="12" t="s">
        <v>2579</v>
      </c>
    </row>
    <row r="50" spans="2:10" outlineLevel="1" x14ac:dyDescent="0.3"/>
    <row r="51" spans="2:10" outlineLevel="1" x14ac:dyDescent="0.3">
      <c r="B51" s="23" t="s">
        <v>2584</v>
      </c>
      <c r="C51" s="23"/>
      <c r="D51" s="23"/>
      <c r="E51" s="23"/>
    </row>
    <row r="52" spans="2:10" outlineLevel="1" x14ac:dyDescent="0.3"/>
    <row r="53" spans="2:10" outlineLevel="1" x14ac:dyDescent="0.3">
      <c r="B53" s="31" t="s">
        <v>2501</v>
      </c>
      <c r="C53" s="31"/>
      <c r="D53" s="31"/>
      <c r="E53" s="31"/>
      <c r="F53" s="27">
        <v>2021</v>
      </c>
      <c r="G53" s="27">
        <v>2022</v>
      </c>
      <c r="H53" s="27">
        <v>2023</v>
      </c>
      <c r="I53" s="27">
        <v>2024</v>
      </c>
      <c r="J53" s="27">
        <v>2025</v>
      </c>
    </row>
    <row r="54" spans="2:10" outlineLevel="1" x14ac:dyDescent="0.3">
      <c r="B54" s="12" t="s">
        <v>2585</v>
      </c>
      <c r="F54" s="14">
        <f>'Financial Data'!D135</f>
        <v>29852</v>
      </c>
      <c r="G54" s="14">
        <f>'Financial Data'!E135</f>
        <v>33599</v>
      </c>
      <c r="H54" s="14">
        <f>'Financial Data'!F135</f>
        <v>42867</v>
      </c>
      <c r="I54" s="14">
        <f>'Financial Data'!G135</f>
        <v>47372</v>
      </c>
      <c r="J54" s="14">
        <f>'Financial Data'!H135</f>
        <v>34625</v>
      </c>
    </row>
    <row r="55" spans="2:10" outlineLevel="1" x14ac:dyDescent="0.3"/>
    <row r="56" spans="2:10" outlineLevel="1" x14ac:dyDescent="0.3">
      <c r="B56" s="12" t="s">
        <v>2586</v>
      </c>
    </row>
    <row r="57" spans="2:10" outlineLevel="1" x14ac:dyDescent="0.3"/>
    <row r="58" spans="2:10" outlineLevel="1" x14ac:dyDescent="0.3">
      <c r="B58" s="23" t="s">
        <v>2587</v>
      </c>
      <c r="C58" s="23"/>
      <c r="D58" s="23"/>
      <c r="E58" s="23"/>
    </row>
    <row r="59" spans="2:10" outlineLevel="1" x14ac:dyDescent="0.3"/>
    <row r="60" spans="2:10" outlineLevel="1" x14ac:dyDescent="0.3">
      <c r="B60" s="31" t="s">
        <v>2501</v>
      </c>
      <c r="C60" s="31"/>
      <c r="D60" s="31"/>
      <c r="E60" s="31"/>
      <c r="F60" s="27">
        <v>2021</v>
      </c>
      <c r="G60" s="27">
        <v>2022</v>
      </c>
      <c r="H60" s="27">
        <v>2023</v>
      </c>
      <c r="I60" s="27">
        <v>2024</v>
      </c>
      <c r="J60" s="27">
        <v>2025</v>
      </c>
    </row>
    <row r="61" spans="2:10" outlineLevel="1" x14ac:dyDescent="0.3">
      <c r="B61" s="12" t="s">
        <v>2487</v>
      </c>
      <c r="F61" s="14">
        <f>'Financial Data'!D136</f>
        <v>-34737</v>
      </c>
      <c r="G61" s="14">
        <f>'Financial Data'!E136</f>
        <v>-39658</v>
      </c>
      <c r="H61" s="14">
        <f>'Financial Data'!F136</f>
        <v>-51842</v>
      </c>
      <c r="I61" s="14">
        <f>'Financial Data'!G136</f>
        <v>-46245</v>
      </c>
      <c r="J61" s="14">
        <f>'Financial Data'!H136</f>
        <v>-32176</v>
      </c>
    </row>
    <row r="62" spans="2:10" outlineLevel="1" x14ac:dyDescent="0.3"/>
    <row r="63" spans="2:10" ht="15.75" outlineLevel="1" x14ac:dyDescent="0.3">
      <c r="B63" s="12" t="s">
        <v>2608</v>
      </c>
    </row>
    <row r="64" spans="2:10" outlineLevel="1" x14ac:dyDescent="0.3">
      <c r="B64" s="12" t="s">
        <v>2588</v>
      </c>
    </row>
    <row r="65" spans="1:11" outlineLevel="1" x14ac:dyDescent="0.3">
      <c r="B65" s="12" t="s">
        <v>2589</v>
      </c>
    </row>
    <row r="66" spans="1:11" outlineLevel="1" x14ac:dyDescent="0.3">
      <c r="B66" s="12" t="s">
        <v>2590</v>
      </c>
    </row>
    <row r="67" spans="1:11" outlineLevel="1" x14ac:dyDescent="0.3">
      <c r="B67" s="12" t="s">
        <v>2591</v>
      </c>
    </row>
    <row r="68" spans="1:11" outlineLevel="1" x14ac:dyDescent="0.3"/>
    <row r="69" spans="1:11" outlineLevel="1" x14ac:dyDescent="0.3">
      <c r="B69" s="23" t="s">
        <v>2592</v>
      </c>
      <c r="C69" s="23"/>
      <c r="D69" s="23"/>
      <c r="E69" s="23"/>
    </row>
    <row r="70" spans="1:11" outlineLevel="1" x14ac:dyDescent="0.3"/>
    <row r="71" spans="1:11" outlineLevel="1" x14ac:dyDescent="0.3">
      <c r="B71" s="31" t="s">
        <v>2501</v>
      </c>
      <c r="C71" s="31"/>
      <c r="D71" s="31"/>
      <c r="E71" s="31"/>
      <c r="F71" s="27">
        <v>2021</v>
      </c>
      <c r="G71" s="27">
        <v>2022</v>
      </c>
      <c r="H71" s="27">
        <v>2023</v>
      </c>
      <c r="I71" s="27">
        <v>2024</v>
      </c>
      <c r="J71" s="27">
        <v>2025</v>
      </c>
    </row>
    <row r="72" spans="1:11" outlineLevel="1" x14ac:dyDescent="0.3">
      <c r="B72" s="12" t="s">
        <v>2593</v>
      </c>
      <c r="H72" s="50">
        <f>'Financial Data'!F156</f>
        <v>0.38</v>
      </c>
      <c r="I72" s="50">
        <f>'Financial Data'!G156</f>
        <v>0.46</v>
      </c>
      <c r="J72" s="50">
        <f>'Financial Data'!H156</f>
        <v>0.46</v>
      </c>
    </row>
    <row r="73" spans="1:11" outlineLevel="1" x14ac:dyDescent="0.3"/>
    <row r="74" spans="1:11" ht="15.75" outlineLevel="1" x14ac:dyDescent="0.3">
      <c r="B74" s="12" t="s">
        <v>2609</v>
      </c>
    </row>
    <row r="75" spans="1:11" outlineLevel="1" x14ac:dyDescent="0.3">
      <c r="B75" s="12" t="s">
        <v>2594</v>
      </c>
    </row>
    <row r="76" spans="1:11" outlineLevel="1" x14ac:dyDescent="0.3">
      <c r="B76" s="12" t="s">
        <v>2595</v>
      </c>
    </row>
    <row r="77" spans="1:11" outlineLevel="1" x14ac:dyDescent="0.3">
      <c r="B77" s="12" t="s">
        <v>2596</v>
      </c>
    </row>
    <row r="78" spans="1:11" outlineLevel="1" x14ac:dyDescent="0.3"/>
    <row r="80" spans="1:11" ht="22.5" x14ac:dyDescent="0.4">
      <c r="A80" s="12" t="s">
        <v>2450</v>
      </c>
      <c r="B80" s="24" t="s">
        <v>2606</v>
      </c>
      <c r="C80" s="24"/>
      <c r="D80" s="24"/>
      <c r="E80" s="24"/>
      <c r="F80" s="11"/>
      <c r="G80" s="11"/>
      <c r="H80" s="29"/>
      <c r="I80" s="11"/>
      <c r="J80" s="11"/>
      <c r="K80" s="11"/>
    </row>
    <row r="81" spans="2:11" outlineLevel="1" x14ac:dyDescent="0.3"/>
    <row r="82" spans="2:11" outlineLevel="1" x14ac:dyDescent="0.3">
      <c r="B82" s="23" t="s">
        <v>2604</v>
      </c>
      <c r="C82" s="48">
        <v>1</v>
      </c>
    </row>
    <row r="83" spans="2:11" outlineLevel="1" x14ac:dyDescent="0.3"/>
    <row r="84" spans="2:11" outlineLevel="1" x14ac:dyDescent="0.3">
      <c r="B84" s="23" t="s">
        <v>2517</v>
      </c>
      <c r="C84" s="23"/>
      <c r="D84" s="23"/>
      <c r="E84" s="23"/>
    </row>
    <row r="85" spans="2:11" outlineLevel="1" x14ac:dyDescent="0.3">
      <c r="C85" s="12" t="s">
        <v>2514</v>
      </c>
      <c r="F85" s="12" t="s">
        <v>2602</v>
      </c>
    </row>
    <row r="86" spans="2:11" outlineLevel="1" x14ac:dyDescent="0.3">
      <c r="C86" s="12" t="s">
        <v>2515</v>
      </c>
      <c r="F86" s="12" t="s">
        <v>2603</v>
      </c>
    </row>
    <row r="87" spans="2:11" outlineLevel="1" x14ac:dyDescent="0.3">
      <c r="C87" s="12" t="s">
        <v>2516</v>
      </c>
      <c r="F87" s="12" t="s">
        <v>2601</v>
      </c>
    </row>
    <row r="88" spans="2:11" outlineLevel="1" x14ac:dyDescent="0.3"/>
    <row r="89" spans="2:11" outlineLevel="1" x14ac:dyDescent="0.3">
      <c r="B89" s="23" t="s">
        <v>2521</v>
      </c>
      <c r="G89" s="49" t="s">
        <v>2514</v>
      </c>
      <c r="H89" s="49" t="s">
        <v>2515</v>
      </c>
      <c r="I89" s="49" t="s">
        <v>2516</v>
      </c>
    </row>
    <row r="90" spans="2:11" outlineLevel="1" x14ac:dyDescent="0.3">
      <c r="B90" s="12" t="s">
        <v>2456</v>
      </c>
      <c r="F90" s="62">
        <f>CHOOSE($C$82,G90,H90,I90)</f>
        <v>0.05</v>
      </c>
      <c r="G90" s="46">
        <v>0.05</v>
      </c>
      <c r="H90" s="46">
        <v>0.08</v>
      </c>
      <c r="I90" s="46">
        <v>0.02</v>
      </c>
      <c r="K90" s="56"/>
    </row>
    <row r="91" spans="2:11" outlineLevel="1" x14ac:dyDescent="0.3">
      <c r="B91" s="12" t="s">
        <v>2557</v>
      </c>
      <c r="F91" s="62">
        <f>CHOOSE($C$82,G91,H91,I91)</f>
        <v>0.2</v>
      </c>
      <c r="G91" s="46">
        <v>0.2</v>
      </c>
      <c r="H91" s="46">
        <v>0.22</v>
      </c>
      <c r="I91" s="46">
        <v>0.18</v>
      </c>
    </row>
    <row r="92" spans="2:11" outlineLevel="1" x14ac:dyDescent="0.3">
      <c r="B92" s="12" t="s">
        <v>2605</v>
      </c>
      <c r="F92" s="62">
        <f>CHOOSE($C$82,G92,H92,I92)</f>
        <v>5.5E-2</v>
      </c>
      <c r="G92" s="46">
        <v>5.5E-2</v>
      </c>
      <c r="H92" s="46">
        <v>4.4999999999999998E-2</v>
      </c>
      <c r="I92" s="46">
        <v>7.0000000000000007E-2</v>
      </c>
    </row>
    <row r="93" spans="2:11" outlineLevel="1" x14ac:dyDescent="0.3">
      <c r="B93" s="12" t="s">
        <v>2598</v>
      </c>
      <c r="F93" s="62">
        <f>CHOOSE($C$82,G93,H93,I93)</f>
        <v>9.1999999999999998E-2</v>
      </c>
      <c r="G93" s="46">
        <v>9.1999999999999998E-2</v>
      </c>
      <c r="H93" s="46">
        <v>8.5000000000000006E-2</v>
      </c>
      <c r="I93" s="46">
        <v>0.1</v>
      </c>
    </row>
    <row r="94" spans="2:11" outlineLevel="1" x14ac:dyDescent="0.3">
      <c r="G94" s="46"/>
      <c r="H94" s="46"/>
    </row>
    <row r="95" spans="2:11" outlineLevel="1" x14ac:dyDescent="0.3">
      <c r="B95" s="23" t="s">
        <v>2599</v>
      </c>
    </row>
    <row r="96" spans="2:11" outlineLevel="1" x14ac:dyDescent="0.3"/>
    <row r="97" spans="1:11" outlineLevel="1" x14ac:dyDescent="0.3">
      <c r="B97" s="31" t="s">
        <v>2501</v>
      </c>
      <c r="C97" s="31"/>
      <c r="D97" s="31"/>
      <c r="E97" s="31"/>
      <c r="F97" s="27">
        <v>2021</v>
      </c>
      <c r="G97" s="27">
        <v>2022</v>
      </c>
      <c r="H97" s="27">
        <v>2023</v>
      </c>
      <c r="I97" s="27">
        <v>2024</v>
      </c>
      <c r="J97" s="27">
        <v>2025</v>
      </c>
      <c r="K97" s="27">
        <v>2026</v>
      </c>
    </row>
    <row r="98" spans="1:11" outlineLevel="1" x14ac:dyDescent="0.3">
      <c r="G98" s="25"/>
    </row>
    <row r="99" spans="1:11" outlineLevel="1" x14ac:dyDescent="0.3">
      <c r="B99" s="12" t="s">
        <v>1370</v>
      </c>
      <c r="F99" s="71">
        <f>F42</f>
        <v>282045</v>
      </c>
      <c r="G99" s="71">
        <f>G42</f>
        <v>330145</v>
      </c>
      <c r="H99" s="71">
        <f>H42</f>
        <v>399343</v>
      </c>
      <c r="I99" s="71">
        <f>I42</f>
        <v>400234</v>
      </c>
      <c r="J99" s="71">
        <f>J42</f>
        <v>357263</v>
      </c>
      <c r="K99" s="71">
        <f>J99*(1+F90)</f>
        <v>375126.15</v>
      </c>
    </row>
    <row r="100" spans="1:11" outlineLevel="1" x14ac:dyDescent="0.3">
      <c r="B100" s="12" t="s">
        <v>2557</v>
      </c>
      <c r="F100" s="14">
        <f>F12*F11</f>
        <v>60921.720000000008</v>
      </c>
      <c r="G100" s="14">
        <f>G12*G11</f>
        <v>60416.534999999996</v>
      </c>
      <c r="H100" s="14">
        <f>H12*H11</f>
        <v>77472.541999999987</v>
      </c>
      <c r="I100" s="14">
        <f>I12*I11</f>
        <v>79246.332000000009</v>
      </c>
      <c r="J100" s="14">
        <f>J12*J11</f>
        <v>60377.446999999993</v>
      </c>
      <c r="K100" s="14">
        <f>K99*F91</f>
        <v>75025.23000000001</v>
      </c>
    </row>
    <row r="101" spans="1:11" outlineLevel="1" x14ac:dyDescent="0.3">
      <c r="B101" s="12" t="s">
        <v>2597</v>
      </c>
      <c r="F101" s="14">
        <f>F27</f>
        <v>-12714</v>
      </c>
      <c r="G101" s="14">
        <f>G27</f>
        <v>-11514</v>
      </c>
      <c r="H101" s="14">
        <f>H27</f>
        <v>-12884</v>
      </c>
      <c r="I101" s="14">
        <f>I27</f>
        <v>-16983</v>
      </c>
      <c r="J101" s="14">
        <f>J27</f>
        <v>-26067</v>
      </c>
      <c r="K101" s="14">
        <f>K99*-F92</f>
        <v>-20631.938250000003</v>
      </c>
    </row>
    <row r="102" spans="1:11" outlineLevel="1" x14ac:dyDescent="0.3">
      <c r="B102" s="12" t="s">
        <v>2598</v>
      </c>
      <c r="F102" s="71">
        <f>F103-F101-F100</f>
        <v>-27932.720000000008</v>
      </c>
      <c r="G102" s="71">
        <f>G103-G101-G100</f>
        <v>-26570.534999999996</v>
      </c>
      <c r="H102" s="71">
        <f>H103-H101-H100</f>
        <v>-44649.541999999987</v>
      </c>
      <c r="I102" s="71">
        <f>I103-I101-I100</f>
        <v>-39945.332000000009</v>
      </c>
      <c r="J102" s="71">
        <f>J103-J101-J100</f>
        <v>-34007.446999999993</v>
      </c>
      <c r="K102" s="71">
        <f>K99*(-F93)</f>
        <v>-34511.605800000005</v>
      </c>
    </row>
    <row r="103" spans="1:11" outlineLevel="1" x14ac:dyDescent="0.3">
      <c r="B103" s="12" t="s">
        <v>2500</v>
      </c>
      <c r="F103" s="14">
        <f>'Financial Data'!D129</f>
        <v>20275</v>
      </c>
      <c r="G103" s="14">
        <f>'Financial Data'!E129</f>
        <v>22332</v>
      </c>
      <c r="H103" s="14">
        <f>'Financial Data'!F129</f>
        <v>19939</v>
      </c>
      <c r="I103" s="14">
        <f>'Financial Data'!G129</f>
        <v>22318</v>
      </c>
      <c r="J103" s="14">
        <f>'Financial Data'!H129</f>
        <v>303</v>
      </c>
      <c r="K103" s="14">
        <f>SUM(K100:K102)</f>
        <v>19881.685949999999</v>
      </c>
    </row>
    <row r="104" spans="1:11" outlineLevel="1" x14ac:dyDescent="0.3">
      <c r="B104" s="12" t="s">
        <v>2499</v>
      </c>
      <c r="F104" s="51">
        <f t="shared" ref="F104:K104" si="0">F103/F99</f>
        <v>7.188569199950362E-2</v>
      </c>
      <c r="G104" s="51">
        <f t="shared" si="0"/>
        <v>6.7643005346135793E-2</v>
      </c>
      <c r="H104" s="51">
        <f t="shared" si="0"/>
        <v>4.9929509218892033E-2</v>
      </c>
      <c r="I104" s="51">
        <f t="shared" si="0"/>
        <v>5.5762379008280155E-2</v>
      </c>
      <c r="J104" s="51">
        <f t="shared" si="0"/>
        <v>8.4811469421686549E-4</v>
      </c>
      <c r="K104" s="51">
        <f t="shared" si="0"/>
        <v>5.2999999999999992E-2</v>
      </c>
    </row>
    <row r="105" spans="1:11" outlineLevel="1" x14ac:dyDescent="0.3"/>
    <row r="107" spans="1:11" ht="22.5" x14ac:dyDescent="0.4">
      <c r="A107" s="12" t="s">
        <v>2450</v>
      </c>
      <c r="B107" s="24" t="s">
        <v>2613</v>
      </c>
      <c r="C107" s="24"/>
      <c r="D107" s="24"/>
      <c r="E107" s="24"/>
      <c r="F107" s="11"/>
      <c r="G107" s="11"/>
      <c r="H107" s="29"/>
      <c r="I107" s="11"/>
      <c r="J107" s="11"/>
      <c r="K107" s="11"/>
    </row>
    <row r="108" spans="1:11" outlineLevel="1" x14ac:dyDescent="0.3"/>
    <row r="109" spans="1:11" ht="18" outlineLevel="1" x14ac:dyDescent="0.35">
      <c r="B109" s="64" t="s">
        <v>2612</v>
      </c>
    </row>
    <row r="110" spans="1:11" outlineLevel="1" x14ac:dyDescent="0.3">
      <c r="B110" s="57" t="str" cm="1">
        <f t="array" ref="B110">CONCATENATE("Model Running: ",INDEX(C85:C87,C82)," Scenario  ")</f>
        <v xml:space="preserve">Model Running: Base Scenario  </v>
      </c>
    </row>
    <row r="111" spans="1:11" outlineLevel="1" x14ac:dyDescent="0.3"/>
    <row r="112" spans="1:11" outlineLevel="1" x14ac:dyDescent="0.3"/>
    <row r="113" spans="2:11" s="58" customFormat="1" ht="23.25" customHeight="1" outlineLevel="1" x14ac:dyDescent="0.25">
      <c r="B113" s="58" t="s">
        <v>1370</v>
      </c>
      <c r="C113" s="2">
        <f>J99*(1+F90)</f>
        <v>375126.15</v>
      </c>
      <c r="E113" s="59"/>
      <c r="F113" s="60"/>
      <c r="G113" s="142" t="s">
        <v>2565</v>
      </c>
      <c r="H113" s="142"/>
      <c r="I113" s="142"/>
      <c r="J113" s="142"/>
      <c r="K113" s="142"/>
    </row>
    <row r="114" spans="2:11" outlineLevel="1" x14ac:dyDescent="0.3">
      <c r="C114" s="14"/>
      <c r="E114" s="59"/>
      <c r="F114" s="67">
        <f>C119</f>
        <v>5.2999999999999992E-2</v>
      </c>
      <c r="G114" s="65">
        <f>0.07</f>
        <v>7.0000000000000007E-2</v>
      </c>
      <c r="H114" s="65">
        <v>0.06</v>
      </c>
      <c r="I114" s="65">
        <v>0.05</v>
      </c>
      <c r="J114" s="65">
        <v>0.04</v>
      </c>
      <c r="K114" s="65">
        <v>0.03</v>
      </c>
    </row>
    <row r="115" spans="2:11" outlineLevel="1" x14ac:dyDescent="0.3">
      <c r="B115" s="12" t="s">
        <v>2557</v>
      </c>
      <c r="C115" s="14">
        <f>C113*F91</f>
        <v>75025.23000000001</v>
      </c>
      <c r="E115" s="143" t="s">
        <v>2557</v>
      </c>
      <c r="F115" s="65">
        <v>0.18</v>
      </c>
      <c r="G115" s="66">
        <f t="dataTable" ref="G115:K119" dt2D="1" dtr="1" r1="F92" r2="F91"/>
        <v>1.7999999999999964E-2</v>
      </c>
      <c r="H115" s="66">
        <v>2.7999999999999962E-2</v>
      </c>
      <c r="I115" s="66">
        <v>3.7999999999999964E-2</v>
      </c>
      <c r="J115" s="66">
        <v>4.7999999999999966E-2</v>
      </c>
      <c r="K115" s="66">
        <v>5.7999999999999968E-2</v>
      </c>
    </row>
    <row r="116" spans="2:11" outlineLevel="1" x14ac:dyDescent="0.3">
      <c r="B116" s="12" t="s">
        <v>2600</v>
      </c>
      <c r="C116" s="14">
        <f>F92*C113</f>
        <v>20631.938250000003</v>
      </c>
      <c r="E116" s="143"/>
      <c r="F116" s="65">
        <v>0.19</v>
      </c>
      <c r="G116" s="66">
        <v>2.7999999999999983E-2</v>
      </c>
      <c r="H116" s="66">
        <v>3.7999999999999985E-2</v>
      </c>
      <c r="I116" s="66">
        <v>4.7999999999999987E-2</v>
      </c>
      <c r="J116" s="66">
        <v>5.7999999999999982E-2</v>
      </c>
      <c r="K116" s="66">
        <v>6.7999999999999991E-2</v>
      </c>
    </row>
    <row r="117" spans="2:11" outlineLevel="1" x14ac:dyDescent="0.3">
      <c r="B117" s="12" t="s">
        <v>2598</v>
      </c>
      <c r="C117" s="14">
        <f>F93*C113</f>
        <v>34511.605800000005</v>
      </c>
      <c r="E117" s="143"/>
      <c r="F117" s="65">
        <v>0.2</v>
      </c>
      <c r="G117" s="66">
        <v>3.8000000000000006E-2</v>
      </c>
      <c r="H117" s="66">
        <v>4.8000000000000001E-2</v>
      </c>
      <c r="I117" s="66">
        <v>5.8000000000000003E-2</v>
      </c>
      <c r="J117" s="66">
        <v>6.8000000000000005E-2</v>
      </c>
      <c r="K117" s="66">
        <v>7.8E-2</v>
      </c>
    </row>
    <row r="118" spans="2:11" outlineLevel="1" x14ac:dyDescent="0.3">
      <c r="B118" s="12" t="s">
        <v>2500</v>
      </c>
      <c r="C118" s="14">
        <f>C115-C116-C117</f>
        <v>19881.685949999999</v>
      </c>
      <c r="E118" s="143"/>
      <c r="F118" s="65">
        <v>0.21</v>
      </c>
      <c r="G118" s="66">
        <v>4.7999999999999987E-2</v>
      </c>
      <c r="H118" s="66">
        <v>5.7999999999999982E-2</v>
      </c>
      <c r="I118" s="66">
        <v>6.7999999999999991E-2</v>
      </c>
      <c r="J118" s="66">
        <v>7.7999999999999986E-2</v>
      </c>
      <c r="K118" s="66">
        <v>8.8000000000000009E-2</v>
      </c>
    </row>
    <row r="119" spans="2:11" outlineLevel="1" x14ac:dyDescent="0.3">
      <c r="B119" s="23" t="s">
        <v>2499</v>
      </c>
      <c r="C119" s="55">
        <f>C118/C113</f>
        <v>5.2999999999999992E-2</v>
      </c>
      <c r="E119" s="143"/>
      <c r="F119" s="65">
        <v>0.22</v>
      </c>
      <c r="G119" s="66">
        <v>5.8000000000000003E-2</v>
      </c>
      <c r="H119" s="66">
        <v>6.8000000000000005E-2</v>
      </c>
      <c r="I119" s="66">
        <v>7.8E-2</v>
      </c>
      <c r="J119" s="66">
        <v>8.8000000000000009E-2</v>
      </c>
      <c r="K119" s="66">
        <v>9.8000000000000032E-2</v>
      </c>
    </row>
    <row r="120" spans="2:11" outlineLevel="1" x14ac:dyDescent="0.3"/>
    <row r="121" spans="2:11" outlineLevel="1" x14ac:dyDescent="0.3"/>
    <row r="122" spans="2:11" outlineLevel="1" x14ac:dyDescent="0.3">
      <c r="B122" s="135" t="s">
        <v>2610</v>
      </c>
      <c r="C122" s="135"/>
      <c r="D122" s="135"/>
      <c r="E122" s="135"/>
      <c r="F122" s="135"/>
      <c r="G122" s="135"/>
      <c r="H122" s="135"/>
      <c r="I122" s="135"/>
      <c r="J122" s="135"/>
      <c r="K122" s="135"/>
    </row>
    <row r="123" spans="2:11" ht="63" customHeight="1" outlineLevel="1" x14ac:dyDescent="0.3">
      <c r="B123" s="135"/>
      <c r="C123" s="135"/>
      <c r="D123" s="135"/>
      <c r="E123" s="135"/>
      <c r="F123" s="135"/>
      <c r="G123" s="135"/>
      <c r="H123" s="135"/>
      <c r="I123" s="135"/>
      <c r="J123" s="135"/>
      <c r="K123" s="135"/>
    </row>
    <row r="124" spans="2:11" outlineLevel="1" x14ac:dyDescent="0.3"/>
    <row r="125" spans="2:11" ht="15" customHeight="1" x14ac:dyDescent="0.3">
      <c r="B125" s="12" t="s">
        <v>2619</v>
      </c>
    </row>
    <row r="126" spans="2:11" x14ac:dyDescent="0.3">
      <c r="B126" s="12" t="s">
        <v>2514</v>
      </c>
      <c r="C126" s="72">
        <v>5.2999999999999999E-2</v>
      </c>
    </row>
    <row r="127" spans="2:11" x14ac:dyDescent="0.3">
      <c r="B127" s="12" t="s">
        <v>2515</v>
      </c>
      <c r="C127" s="72">
        <v>0.09</v>
      </c>
    </row>
    <row r="128" spans="2:11" x14ac:dyDescent="0.3">
      <c r="B128" s="12" t="s">
        <v>2516</v>
      </c>
      <c r="C128" s="72">
        <v>0.01</v>
      </c>
      <c r="J128" s="54"/>
      <c r="K128" s="54"/>
    </row>
    <row r="129" spans="3:11" x14ac:dyDescent="0.3">
      <c r="J129" s="54"/>
      <c r="K129" s="54"/>
    </row>
    <row r="130" spans="3:11" x14ac:dyDescent="0.3">
      <c r="J130" s="54"/>
      <c r="K130" s="54"/>
    </row>
    <row r="131" spans="3:11" x14ac:dyDescent="0.3">
      <c r="D131" s="14"/>
      <c r="E131" s="14"/>
      <c r="G131" s="54"/>
      <c r="H131" s="54"/>
      <c r="I131" s="54"/>
      <c r="J131" s="54"/>
      <c r="K131" s="54"/>
    </row>
    <row r="132" spans="3:11" x14ac:dyDescent="0.3">
      <c r="D132" s="53"/>
      <c r="E132" s="53"/>
      <c r="G132" s="50"/>
      <c r="H132" s="50"/>
      <c r="I132" s="50"/>
      <c r="J132" s="50"/>
      <c r="K132" s="50"/>
    </row>
    <row r="133" spans="3:11" x14ac:dyDescent="0.3">
      <c r="F133" s="14"/>
    </row>
    <row r="135" spans="3:11" x14ac:dyDescent="0.3">
      <c r="C135" s="23"/>
      <c r="D135" s="23"/>
      <c r="E135" s="23"/>
      <c r="F135" s="15"/>
    </row>
    <row r="136" spans="3:11" x14ac:dyDescent="0.3">
      <c r="F136" s="52"/>
    </row>
    <row r="139" spans="3:11" x14ac:dyDescent="0.3">
      <c r="J139" s="61"/>
      <c r="K139" s="61"/>
    </row>
    <row r="140" spans="3:11" x14ac:dyDescent="0.3">
      <c r="J140" s="61"/>
      <c r="K140" s="61"/>
    </row>
    <row r="141" spans="3:11" x14ac:dyDescent="0.3">
      <c r="J141" s="61"/>
      <c r="K141" s="61"/>
    </row>
  </sheetData>
  <mergeCells count="4">
    <mergeCell ref="B122:K123"/>
    <mergeCell ref="B5:K6"/>
    <mergeCell ref="G113:K113"/>
    <mergeCell ref="E115:E119"/>
  </mergeCells>
  <conditionalFormatting sqref="G115:K119">
    <cfRule type="cellIs" dxfId="0" priority="1" operator="greaterThan">
      <formula>0.07</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anchor moveWithCells="1">
                  <from>
                    <xdr:col>2</xdr:col>
                    <xdr:colOff>0</xdr:colOff>
                    <xdr:row>81</xdr:row>
                    <xdr:rowOff>0</xdr:rowOff>
                  </from>
                  <to>
                    <xdr:col>4</xdr:col>
                    <xdr:colOff>0</xdr:colOff>
                    <xdr:row>82</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ED7A-C0F4-4EE8-9D2B-C8024ADA8CE7}">
  <sheetPr>
    <tabColor theme="1"/>
  </sheetPr>
  <dimension ref="A1:L166"/>
  <sheetViews>
    <sheetView showGridLines="0" zoomScaleNormal="100" workbookViewId="0">
      <pane ySplit="1" topLeftCell="A2" activePane="bottomLeft" state="frozen"/>
      <selection pane="bottomLeft"/>
    </sheetView>
  </sheetViews>
  <sheetFormatPr defaultRowHeight="15" outlineLevelRow="1" x14ac:dyDescent="0.3"/>
  <cols>
    <col min="1" max="1" width="9.140625" style="12"/>
    <col min="2" max="2" width="3.140625" style="12" customWidth="1"/>
    <col min="3" max="3" width="41.5703125" style="12" customWidth="1"/>
    <col min="4" max="4" width="16.85546875" style="12" customWidth="1"/>
    <col min="5" max="5" width="17" style="12" customWidth="1"/>
    <col min="6" max="6" width="16.28515625" style="30" customWidth="1"/>
    <col min="7" max="7" width="19.42578125" style="12" customWidth="1"/>
    <col min="8" max="8" width="18.28515625" style="12" customWidth="1"/>
    <col min="9" max="9" width="9.140625" style="12"/>
    <col min="10" max="10" width="12" style="12" bestFit="1" customWidth="1"/>
    <col min="11" max="16384" width="9.140625" style="12"/>
  </cols>
  <sheetData>
    <row r="1" spans="1:8" ht="60.75" customHeight="1" x14ac:dyDescent="0.3">
      <c r="B1" s="11"/>
      <c r="C1" s="11"/>
      <c r="D1" s="11"/>
      <c r="E1" s="11"/>
      <c r="F1" s="29"/>
      <c r="G1" s="11"/>
      <c r="H1" s="63" t="s">
        <v>2641</v>
      </c>
    </row>
    <row r="2" spans="1:8" x14ac:dyDescent="0.3">
      <c r="G2" s="25"/>
      <c r="H2" s="25"/>
    </row>
    <row r="3" spans="1:8" ht="22.5" x14ac:dyDescent="0.4">
      <c r="A3" s="12" t="s">
        <v>2450</v>
      </c>
      <c r="B3" s="24" t="s">
        <v>1372</v>
      </c>
      <c r="C3" s="11"/>
      <c r="D3" s="11"/>
      <c r="E3" s="11"/>
      <c r="F3" s="29"/>
      <c r="G3" s="11"/>
      <c r="H3" s="11"/>
    </row>
    <row r="4" spans="1:8" hidden="1" outlineLevel="1" x14ac:dyDescent="0.3"/>
    <row r="5" spans="1:8" hidden="1" outlineLevel="1" x14ac:dyDescent="0.3">
      <c r="B5" s="31" t="s">
        <v>2501</v>
      </c>
      <c r="C5" s="32"/>
      <c r="D5" s="32"/>
      <c r="E5" s="32"/>
      <c r="F5" s="33"/>
      <c r="G5" s="27" t="s">
        <v>2471</v>
      </c>
      <c r="H5" s="27" t="s">
        <v>2472</v>
      </c>
    </row>
    <row r="6" spans="1:8" hidden="1" outlineLevel="1" x14ac:dyDescent="0.3"/>
    <row r="7" spans="1:8" hidden="1" outlineLevel="1" x14ac:dyDescent="0.3">
      <c r="B7" s="12" t="s">
        <v>1370</v>
      </c>
      <c r="G7" s="2">
        <f>'Model Query'!C180/1000000</f>
        <v>400234</v>
      </c>
      <c r="H7" s="2">
        <f>'Model Query'!D181/1000000</f>
        <v>357263</v>
      </c>
    </row>
    <row r="8" spans="1:8" hidden="1" outlineLevel="1" x14ac:dyDescent="0.3">
      <c r="B8" s="12" t="s">
        <v>2502</v>
      </c>
      <c r="G8" s="26">
        <f>-'Model Query'!C182/1000000</f>
        <v>-320821</v>
      </c>
      <c r="H8" s="26">
        <f>-'Model Query'!D183/1000000</f>
        <v>-297042</v>
      </c>
    </row>
    <row r="9" spans="1:8" s="23" customFormat="1" hidden="1" outlineLevel="1" x14ac:dyDescent="0.3">
      <c r="C9" s="23" t="s">
        <v>2505</v>
      </c>
      <c r="F9" s="30"/>
      <c r="G9" s="3">
        <f>'Model Query'!C184/1000000</f>
        <v>79413</v>
      </c>
      <c r="H9" s="3">
        <f>'Model Query'!D185/1000000</f>
        <v>60221</v>
      </c>
    </row>
    <row r="10" spans="1:8" hidden="1" outlineLevel="1" x14ac:dyDescent="0.3"/>
    <row r="11" spans="1:8" hidden="1" outlineLevel="1" x14ac:dyDescent="0.3">
      <c r="B11" s="12" t="s">
        <v>1384</v>
      </c>
      <c r="G11" s="2">
        <f>-'Model Query'!C186/1000000</f>
        <v>-16983</v>
      </c>
      <c r="H11" s="2">
        <f>-'Model Query'!D187/1000000</f>
        <v>-26067</v>
      </c>
    </row>
    <row r="12" spans="1:8" hidden="1" outlineLevel="1" x14ac:dyDescent="0.3">
      <c r="B12" s="12" t="s">
        <v>1388</v>
      </c>
      <c r="G12" s="2">
        <f>-'Model Query'!C189/1000000</f>
        <v>-25409</v>
      </c>
      <c r="H12" s="2">
        <f>-'Model Query'!D188/1000000</f>
        <v>-23213</v>
      </c>
    </row>
    <row r="13" spans="1:8" hidden="1" outlineLevel="1" x14ac:dyDescent="0.3">
      <c r="B13" s="12" t="s">
        <v>1392</v>
      </c>
      <c r="G13" s="2">
        <f>-'Model Query'!C191/1000000</f>
        <v>-12038</v>
      </c>
      <c r="H13" s="2">
        <f>-'Model Query'!D190/1000000</f>
        <v>-10476</v>
      </c>
    </row>
    <row r="14" spans="1:8" hidden="1" outlineLevel="1" x14ac:dyDescent="0.3">
      <c r="B14" s="12" t="s">
        <v>2506</v>
      </c>
      <c r="G14" s="2">
        <f>('Model Query'!C193)/1000000</f>
        <v>2057</v>
      </c>
      <c r="H14" s="2">
        <f>('Model Query'!D192)/1000000</f>
        <v>-816</v>
      </c>
    </row>
    <row r="15" spans="1:8" hidden="1" outlineLevel="1" x14ac:dyDescent="0.3">
      <c r="B15" s="12" t="s">
        <v>2508</v>
      </c>
      <c r="G15" s="26">
        <f>'Model Query'!C195/1000000</f>
        <v>-4722</v>
      </c>
      <c r="H15" s="26">
        <f>'Model Query'!D194/1000000</f>
        <v>654</v>
      </c>
    </row>
    <row r="16" spans="1:8" hidden="1" outlineLevel="1" x14ac:dyDescent="0.3">
      <c r="B16" s="23"/>
      <c r="C16" s="23" t="s">
        <v>2507</v>
      </c>
      <c r="D16" s="23"/>
      <c r="E16" s="23"/>
      <c r="G16" s="3">
        <f>'Model Query'!C197/1000000</f>
        <v>22318</v>
      </c>
      <c r="H16" s="3">
        <f>'Model Query'!D196/1000000</f>
        <v>303</v>
      </c>
    </row>
    <row r="17" spans="1:8" s="23" customFormat="1" hidden="1" outlineLevel="1" x14ac:dyDescent="0.3">
      <c r="B17" s="12"/>
      <c r="C17" s="12"/>
      <c r="D17" s="12"/>
      <c r="E17" s="12"/>
      <c r="F17" s="30"/>
      <c r="G17" s="2"/>
      <c r="H17" s="2"/>
    </row>
    <row r="18" spans="1:8" hidden="1" outlineLevel="1" x14ac:dyDescent="0.3">
      <c r="B18" s="12" t="s">
        <v>2509</v>
      </c>
      <c r="G18" s="2">
        <f>'Model Query'!C199/1000000</f>
        <v>2190</v>
      </c>
      <c r="H18" s="2">
        <f>'Model Query'!D198/1000000</f>
        <v>1929</v>
      </c>
    </row>
    <row r="19" spans="1:8" hidden="1" outlineLevel="1" x14ac:dyDescent="0.3">
      <c r="B19" s="12" t="s">
        <v>2510</v>
      </c>
      <c r="G19" s="2">
        <f>-'Model Query'!C201/1000000</f>
        <v>-1164</v>
      </c>
      <c r="H19" s="2">
        <f>-'Model Query'!D200/1000000</f>
        <v>-1251</v>
      </c>
    </row>
    <row r="20" spans="1:8" hidden="1" outlineLevel="1" x14ac:dyDescent="0.3">
      <c r="B20" s="12" t="s">
        <v>2511</v>
      </c>
      <c r="G20" s="26">
        <f>'Model Query'!C203/1000000</f>
        <v>-625</v>
      </c>
      <c r="H20" s="26">
        <f>'Model Query'!D202/1000000</f>
        <v>-1647</v>
      </c>
    </row>
    <row r="21" spans="1:8" hidden="1" outlineLevel="1" x14ac:dyDescent="0.3">
      <c r="C21" s="23" t="s">
        <v>2512</v>
      </c>
      <c r="G21" s="3">
        <f>'Model Query'!C205/1000000</f>
        <v>22719</v>
      </c>
      <c r="H21" s="3">
        <f>'Model Query'!D204/1000000</f>
        <v>-666</v>
      </c>
    </row>
    <row r="22" spans="1:8" hidden="1" outlineLevel="1" x14ac:dyDescent="0.3">
      <c r="G22" s="2"/>
      <c r="H22" s="2"/>
    </row>
    <row r="23" spans="1:8" hidden="1" outlineLevel="1" x14ac:dyDescent="0.3">
      <c r="B23" s="12" t="s">
        <v>2513</v>
      </c>
      <c r="G23" s="26">
        <f>-'Model Query'!C207/1000000</f>
        <v>-6785</v>
      </c>
      <c r="H23" s="26">
        <f>-'Model Query'!D206/1000000</f>
        <v>-2302</v>
      </c>
    </row>
    <row r="24" spans="1:8" hidden="1" outlineLevel="1" x14ac:dyDescent="0.3">
      <c r="B24" s="23"/>
      <c r="C24" s="23" t="s">
        <v>2504</v>
      </c>
      <c r="D24" s="23"/>
      <c r="E24" s="23"/>
      <c r="G24" s="3">
        <f>'Model Query'!C208/1000000</f>
        <v>15934</v>
      </c>
      <c r="H24" s="3">
        <f>'Model Query'!D209/1000000</f>
        <v>-2968</v>
      </c>
    </row>
    <row r="25" spans="1:8" hidden="1" outlineLevel="1" x14ac:dyDescent="0.3">
      <c r="B25" s="23"/>
      <c r="C25" s="23"/>
      <c r="D25" s="23"/>
      <c r="E25" s="23"/>
      <c r="G25" s="3"/>
      <c r="H25" s="3"/>
    </row>
    <row r="26" spans="1:8" hidden="1" outlineLevel="1" x14ac:dyDescent="0.3">
      <c r="B26" s="12" t="s">
        <v>1432</v>
      </c>
      <c r="C26" s="23"/>
      <c r="D26" s="23"/>
      <c r="E26" s="23"/>
      <c r="G26" s="2">
        <f>'Model Query'!C210/1000000</f>
        <v>15401</v>
      </c>
      <c r="H26" s="2">
        <f>'Model Query'!D211/1000000</f>
        <v>174</v>
      </c>
    </row>
    <row r="27" spans="1:8" hidden="1" outlineLevel="1" x14ac:dyDescent="0.3">
      <c r="B27" s="12" t="s">
        <v>1436</v>
      </c>
      <c r="C27" s="23"/>
      <c r="D27" s="23"/>
      <c r="E27" s="23"/>
      <c r="G27" s="2">
        <f>'Model Query'!C212/1000000</f>
        <v>533</v>
      </c>
      <c r="H27" s="2">
        <f>'Model Query'!D213/1000000</f>
        <v>-3142</v>
      </c>
    </row>
    <row r="28" spans="1:8" hidden="1" outlineLevel="1" x14ac:dyDescent="0.3"/>
    <row r="29" spans="1:8" collapsed="1" x14ac:dyDescent="0.3"/>
    <row r="30" spans="1:8" ht="22.5" x14ac:dyDescent="0.4">
      <c r="A30" s="12" t="s">
        <v>2450</v>
      </c>
      <c r="B30" s="24" t="s">
        <v>1490</v>
      </c>
      <c r="C30" s="11"/>
      <c r="D30" s="11"/>
      <c r="E30" s="11"/>
      <c r="F30" s="29"/>
      <c r="G30" s="11"/>
      <c r="H30" s="11"/>
    </row>
    <row r="31" spans="1:8" hidden="1" outlineLevel="1" x14ac:dyDescent="0.3">
      <c r="A31" s="12" t="s">
        <v>2450</v>
      </c>
    </row>
    <row r="32" spans="1:8" hidden="1" outlineLevel="1" x14ac:dyDescent="0.3">
      <c r="B32" s="31" t="s">
        <v>2501</v>
      </c>
      <c r="C32" s="32"/>
      <c r="D32" s="32"/>
      <c r="E32" s="32"/>
      <c r="F32" s="33"/>
      <c r="G32" s="27" t="s">
        <v>2471</v>
      </c>
      <c r="H32" s="27" t="s">
        <v>2472</v>
      </c>
    </row>
    <row r="33" spans="2:12" hidden="1" outlineLevel="1" x14ac:dyDescent="0.3"/>
    <row r="34" spans="2:12" hidden="1" outlineLevel="1" x14ac:dyDescent="0.3">
      <c r="B34" s="23" t="s">
        <v>2441</v>
      </c>
    </row>
    <row r="35" spans="2:12" hidden="1" outlineLevel="1" x14ac:dyDescent="0.3">
      <c r="B35" s="23"/>
    </row>
    <row r="36" spans="2:12" hidden="1" outlineLevel="1" x14ac:dyDescent="0.3">
      <c r="B36" s="23" t="s">
        <v>2442</v>
      </c>
    </row>
    <row r="37" spans="2:12" hidden="1" outlineLevel="1" x14ac:dyDescent="0.3">
      <c r="B37" s="12" t="s">
        <v>1491</v>
      </c>
      <c r="G37" s="2">
        <f>'Model Query'!C91/1000000</f>
        <v>83781</v>
      </c>
      <c r="H37" s="2">
        <f>'Model Query'!D92/1000000</f>
        <v>82965</v>
      </c>
    </row>
    <row r="38" spans="2:12" hidden="1" outlineLevel="1" x14ac:dyDescent="0.3">
      <c r="B38" s="12" t="s">
        <v>2457</v>
      </c>
      <c r="G38" s="2">
        <f>'Model Query'!C93/1000000</f>
        <v>107124</v>
      </c>
      <c r="H38" s="2">
        <f>'Model Query'!D94/1000000</f>
        <v>99391</v>
      </c>
    </row>
    <row r="39" spans="2:12" hidden="1" outlineLevel="1" x14ac:dyDescent="0.3">
      <c r="B39" s="12" t="s">
        <v>2458</v>
      </c>
      <c r="G39" s="2">
        <f>'Model Query'!C95/1000000</f>
        <v>8998</v>
      </c>
      <c r="H39" s="2">
        <f>'Model Query'!D96/1000000</f>
        <v>7003</v>
      </c>
      <c r="L39" s="14"/>
    </row>
    <row r="40" spans="2:12" hidden="1" outlineLevel="1" x14ac:dyDescent="0.3">
      <c r="B40" s="12" t="s">
        <v>2459</v>
      </c>
      <c r="G40" s="26">
        <f>('Model Query'!C97+'Model Query'!C100+'Model Query'!C102+'Model Query'!C104+'Model Query'!C106)/1000000</f>
        <v>29720</v>
      </c>
      <c r="H40" s="26">
        <f>('Model Query'!D98+'Model Query'!D99+'Model Query'!D101+'Model Query'!D103+'Model Query'!D105)/1000000</f>
        <v>26012</v>
      </c>
    </row>
    <row r="41" spans="2:12" hidden="1" outlineLevel="1" x14ac:dyDescent="0.3">
      <c r="B41" s="23"/>
      <c r="C41" s="23" t="s">
        <v>2443</v>
      </c>
      <c r="D41" s="23"/>
      <c r="E41" s="23"/>
      <c r="G41" s="3">
        <f>'Model Query'!C108/1000000</f>
        <v>229623</v>
      </c>
      <c r="H41" s="3">
        <f>'Model Query'!D107/1000000</f>
        <v>215371</v>
      </c>
    </row>
    <row r="42" spans="2:12" s="23" customFormat="1" ht="15.75" hidden="1" outlineLevel="1" x14ac:dyDescent="0.3">
      <c r="B42" s="12"/>
      <c r="C42" s="12"/>
      <c r="D42" s="12"/>
      <c r="E42" s="12"/>
      <c r="F42" s="30"/>
      <c r="G42" s="28"/>
      <c r="H42" s="28"/>
    </row>
    <row r="43" spans="2:12" ht="15.75" hidden="1" outlineLevel="1" x14ac:dyDescent="0.3">
      <c r="B43" s="23" t="s">
        <v>1554</v>
      </c>
      <c r="G43" s="28"/>
      <c r="H43" s="28"/>
    </row>
    <row r="44" spans="2:12" hidden="1" outlineLevel="1" x14ac:dyDescent="0.3">
      <c r="B44" s="12" t="s">
        <v>1526</v>
      </c>
      <c r="G44" s="2">
        <f>'Model Query'!C110/1000000</f>
        <v>62455</v>
      </c>
      <c r="H44" s="2">
        <f>'Model Query'!D109/1000000</f>
        <v>59024</v>
      </c>
    </row>
    <row r="45" spans="2:12" hidden="1" outlineLevel="1" x14ac:dyDescent="0.3">
      <c r="B45" s="12" t="s">
        <v>2460</v>
      </c>
      <c r="G45" s="2">
        <f>'Model Query'!C111/1000000</f>
        <v>22780</v>
      </c>
      <c r="H45" s="2">
        <f>'Model Query'!D112/1000000</f>
        <v>21241</v>
      </c>
    </row>
    <row r="46" spans="2:12" hidden="1" outlineLevel="1" x14ac:dyDescent="0.3">
      <c r="B46" s="12" t="s">
        <v>1542</v>
      </c>
      <c r="G46" s="2">
        <f>('Model Query'!C113+'Model Query'!C115+'Model Query'!C117+'Model Query'!C119)/1000000</f>
        <v>17004</v>
      </c>
      <c r="H46" s="2">
        <f>('Model Query'!D114+'Model Query'!D116+'Model Query'!D118+'Model Query'!D120)/1000000</f>
        <v>19972</v>
      </c>
    </row>
    <row r="47" spans="2:12" hidden="1" outlineLevel="1" x14ac:dyDescent="0.3">
      <c r="B47" s="12" t="s">
        <v>1550</v>
      </c>
      <c r="G47" s="26">
        <f>'Model Query'!C121/1000000</f>
        <v>56373</v>
      </c>
      <c r="H47" s="26">
        <f>'Model Query'!D122/1000000</f>
        <v>57564</v>
      </c>
      <c r="I47" s="14"/>
      <c r="J47" s="14"/>
    </row>
    <row r="48" spans="2:12" hidden="1" outlineLevel="1" x14ac:dyDescent="0.3">
      <c r="B48" s="23"/>
      <c r="C48" s="23" t="s">
        <v>2444</v>
      </c>
      <c r="D48" s="23"/>
      <c r="E48" s="23"/>
      <c r="G48" s="3">
        <f>'Model Query'!C124/1000000</f>
        <v>158612</v>
      </c>
      <c r="H48" s="3">
        <f>'Model Query'!D123/1000000</f>
        <v>157801</v>
      </c>
    </row>
    <row r="49" spans="2:8" s="23" customFormat="1" ht="15.75" hidden="1" outlineLevel="1" x14ac:dyDescent="0.3">
      <c r="B49" s="12"/>
      <c r="C49" s="12"/>
      <c r="D49" s="12"/>
      <c r="E49" s="12"/>
      <c r="F49" s="30"/>
      <c r="G49" s="28"/>
      <c r="H49" s="28"/>
    </row>
    <row r="50" spans="2:8" ht="15.75" hidden="1" outlineLevel="1" thickBot="1" x14ac:dyDescent="0.35">
      <c r="B50" s="34" t="s">
        <v>2445</v>
      </c>
      <c r="C50" s="34"/>
      <c r="D50" s="34"/>
      <c r="E50" s="34"/>
      <c r="F50" s="35"/>
      <c r="G50" s="36">
        <f>'Model Query'!C126/1000000</f>
        <v>388235</v>
      </c>
      <c r="H50" s="36">
        <f>'Model Query'!D125/1000000</f>
        <v>373172</v>
      </c>
    </row>
    <row r="51" spans="2:8" s="23" customFormat="1" ht="14.25" hidden="1" customHeight="1" outlineLevel="1" thickTop="1" x14ac:dyDescent="0.3">
      <c r="B51" s="12"/>
      <c r="C51" s="12"/>
      <c r="D51" s="12"/>
      <c r="E51" s="12"/>
      <c r="F51" s="30"/>
      <c r="G51" s="28"/>
      <c r="H51" s="28"/>
    </row>
    <row r="52" spans="2:8" ht="15.75" hidden="1" outlineLevel="1" x14ac:dyDescent="0.3">
      <c r="B52" s="23" t="s">
        <v>2446</v>
      </c>
      <c r="G52" s="28"/>
      <c r="H52" s="28"/>
    </row>
    <row r="53" spans="2:8" ht="15.75" hidden="1" outlineLevel="1" x14ac:dyDescent="0.3">
      <c r="B53" s="23"/>
      <c r="G53" s="28"/>
      <c r="H53" s="28"/>
    </row>
    <row r="54" spans="2:8" hidden="1" outlineLevel="1" x14ac:dyDescent="0.3">
      <c r="B54" s="23" t="s">
        <v>2447</v>
      </c>
    </row>
    <row r="55" spans="2:8" hidden="1" outlineLevel="1" x14ac:dyDescent="0.3">
      <c r="B55" s="12" t="s">
        <v>1561</v>
      </c>
      <c r="G55" s="2">
        <f>'Model Query'!C128/1000000</f>
        <v>137461</v>
      </c>
      <c r="H55" s="2">
        <f>'Model Query'!D127/1000000</f>
        <v>147079</v>
      </c>
    </row>
    <row r="56" spans="2:8" hidden="1" outlineLevel="1" x14ac:dyDescent="0.3">
      <c r="B56" s="12" t="s">
        <v>1565</v>
      </c>
      <c r="G56" s="26">
        <f>'Model Query'!C129/1000000</f>
        <v>4738</v>
      </c>
      <c r="H56" s="26">
        <f>'Model Query'!D130/1000000</f>
        <v>1299</v>
      </c>
    </row>
    <row r="57" spans="2:8" hidden="1" outlineLevel="1" x14ac:dyDescent="0.3">
      <c r="B57" s="23"/>
      <c r="C57" s="23" t="s">
        <v>2448</v>
      </c>
      <c r="D57" s="23"/>
      <c r="E57" s="23"/>
      <c r="G57" s="3">
        <f>'Model Query'!C131/1000000</f>
        <v>142199</v>
      </c>
      <c r="H57" s="3">
        <f>'Model Query'!D132/1000000</f>
        <v>148378</v>
      </c>
    </row>
    <row r="58" spans="2:8" s="23" customFormat="1" ht="15.75" hidden="1" outlineLevel="1" x14ac:dyDescent="0.3">
      <c r="C58" s="12"/>
      <c r="D58" s="12"/>
      <c r="E58" s="12"/>
      <c r="F58" s="30"/>
      <c r="G58" s="28"/>
      <c r="H58" s="28"/>
    </row>
    <row r="59" spans="2:8" ht="15.75" hidden="1" outlineLevel="1" x14ac:dyDescent="0.3">
      <c r="B59" s="23" t="s">
        <v>2468</v>
      </c>
      <c r="G59" s="28"/>
      <c r="H59" s="28"/>
    </row>
    <row r="60" spans="2:8" ht="15.75" hidden="1" outlineLevel="1" x14ac:dyDescent="0.3">
      <c r="B60" s="23" t="s">
        <v>2470</v>
      </c>
      <c r="G60" s="28"/>
      <c r="H60" s="28"/>
    </row>
    <row r="61" spans="2:8" hidden="1" outlineLevel="1" x14ac:dyDescent="0.3">
      <c r="B61" s="12" t="s">
        <v>2461</v>
      </c>
      <c r="G61" s="2">
        <f>('Model Query'!C139+'Model Query'!C141+'Model Query'!C146)/1000000</f>
        <v>30456</v>
      </c>
      <c r="H61" s="2">
        <f>('Model Query'!D140+'Model Query'!D142+'Model Query'!D145)/1000000</f>
        <v>33723</v>
      </c>
    </row>
    <row r="62" spans="2:8" hidden="1" outlineLevel="1" x14ac:dyDescent="0.3">
      <c r="B62" s="12" t="s">
        <v>2462</v>
      </c>
      <c r="G62" s="26">
        <f>('Model Query'!C155+'Model Query'!C158+'Model Query'!C166)/1000000</f>
        <v>9272</v>
      </c>
      <c r="H62" s="26">
        <f>('Model Query'!D156+'Model Query'!D157+'Model Query'!D165)/1000000</f>
        <v>3992</v>
      </c>
    </row>
    <row r="63" spans="2:8" hidden="1" outlineLevel="1" x14ac:dyDescent="0.3">
      <c r="C63" s="23" t="s">
        <v>2523</v>
      </c>
      <c r="G63" s="3">
        <f>G61+G62</f>
        <v>39728</v>
      </c>
      <c r="H63" s="3">
        <f>H61+H62</f>
        <v>37715</v>
      </c>
    </row>
    <row r="64" spans="2:8" hidden="1" outlineLevel="1" x14ac:dyDescent="0.3"/>
    <row r="65" spans="1:10" hidden="1" outlineLevel="1" x14ac:dyDescent="0.3">
      <c r="B65" s="23" t="s">
        <v>2469</v>
      </c>
      <c r="G65" s="2"/>
      <c r="H65" s="2"/>
    </row>
    <row r="66" spans="1:10" hidden="1" outlineLevel="1" x14ac:dyDescent="0.3">
      <c r="B66" s="12" t="s">
        <v>1628</v>
      </c>
      <c r="G66" s="2">
        <f>'Model Query'!C162/1000000</f>
        <v>56479</v>
      </c>
      <c r="H66" s="2">
        <f>'Model Query'!D161/1000000</f>
        <v>57768</v>
      </c>
      <c r="J66" s="14"/>
    </row>
    <row r="67" spans="1:10" hidden="1" outlineLevel="1" x14ac:dyDescent="0.3">
      <c r="B67" s="12" t="s">
        <v>2467</v>
      </c>
      <c r="G67" s="2">
        <f>('Model Query'!C159+'Model Query'!C144)/1000000</f>
        <v>45752</v>
      </c>
      <c r="H67" s="2">
        <f>('Model Query'!D143+'Model Query'!D160)/1000000</f>
        <v>39869</v>
      </c>
    </row>
    <row r="68" spans="1:10" hidden="1" outlineLevel="1" x14ac:dyDescent="0.3">
      <c r="H68" s="14"/>
    </row>
    <row r="69" spans="1:10" hidden="1" outlineLevel="1" x14ac:dyDescent="0.3">
      <c r="B69" s="23" t="s">
        <v>2466</v>
      </c>
    </row>
    <row r="70" spans="1:10" hidden="1" outlineLevel="1" x14ac:dyDescent="0.3">
      <c r="B70" s="12" t="s">
        <v>2463</v>
      </c>
      <c r="G70" s="2">
        <f>('Model Query'!C133+'Model Query'!C138+'Model Query'!C154)/1000000</f>
        <v>28991</v>
      </c>
      <c r="H70" s="2">
        <f>('Model Query'!D134+'Model Query'!D137+'Model Query'!D153)/1000000</f>
        <v>22737</v>
      </c>
    </row>
    <row r="71" spans="1:10" hidden="1" outlineLevel="1" x14ac:dyDescent="0.3">
      <c r="B71" s="12" t="s">
        <v>2464</v>
      </c>
      <c r="G71" s="2">
        <f>('Model Query'!C135+'Model Query'!C163)/1000000</f>
        <v>12326</v>
      </c>
      <c r="H71" s="2">
        <f>('Model Query'!D136+'Model Query'!D164)/1000000</f>
        <v>11186</v>
      </c>
    </row>
    <row r="72" spans="1:10" hidden="1" outlineLevel="1" x14ac:dyDescent="0.3">
      <c r="B72" s="12" t="s">
        <v>2465</v>
      </c>
      <c r="G72" s="2">
        <f>('Model Query'!C148+'Model Query'!C167)/1000000</f>
        <v>4142</v>
      </c>
      <c r="H72" s="2">
        <f>('Model Query'!D147+'Model Query'!D168)/1000000</f>
        <v>738</v>
      </c>
    </row>
    <row r="73" spans="1:10" s="23" customFormat="1" hidden="1" outlineLevel="1" x14ac:dyDescent="0.3">
      <c r="B73" s="12" t="s">
        <v>2466</v>
      </c>
      <c r="C73" s="12"/>
      <c r="D73" s="12"/>
      <c r="E73" s="12"/>
      <c r="F73" s="30"/>
      <c r="G73" s="2">
        <f>('Model Query'!C150+'Model Query'!C170)/1000000</f>
        <v>58618</v>
      </c>
      <c r="H73" s="2">
        <f>('Model Query'!D149+'Model Query'!D169)/1000000</f>
        <v>54781</v>
      </c>
    </row>
    <row r="74" spans="1:10" s="23" customFormat="1" hidden="1" outlineLevel="1" x14ac:dyDescent="0.3">
      <c r="B74" s="12"/>
      <c r="C74" s="23" t="s">
        <v>2524</v>
      </c>
      <c r="D74" s="12"/>
      <c r="E74" s="12"/>
      <c r="F74" s="30"/>
      <c r="G74" s="15">
        <f>SUM(G63:G73)</f>
        <v>246036</v>
      </c>
      <c r="H74" s="15">
        <f>SUM(H63:H73)</f>
        <v>224794</v>
      </c>
    </row>
    <row r="75" spans="1:10" hidden="1" outlineLevel="1" x14ac:dyDescent="0.3"/>
    <row r="76" spans="1:10" ht="15.75" hidden="1" outlineLevel="1" thickBot="1" x14ac:dyDescent="0.35">
      <c r="B76" s="34" t="s">
        <v>2449</v>
      </c>
      <c r="C76" s="34"/>
      <c r="D76" s="34"/>
      <c r="E76" s="34"/>
      <c r="F76" s="35"/>
      <c r="G76" s="36">
        <f>G57+G74</f>
        <v>388235</v>
      </c>
      <c r="H76" s="36">
        <f>H57+H74</f>
        <v>373172</v>
      </c>
      <c r="J76" s="14"/>
    </row>
    <row r="77" spans="1:10" ht="15.75" hidden="1" outlineLevel="1" thickTop="1" x14ac:dyDescent="0.3">
      <c r="B77" s="23"/>
      <c r="C77" s="23"/>
      <c r="D77" s="23"/>
      <c r="E77" s="23"/>
      <c r="G77" s="3"/>
      <c r="H77" s="3"/>
    </row>
    <row r="78" spans="1:10" collapsed="1" x14ac:dyDescent="0.3"/>
    <row r="79" spans="1:10" ht="22.5" x14ac:dyDescent="0.4">
      <c r="A79" s="12" t="s">
        <v>2450</v>
      </c>
      <c r="B79" s="24" t="s">
        <v>1824</v>
      </c>
      <c r="C79" s="11"/>
      <c r="D79" s="11"/>
      <c r="E79" s="11"/>
      <c r="F79" s="29"/>
      <c r="G79" s="11"/>
      <c r="H79" s="11"/>
    </row>
    <row r="80" spans="1:10" hidden="1" outlineLevel="1" x14ac:dyDescent="0.3">
      <c r="A80" s="12" t="s">
        <v>2450</v>
      </c>
    </row>
    <row r="81" spans="2:10" hidden="1" outlineLevel="1" x14ac:dyDescent="0.3">
      <c r="B81" s="31" t="s">
        <v>2501</v>
      </c>
      <c r="C81" s="32"/>
      <c r="D81" s="32"/>
      <c r="E81" s="32"/>
      <c r="F81" s="33"/>
      <c r="G81" s="27" t="s">
        <v>2471</v>
      </c>
      <c r="H81" s="27" t="s">
        <v>2472</v>
      </c>
    </row>
    <row r="82" spans="2:10" hidden="1" outlineLevel="1" x14ac:dyDescent="0.3">
      <c r="I82" s="37"/>
      <c r="J82" s="37"/>
    </row>
    <row r="83" spans="2:10" hidden="1" outlineLevel="1" x14ac:dyDescent="0.3">
      <c r="B83" s="23" t="s">
        <v>2451</v>
      </c>
    </row>
    <row r="84" spans="2:10" hidden="1" outlineLevel="1" x14ac:dyDescent="0.3">
      <c r="B84" s="12" t="s">
        <v>2507</v>
      </c>
      <c r="G84" s="2">
        <f>'Model Query'!D6/1000000</f>
        <v>22318</v>
      </c>
      <c r="H84" s="2">
        <f>'Model Query'!E7/1000000</f>
        <v>303</v>
      </c>
    </row>
    <row r="85" spans="2:10" hidden="1" outlineLevel="1" x14ac:dyDescent="0.3">
      <c r="B85" s="12" t="s">
        <v>2473</v>
      </c>
      <c r="G85" s="2">
        <f>'Model Query'!D8/1000000</f>
        <v>22730</v>
      </c>
      <c r="H85" s="2">
        <f>'Model Query'!E9/1000000</f>
        <v>23945</v>
      </c>
      <c r="I85" s="2"/>
      <c r="J85" s="2"/>
    </row>
    <row r="86" spans="2:10" hidden="1" outlineLevel="1" x14ac:dyDescent="0.3">
      <c r="B86" s="12" t="s">
        <v>2475</v>
      </c>
      <c r="G86" s="2">
        <f>'Model Query'!D10/1000000</f>
        <v>213</v>
      </c>
      <c r="H86" s="2">
        <f>'Model Query'!E11/1000000</f>
        <v>205</v>
      </c>
      <c r="I86" s="2"/>
      <c r="J86" s="2"/>
    </row>
    <row r="87" spans="2:10" hidden="1" outlineLevel="1" x14ac:dyDescent="0.3">
      <c r="B87" s="12" t="s">
        <v>2503</v>
      </c>
      <c r="G87" s="2">
        <f>'Model Query'!D12/1000000</f>
        <v>2190</v>
      </c>
      <c r="H87" s="2">
        <f>'Model Query'!E13/1000000</f>
        <v>1929</v>
      </c>
      <c r="I87" s="2"/>
      <c r="J87" s="2"/>
    </row>
    <row r="88" spans="2:10" hidden="1" outlineLevel="1" x14ac:dyDescent="0.3">
      <c r="B88" s="12" t="s">
        <v>1412</v>
      </c>
      <c r="G88" s="2">
        <f>-'Model Query'!D15/1000000</f>
        <v>-1623</v>
      </c>
      <c r="H88" s="2">
        <f>-'Model Query'!E14/1000000</f>
        <v>-1538</v>
      </c>
      <c r="I88" s="2"/>
      <c r="J88" s="2"/>
    </row>
    <row r="89" spans="2:10" hidden="1" outlineLevel="1" x14ac:dyDescent="0.3">
      <c r="B89" s="12" t="s">
        <v>2518</v>
      </c>
      <c r="G89" s="2">
        <f>-'Model Query'!D17/1000000</f>
        <v>-836</v>
      </c>
      <c r="H89" s="2">
        <f>-'Model Query'!E16/1000000</f>
        <v>-1963</v>
      </c>
      <c r="I89" s="2"/>
      <c r="J89" s="2"/>
    </row>
    <row r="90" spans="2:10" hidden="1" outlineLevel="1" x14ac:dyDescent="0.3">
      <c r="B90" s="12" t="s">
        <v>2474</v>
      </c>
      <c r="G90" s="2">
        <f>-'Model Query'!D19/1000000</f>
        <v>-4448</v>
      </c>
      <c r="H90" s="2">
        <f>-'Model Query'!E18/1000000</f>
        <v>-3724</v>
      </c>
      <c r="I90" s="2"/>
      <c r="J90" s="2"/>
    </row>
    <row r="91" spans="2:10" hidden="1" outlineLevel="1" x14ac:dyDescent="0.3">
      <c r="B91" s="12" t="s">
        <v>2476</v>
      </c>
      <c r="G91" s="26">
        <f>('Model Query'!D21)/1000000</f>
        <v>2754</v>
      </c>
      <c r="H91" s="26">
        <f>('Model Query'!E20)/1000000</f>
        <v>6281</v>
      </c>
      <c r="I91" s="2"/>
      <c r="J91" s="2"/>
    </row>
    <row r="92" spans="2:10" ht="15.75" hidden="1" outlineLevel="1" x14ac:dyDescent="0.3">
      <c r="B92" s="28"/>
      <c r="D92" s="23"/>
      <c r="E92" s="23"/>
      <c r="G92" s="3">
        <f>'Model Query'!D23/1000000</f>
        <v>43298</v>
      </c>
      <c r="H92" s="3">
        <f>'Model Query'!E22/1000000</f>
        <v>25438</v>
      </c>
      <c r="I92" s="2"/>
      <c r="J92" s="2"/>
    </row>
    <row r="93" spans="2:10" ht="15.75" hidden="1" outlineLevel="1" x14ac:dyDescent="0.3">
      <c r="C93" s="28"/>
      <c r="D93" s="28"/>
      <c r="E93" s="28"/>
      <c r="F93" s="38"/>
      <c r="G93" s="28"/>
      <c r="H93" s="28"/>
      <c r="I93" s="3"/>
      <c r="J93" s="3"/>
    </row>
    <row r="94" spans="2:10" ht="15.75" hidden="1" outlineLevel="1" x14ac:dyDescent="0.3">
      <c r="B94" s="12" t="s">
        <v>2477</v>
      </c>
      <c r="C94" s="28"/>
      <c r="D94" s="28"/>
      <c r="E94" s="28"/>
      <c r="F94" s="38"/>
      <c r="G94" s="2">
        <f>'Model Query'!D25/1000000</f>
        <v>-2757</v>
      </c>
      <c r="H94" s="2">
        <f>'Model Query'!E24/1000000</f>
        <v>2353</v>
      </c>
    </row>
    <row r="95" spans="2:10" ht="15.75" hidden="1" outlineLevel="1" x14ac:dyDescent="0.3">
      <c r="B95" s="12" t="s">
        <v>2478</v>
      </c>
      <c r="C95" s="28"/>
      <c r="D95" s="28"/>
      <c r="E95" s="28"/>
      <c r="F95" s="38"/>
      <c r="G95" s="2">
        <f>'Model Query'!D26/1000000</f>
        <v>-1386</v>
      </c>
      <c r="H95" s="2">
        <f>'Model Query'!E27/1000000</f>
        <v>-84</v>
      </c>
    </row>
    <row r="96" spans="2:10" ht="15.75" hidden="1" outlineLevel="1" x14ac:dyDescent="0.3">
      <c r="B96" s="12" t="s">
        <v>2479</v>
      </c>
      <c r="C96" s="28"/>
      <c r="D96" s="28"/>
      <c r="E96" s="28"/>
      <c r="F96" s="38"/>
      <c r="G96" s="2">
        <f>'Model Query'!D28/1000000</f>
        <v>-7539</v>
      </c>
      <c r="H96" s="2">
        <f>'Model Query'!E29/1000000</f>
        <v>7205</v>
      </c>
      <c r="I96" s="2"/>
      <c r="J96" s="2"/>
    </row>
    <row r="97" spans="2:10" ht="15.75" hidden="1" outlineLevel="1" x14ac:dyDescent="0.3">
      <c r="B97" s="12" t="s">
        <v>2480</v>
      </c>
      <c r="C97" s="28"/>
      <c r="D97" s="28"/>
      <c r="E97" s="28"/>
      <c r="F97" s="38"/>
      <c r="G97" s="2">
        <f>'Model Query'!D30/1000000</f>
        <v>-1905</v>
      </c>
      <c r="H97" s="2">
        <f>'Model Query'!E31/1000000</f>
        <v>-1867</v>
      </c>
      <c r="I97" s="2"/>
      <c r="J97" s="2"/>
    </row>
    <row r="98" spans="2:10" ht="15.75" hidden="1" outlineLevel="1" x14ac:dyDescent="0.3">
      <c r="B98" s="12" t="s">
        <v>2481</v>
      </c>
      <c r="C98" s="28"/>
      <c r="D98" s="28"/>
      <c r="E98" s="28"/>
      <c r="F98" s="38"/>
      <c r="G98" s="2">
        <f>'Model Query'!D32/1000000</f>
        <v>8709</v>
      </c>
      <c r="H98" s="2">
        <f>'Model Query'!E33/1000000</f>
        <v>644</v>
      </c>
      <c r="I98" s="2"/>
      <c r="J98" s="2"/>
    </row>
    <row r="99" spans="2:10" ht="15.75" hidden="1" outlineLevel="1" x14ac:dyDescent="0.3">
      <c r="B99" s="12" t="s">
        <v>2482</v>
      </c>
      <c r="C99" s="28"/>
      <c r="D99" s="28"/>
      <c r="E99" s="28"/>
      <c r="F99" s="38"/>
      <c r="G99" s="26">
        <f>-'Model Query'!D34/1000000</f>
        <v>8952</v>
      </c>
      <c r="H99" s="26">
        <f>-'Model Query'!E35/1000000</f>
        <v>936</v>
      </c>
      <c r="I99" s="2"/>
      <c r="J99" s="2"/>
    </row>
    <row r="100" spans="2:10" ht="15.75" hidden="1" outlineLevel="1" x14ac:dyDescent="0.3">
      <c r="B100" s="23" t="s">
        <v>2483</v>
      </c>
      <c r="C100" s="28"/>
      <c r="D100" s="28"/>
      <c r="E100" s="28"/>
      <c r="F100" s="38"/>
      <c r="G100" s="3">
        <f>'Model Query'!D38/1000000</f>
        <v>47372</v>
      </c>
      <c r="H100" s="3">
        <f>'Model Query'!E39/1000000</f>
        <v>34625</v>
      </c>
      <c r="I100" s="2"/>
      <c r="J100" s="2"/>
    </row>
    <row r="101" spans="2:10" ht="15.75" hidden="1" outlineLevel="1" x14ac:dyDescent="0.3">
      <c r="B101" s="28"/>
      <c r="C101" s="28"/>
      <c r="D101" s="28"/>
      <c r="E101" s="28"/>
      <c r="F101" s="38"/>
      <c r="G101" s="28"/>
      <c r="H101" s="28"/>
      <c r="I101" s="3"/>
      <c r="J101" s="3"/>
    </row>
    <row r="102" spans="2:10" ht="15.75" hidden="1" outlineLevel="1" x14ac:dyDescent="0.3">
      <c r="B102" s="23" t="s">
        <v>2452</v>
      </c>
      <c r="C102" s="28"/>
      <c r="D102" s="28"/>
      <c r="E102" s="28"/>
      <c r="F102" s="38"/>
      <c r="G102" s="28"/>
      <c r="H102" s="28"/>
      <c r="I102" s="3"/>
      <c r="J102" s="3"/>
    </row>
    <row r="103" spans="2:10" ht="15.75" hidden="1" outlineLevel="1" x14ac:dyDescent="0.3">
      <c r="B103" s="12" t="s">
        <v>2485</v>
      </c>
      <c r="C103" s="28"/>
      <c r="D103" s="28"/>
      <c r="E103" s="28"/>
      <c r="F103" s="38"/>
      <c r="G103" s="2">
        <f>(-'Model Query'!D41+'Model Query'!D43)/1000000</f>
        <v>-2118</v>
      </c>
      <c r="H103" s="2">
        <f>(-'Model Query'!E40+'Model Query'!E42)/1000000</f>
        <v>7996</v>
      </c>
    </row>
    <row r="104" spans="2:10" ht="15.75" hidden="1" outlineLevel="1" x14ac:dyDescent="0.3">
      <c r="B104" s="12" t="s">
        <v>2486</v>
      </c>
      <c r="C104" s="28"/>
      <c r="D104" s="28"/>
      <c r="E104" s="28"/>
      <c r="F104" s="38"/>
      <c r="G104" s="2">
        <f>(-'Model Query'!D44+'Model Query'!D47)/1000000</f>
        <v>-75</v>
      </c>
      <c r="H104" s="2">
        <f>(-'Model Query'!E45+'Model Query'!E46)/1000000</f>
        <v>-1039</v>
      </c>
    </row>
    <row r="105" spans="2:10" hidden="1" outlineLevel="1" x14ac:dyDescent="0.3">
      <c r="B105" s="12" t="s">
        <v>2519</v>
      </c>
      <c r="G105" s="2">
        <f>(-'Model Query'!D48-'Model Query'!D51)/1000000</f>
        <v>-45033</v>
      </c>
      <c r="H105" s="2">
        <f>(-'Model Query'!E49-'Model Query'!E50)/1000000</f>
        <v>-40077</v>
      </c>
      <c r="I105" s="2"/>
      <c r="J105" s="2"/>
    </row>
    <row r="106" spans="2:10" hidden="1" outlineLevel="1" x14ac:dyDescent="0.3">
      <c r="B106" s="12" t="s">
        <v>2520</v>
      </c>
      <c r="G106" s="2">
        <f>'Model Query'!D53/1000000</f>
        <v>981</v>
      </c>
      <c r="H106" s="2">
        <f>'Model Query'!E52/1000000</f>
        <v>872</v>
      </c>
      <c r="I106" s="2"/>
      <c r="J106" s="2"/>
    </row>
    <row r="107" spans="2:10" hidden="1" outlineLevel="1" x14ac:dyDescent="0.3">
      <c r="B107" s="12" t="s">
        <v>2484</v>
      </c>
      <c r="G107" s="26">
        <f>'Model Query'!D54/1000000</f>
        <v>0</v>
      </c>
      <c r="H107" s="26">
        <f>'Model Query'!E55/1000000</f>
        <v>72</v>
      </c>
      <c r="I107" s="2"/>
      <c r="J107" s="2"/>
    </row>
    <row r="108" spans="2:10" hidden="1" outlineLevel="1" x14ac:dyDescent="0.3">
      <c r="B108" s="23" t="s">
        <v>1922</v>
      </c>
      <c r="G108" s="3">
        <f>'Model Query'!D56/1000000</f>
        <v>-46245</v>
      </c>
      <c r="H108" s="3">
        <f>'Model Query'!E57/1000000</f>
        <v>-32176</v>
      </c>
      <c r="I108" s="2"/>
      <c r="J108" s="2"/>
    </row>
    <row r="109" spans="2:10" hidden="1" outlineLevel="1" x14ac:dyDescent="0.3">
      <c r="I109" s="2"/>
      <c r="J109" s="2"/>
    </row>
    <row r="110" spans="2:10" hidden="1" outlineLevel="1" x14ac:dyDescent="0.3">
      <c r="B110" s="23" t="s">
        <v>2453</v>
      </c>
      <c r="I110" s="2"/>
      <c r="J110" s="2"/>
    </row>
    <row r="111" spans="2:10" hidden="1" outlineLevel="1" x14ac:dyDescent="0.3">
      <c r="B111" s="12" t="s">
        <v>2488</v>
      </c>
      <c r="G111" s="2">
        <f>('Model Query'!D61+'Model Query'!D63)/1000000</f>
        <v>6056</v>
      </c>
      <c r="H111" s="2">
        <f>('Model Query'!E60+'Model Query'!E62)/1000000</f>
        <v>10423</v>
      </c>
      <c r="I111" s="2"/>
      <c r="J111" s="2"/>
    </row>
    <row r="112" spans="2:10" hidden="1" outlineLevel="1" x14ac:dyDescent="0.3">
      <c r="B112" s="12" t="s">
        <v>2489</v>
      </c>
      <c r="G112" s="2">
        <f>(-'Model Query'!D66-'Model Query'!D69-'Model Query'!D71)/1000000</f>
        <v>-9851</v>
      </c>
      <c r="H112" s="2">
        <f>(-'Model Query'!E67-'Model Query'!E68-'Model Query'!E70)/1000000</f>
        <v>-9471</v>
      </c>
      <c r="I112" s="3"/>
      <c r="J112" s="3"/>
    </row>
    <row r="113" spans="2:12" hidden="1" outlineLevel="1" x14ac:dyDescent="0.3">
      <c r="B113" s="12" t="s">
        <v>2490</v>
      </c>
      <c r="G113" s="2">
        <f>-'Model Query'!D65/1000000</f>
        <v>-190</v>
      </c>
      <c r="H113" s="2">
        <f>-'Model Query'!E64/1000000</f>
        <v>-219</v>
      </c>
      <c r="I113" s="3"/>
      <c r="J113" s="3"/>
    </row>
    <row r="114" spans="2:12" hidden="1" outlineLevel="1" x14ac:dyDescent="0.3">
      <c r="B114" s="12" t="s">
        <v>2491</v>
      </c>
      <c r="G114" s="26">
        <f>('Model Query'!D73+'Model Query'!D75)/1000000</f>
        <v>9901</v>
      </c>
      <c r="H114" s="26">
        <f>('Model Query'!E72+'Model Query'!E74)/1000000</f>
        <v>995</v>
      </c>
    </row>
    <row r="115" spans="2:12" ht="15.75" hidden="1" outlineLevel="1" x14ac:dyDescent="0.3">
      <c r="B115" s="23" t="s">
        <v>1962</v>
      </c>
      <c r="C115" s="28"/>
      <c r="D115" s="28"/>
      <c r="E115" s="28"/>
      <c r="F115" s="38"/>
      <c r="G115" s="3">
        <f>'Model Query'!D76/1000000</f>
        <v>5916</v>
      </c>
      <c r="H115" s="3">
        <f>'Model Query'!E77/1000000</f>
        <v>1728</v>
      </c>
    </row>
    <row r="116" spans="2:12" hidden="1" outlineLevel="1" x14ac:dyDescent="0.3">
      <c r="G116" s="2"/>
      <c r="H116" s="2"/>
      <c r="I116" s="2"/>
      <c r="J116" s="2"/>
    </row>
    <row r="117" spans="2:12" hidden="1" outlineLevel="1" x14ac:dyDescent="0.3">
      <c r="B117" s="23" t="s">
        <v>2455</v>
      </c>
      <c r="G117" s="3">
        <f>'Model Query'!C80/1000000</f>
        <v>47861</v>
      </c>
      <c r="H117" s="3">
        <f>G120</f>
        <v>56373</v>
      </c>
      <c r="I117" s="2"/>
      <c r="J117" s="2"/>
    </row>
    <row r="118" spans="2:12" ht="15.75" hidden="1" outlineLevel="1" x14ac:dyDescent="0.3">
      <c r="B118" s="12" t="s">
        <v>2492</v>
      </c>
      <c r="C118" s="28"/>
      <c r="D118" s="28"/>
      <c r="E118" s="28"/>
      <c r="F118" s="38"/>
      <c r="G118" s="2">
        <f>G100+G108+G115</f>
        <v>7043</v>
      </c>
      <c r="H118" s="2">
        <f>H100+H108+H115</f>
        <v>4177</v>
      </c>
      <c r="I118" s="2"/>
      <c r="J118" s="2"/>
    </row>
    <row r="119" spans="2:12" ht="15.75" hidden="1" outlineLevel="1" x14ac:dyDescent="0.3">
      <c r="B119" s="12" t="s">
        <v>2493</v>
      </c>
      <c r="C119" s="28"/>
      <c r="D119" s="28"/>
      <c r="E119" s="28"/>
      <c r="F119" s="38"/>
      <c r="G119" s="26">
        <f>'Model Query'!D82/1000000</f>
        <v>1469</v>
      </c>
      <c r="H119" s="26">
        <f>'Model Query'!E83/1000000</f>
        <v>-2986</v>
      </c>
      <c r="I119" s="2"/>
      <c r="J119" s="2"/>
    </row>
    <row r="120" spans="2:12" hidden="1" outlineLevel="1" x14ac:dyDescent="0.3">
      <c r="B120" s="23" t="s">
        <v>2454</v>
      </c>
      <c r="G120" s="3">
        <f>'Model Query'!D85/1000000</f>
        <v>56373</v>
      </c>
      <c r="H120" s="3">
        <f>'Model Query'!E84/1000000</f>
        <v>57564</v>
      </c>
      <c r="I120" s="2"/>
      <c r="J120" s="2"/>
      <c r="K120" s="14"/>
    </row>
    <row r="121" spans="2:12" hidden="1" outlineLevel="1" x14ac:dyDescent="0.3">
      <c r="G121" s="2"/>
      <c r="H121" s="2"/>
      <c r="I121" s="2"/>
      <c r="J121" s="2"/>
    </row>
    <row r="122" spans="2:12" collapsed="1" x14ac:dyDescent="0.3">
      <c r="G122" s="2"/>
      <c r="H122" s="2"/>
    </row>
    <row r="123" spans="2:12" s="28" customFormat="1" ht="22.5" x14ac:dyDescent="0.4">
      <c r="B123" s="24" t="s">
        <v>2544</v>
      </c>
      <c r="C123" s="11"/>
      <c r="D123" s="11"/>
      <c r="E123" s="11"/>
      <c r="F123" s="29"/>
      <c r="G123" s="11"/>
      <c r="H123" s="11"/>
    </row>
    <row r="124" spans="2:12" s="28" customFormat="1" hidden="1" outlineLevel="1" x14ac:dyDescent="0.25"/>
    <row r="125" spans="2:12" s="28" customFormat="1" ht="15.75" hidden="1" outlineLevel="1" x14ac:dyDescent="0.3">
      <c r="B125" s="31" t="s">
        <v>2501</v>
      </c>
      <c r="C125" s="39"/>
      <c r="D125" s="27">
        <v>2021</v>
      </c>
      <c r="E125" s="27">
        <v>2022</v>
      </c>
      <c r="F125" s="27">
        <v>2023</v>
      </c>
      <c r="G125" s="27">
        <v>2024</v>
      </c>
      <c r="H125" s="27">
        <v>2025</v>
      </c>
      <c r="I125" s="12"/>
      <c r="J125" s="12"/>
      <c r="K125" s="12"/>
      <c r="L125" s="12"/>
    </row>
    <row r="126" spans="2:12" s="28" customFormat="1" ht="15.75" hidden="1" outlineLevel="1" x14ac:dyDescent="0.3">
      <c r="B126" s="12" t="s">
        <v>2526</v>
      </c>
      <c r="C126" s="12"/>
      <c r="D126" s="2">
        <v>698693</v>
      </c>
      <c r="E126" s="2">
        <v>615121</v>
      </c>
      <c r="F126" s="2">
        <v>708716</v>
      </c>
      <c r="G126" s="2">
        <v>763389</v>
      </c>
      <c r="H126" s="2">
        <v>710042</v>
      </c>
      <c r="I126" s="12"/>
      <c r="J126" s="12"/>
      <c r="K126" s="12"/>
      <c r="L126" s="12"/>
    </row>
    <row r="127" spans="2:12" s="28" customFormat="1" ht="15.75" hidden="1" outlineLevel="1" x14ac:dyDescent="0.3">
      <c r="B127" s="12" t="s">
        <v>2527</v>
      </c>
      <c r="C127" s="12"/>
      <c r="D127" s="2">
        <v>282045</v>
      </c>
      <c r="E127" s="2">
        <v>330145</v>
      </c>
      <c r="F127" s="2">
        <v>399343</v>
      </c>
      <c r="G127" s="2">
        <v>400234</v>
      </c>
      <c r="H127" s="2">
        <v>357263</v>
      </c>
      <c r="I127" s="12"/>
      <c r="J127" s="12"/>
      <c r="K127" s="12"/>
      <c r="L127" s="12"/>
    </row>
    <row r="128" spans="2:12" s="28" customFormat="1" ht="15.75" hidden="1" outlineLevel="1" x14ac:dyDescent="0.3">
      <c r="B128" s="12" t="s">
        <v>2528</v>
      </c>
      <c r="C128" s="12"/>
      <c r="D128" s="2">
        <v>-12714</v>
      </c>
      <c r="E128" s="2">
        <v>-11514</v>
      </c>
      <c r="F128" s="2">
        <v>-12884</v>
      </c>
      <c r="G128" s="2">
        <v>-16983</v>
      </c>
      <c r="H128" s="2">
        <v>-26067</v>
      </c>
      <c r="I128" s="12"/>
      <c r="J128" s="12"/>
      <c r="K128" s="12"/>
      <c r="L128" s="12"/>
    </row>
    <row r="129" spans="2:12" s="28" customFormat="1" ht="15.75" hidden="1" outlineLevel="1" x14ac:dyDescent="0.3">
      <c r="B129" s="12" t="s">
        <v>2529</v>
      </c>
      <c r="C129" s="12"/>
      <c r="D129" s="2">
        <v>20275</v>
      </c>
      <c r="E129" s="2">
        <v>22332</v>
      </c>
      <c r="F129" s="2">
        <v>19939</v>
      </c>
      <c r="G129" s="2">
        <v>22318</v>
      </c>
      <c r="H129" s="2">
        <v>303</v>
      </c>
      <c r="I129" s="12"/>
      <c r="J129" s="12"/>
      <c r="K129" s="12"/>
      <c r="L129" s="12"/>
    </row>
    <row r="130" spans="2:12" s="28" customFormat="1" ht="15.75" hidden="1" outlineLevel="1" x14ac:dyDescent="0.3">
      <c r="B130" s="12" t="s">
        <v>2530</v>
      </c>
      <c r="C130" s="12"/>
      <c r="D130" s="2">
        <v>21226</v>
      </c>
      <c r="E130" s="2">
        <v>17889</v>
      </c>
      <c r="F130" s="2">
        <v>25567</v>
      </c>
      <c r="G130" s="2">
        <v>27040</v>
      </c>
      <c r="H130" s="2">
        <v>-351</v>
      </c>
      <c r="I130" s="12"/>
      <c r="J130" s="12"/>
      <c r="K130" s="12"/>
      <c r="L130" s="12"/>
    </row>
    <row r="131" spans="2:12" s="28" customFormat="1" ht="15.75" hidden="1" outlineLevel="1" x14ac:dyDescent="0.3">
      <c r="B131" s="12" t="s">
        <v>2531</v>
      </c>
      <c r="C131" s="12"/>
      <c r="D131" s="2">
        <v>16995</v>
      </c>
      <c r="E131" s="2">
        <v>16433</v>
      </c>
      <c r="F131" s="2">
        <v>20563</v>
      </c>
      <c r="G131" s="2">
        <v>24020</v>
      </c>
      <c r="H131" s="2">
        <v>12556</v>
      </c>
      <c r="I131" s="12"/>
      <c r="J131" s="12"/>
      <c r="K131" s="12"/>
      <c r="L131" s="12"/>
    </row>
    <row r="132" spans="2:12" s="28" customFormat="1" ht="15.75" hidden="1" outlineLevel="1" x14ac:dyDescent="0.3">
      <c r="B132" s="12" t="s">
        <v>2532</v>
      </c>
      <c r="C132" s="12"/>
      <c r="D132" s="2">
        <v>14177</v>
      </c>
      <c r="E132" s="2">
        <v>17003</v>
      </c>
      <c r="F132" s="2">
        <v>14066</v>
      </c>
      <c r="G132" s="2">
        <v>15934</v>
      </c>
      <c r="H132" s="2">
        <v>-2968</v>
      </c>
      <c r="I132" s="12"/>
      <c r="J132" s="12"/>
      <c r="K132" s="12"/>
      <c r="L132" s="12"/>
    </row>
    <row r="133" spans="2:12" s="28" customFormat="1" ht="15.75" hidden="1" outlineLevel="1" x14ac:dyDescent="0.3">
      <c r="B133" s="12" t="s">
        <v>2533</v>
      </c>
      <c r="C133" s="12"/>
      <c r="D133" s="1">
        <v>4.72</v>
      </c>
      <c r="E133" s="1">
        <v>5.23</v>
      </c>
      <c r="F133" s="1">
        <v>4.38</v>
      </c>
      <c r="G133" s="1">
        <v>5.17</v>
      </c>
      <c r="H133" s="1">
        <v>0.06</v>
      </c>
      <c r="I133" s="12"/>
      <c r="J133" s="12"/>
      <c r="K133" s="12"/>
      <c r="L133" s="12"/>
    </row>
    <row r="134" spans="2:12" s="28" customFormat="1" ht="15.75" hidden="1" outlineLevel="1" x14ac:dyDescent="0.3">
      <c r="B134" s="12" t="s">
        <v>2525</v>
      </c>
      <c r="C134" s="12"/>
      <c r="D134" s="2">
        <v>35280</v>
      </c>
      <c r="E134" s="2">
        <v>38423</v>
      </c>
      <c r="F134" s="2">
        <v>37386</v>
      </c>
      <c r="G134" s="2">
        <v>45048</v>
      </c>
      <c r="H134" s="2">
        <v>35679</v>
      </c>
      <c r="I134" s="12"/>
      <c r="J134" s="12"/>
      <c r="K134" s="12"/>
      <c r="L134" s="12"/>
    </row>
    <row r="135" spans="2:12" s="28" customFormat="1" ht="15.75" hidden="1" outlineLevel="1" x14ac:dyDescent="0.3">
      <c r="B135" s="12" t="s">
        <v>2534</v>
      </c>
      <c r="C135" s="12"/>
      <c r="D135" s="2">
        <v>29852</v>
      </c>
      <c r="E135" s="2">
        <v>33599</v>
      </c>
      <c r="F135" s="2">
        <v>42867</v>
      </c>
      <c r="G135" s="2">
        <v>47372</v>
      </c>
      <c r="H135" s="2">
        <v>34625</v>
      </c>
      <c r="I135" s="12"/>
      <c r="J135" s="12"/>
      <c r="K135" s="12"/>
      <c r="L135" s="12"/>
    </row>
    <row r="136" spans="2:12" s="28" customFormat="1" ht="15.75" hidden="1" outlineLevel="1" x14ac:dyDescent="0.3">
      <c r="B136" s="12" t="s">
        <v>2535</v>
      </c>
      <c r="C136" s="12"/>
      <c r="D136" s="2">
        <v>-34737</v>
      </c>
      <c r="E136" s="2">
        <v>-39658</v>
      </c>
      <c r="F136" s="2">
        <v>-51842</v>
      </c>
      <c r="G136" s="2">
        <v>-46245</v>
      </c>
      <c r="H136" s="2">
        <v>-32176</v>
      </c>
      <c r="I136" s="12"/>
      <c r="J136" s="12"/>
      <c r="K136" s="12"/>
      <c r="L136" s="12"/>
    </row>
    <row r="137" spans="2:12" s="28" customFormat="1" ht="15.75" hidden="1" outlineLevel="1" x14ac:dyDescent="0.3">
      <c r="B137" s="12" t="s">
        <v>2536</v>
      </c>
      <c r="C137" s="12"/>
      <c r="D137" s="2">
        <v>44846</v>
      </c>
      <c r="E137" s="2">
        <v>38061</v>
      </c>
      <c r="F137" s="2">
        <v>27487</v>
      </c>
      <c r="G137" s="2">
        <v>27115</v>
      </c>
      <c r="H137" s="2">
        <v>26871</v>
      </c>
      <c r="I137" s="12"/>
      <c r="J137" s="12"/>
      <c r="K137" s="12"/>
      <c r="L137" s="12"/>
    </row>
    <row r="138" spans="2:12" s="28" customFormat="1" ht="15.75" hidden="1" outlineLevel="1" x14ac:dyDescent="0.3">
      <c r="B138" s="12" t="s">
        <v>2537</v>
      </c>
      <c r="C138" s="12"/>
      <c r="D138" s="1">
        <v>21.6</v>
      </c>
      <c r="E138" s="1">
        <v>18.3</v>
      </c>
      <c r="F138" s="1">
        <v>19.399999999999999</v>
      </c>
      <c r="G138" s="1">
        <v>19.8</v>
      </c>
      <c r="H138" s="1">
        <v>16.899999999999999</v>
      </c>
      <c r="I138" s="12"/>
      <c r="J138" s="12"/>
      <c r="K138" s="12"/>
      <c r="L138" s="12"/>
    </row>
    <row r="139" spans="2:12" s="28" customFormat="1" ht="15.75" hidden="1" outlineLevel="1" x14ac:dyDescent="0.3">
      <c r="B139" s="12" t="s">
        <v>2538</v>
      </c>
      <c r="C139" s="12"/>
      <c r="D139" s="1">
        <v>7.2</v>
      </c>
      <c r="E139" s="1">
        <v>6.8</v>
      </c>
      <c r="F139" s="1">
        <v>5</v>
      </c>
      <c r="G139" s="1">
        <v>5.6</v>
      </c>
      <c r="H139" s="1">
        <v>0.1</v>
      </c>
      <c r="I139" s="12"/>
      <c r="J139" s="12"/>
      <c r="K139" s="12"/>
      <c r="L139" s="12"/>
    </row>
    <row r="140" spans="2:12" s="28" customFormat="1" ht="15.75" hidden="1" outlineLevel="1" x14ac:dyDescent="0.3">
      <c r="B140" s="12" t="s">
        <v>2539</v>
      </c>
      <c r="C140" s="12"/>
      <c r="D140" s="1">
        <v>7.5</v>
      </c>
      <c r="E140" s="1">
        <v>5.4</v>
      </c>
      <c r="F140" s="1">
        <v>6.4</v>
      </c>
      <c r="G140" s="1">
        <v>6.8</v>
      </c>
      <c r="H140" s="1">
        <v>-0.1</v>
      </c>
      <c r="I140" s="12"/>
      <c r="J140" s="12"/>
      <c r="K140" s="12"/>
      <c r="L140" s="12"/>
    </row>
    <row r="141" spans="2:12" s="28" customFormat="1" ht="15.75" hidden="1" outlineLevel="1" x14ac:dyDescent="0.3">
      <c r="B141" s="12" t="s">
        <v>2540</v>
      </c>
      <c r="C141" s="12"/>
      <c r="D141" s="1">
        <v>6</v>
      </c>
      <c r="E141" s="1">
        <v>5</v>
      </c>
      <c r="F141" s="1">
        <v>5.0999999999999996</v>
      </c>
      <c r="G141" s="1">
        <v>6</v>
      </c>
      <c r="H141" s="1">
        <v>3.5</v>
      </c>
      <c r="I141" s="12"/>
      <c r="J141" s="12"/>
      <c r="K141" s="12"/>
      <c r="L141" s="12"/>
    </row>
    <row r="142" spans="2:12" s="28" customFormat="1" ht="15.75" hidden="1" outlineLevel="1" x14ac:dyDescent="0.3">
      <c r="B142" s="12" t="s">
        <v>2541</v>
      </c>
      <c r="C142" s="12"/>
      <c r="D142" s="1">
        <v>12.5</v>
      </c>
      <c r="E142" s="1">
        <v>11.6</v>
      </c>
      <c r="F142" s="1">
        <v>9.4</v>
      </c>
      <c r="G142" s="1">
        <v>11.3</v>
      </c>
      <c r="H142" s="1">
        <v>10</v>
      </c>
      <c r="I142" s="12"/>
      <c r="J142" s="12"/>
      <c r="K142" s="12"/>
      <c r="L142" s="12"/>
    </row>
    <row r="143" spans="2:12" s="28" customFormat="1" ht="15.75" hidden="1" outlineLevel="1" x14ac:dyDescent="0.3">
      <c r="B143" s="12" t="s">
        <v>2542</v>
      </c>
      <c r="C143" s="12"/>
      <c r="D143" s="1">
        <v>33.4</v>
      </c>
      <c r="E143" s="1">
        <v>35.4</v>
      </c>
      <c r="F143" s="1">
        <v>36.6</v>
      </c>
      <c r="G143" s="1">
        <v>36.6</v>
      </c>
      <c r="H143" s="1">
        <v>39.799999999999997</v>
      </c>
      <c r="I143" s="12"/>
      <c r="J143" s="12"/>
      <c r="K143" s="12"/>
      <c r="L143" s="12"/>
    </row>
    <row r="144" spans="2:12" s="28" customFormat="1" ht="15.75" hidden="1" outlineLevel="1" x14ac:dyDescent="0.3">
      <c r="B144" s="12" t="s">
        <v>2543</v>
      </c>
      <c r="C144" s="12"/>
      <c r="D144" s="1">
        <v>18.600000000000001</v>
      </c>
      <c r="E144" s="1">
        <v>16.7</v>
      </c>
      <c r="F144" s="1">
        <v>12.4</v>
      </c>
      <c r="G144" s="1">
        <v>12</v>
      </c>
      <c r="H144" s="1">
        <v>0.2</v>
      </c>
      <c r="I144" s="12"/>
      <c r="J144" s="12"/>
      <c r="K144" s="12"/>
      <c r="L144" s="12"/>
    </row>
    <row r="145" spans="1:9" hidden="1" outlineLevel="1" x14ac:dyDescent="0.3"/>
    <row r="146" spans="1:9" collapsed="1" x14ac:dyDescent="0.3"/>
    <row r="147" spans="1:9" ht="22.5" x14ac:dyDescent="0.4">
      <c r="B147" s="24" t="s">
        <v>2547</v>
      </c>
      <c r="C147" s="11"/>
      <c r="D147" s="11"/>
      <c r="E147" s="11"/>
      <c r="F147" s="29"/>
      <c r="G147" s="11"/>
      <c r="H147" s="11"/>
    </row>
    <row r="148" spans="1:9" hidden="1" outlineLevel="1" x14ac:dyDescent="0.3"/>
    <row r="149" spans="1:9" hidden="1" outlineLevel="1" x14ac:dyDescent="0.3">
      <c r="B149" s="31" t="s">
        <v>2501</v>
      </c>
      <c r="C149" s="39"/>
      <c r="D149" s="27">
        <v>2021</v>
      </c>
      <c r="E149" s="27">
        <v>2022</v>
      </c>
      <c r="F149" s="27">
        <v>2023</v>
      </c>
      <c r="G149" s="27">
        <v>2024</v>
      </c>
      <c r="H149" s="27">
        <v>2025</v>
      </c>
    </row>
    <row r="150" spans="1:9" hidden="1" outlineLevel="1" x14ac:dyDescent="0.3">
      <c r="B150" s="40"/>
      <c r="F150" s="12"/>
      <c r="I150" s="1"/>
    </row>
    <row r="151" spans="1:9" ht="15.75" hidden="1" outlineLevel="1" x14ac:dyDescent="0.3">
      <c r="B151" s="41" t="s">
        <v>2548</v>
      </c>
      <c r="F151" s="12"/>
      <c r="I151" s="1"/>
    </row>
    <row r="152" spans="1:9" hidden="1" outlineLevel="1" x14ac:dyDescent="0.3">
      <c r="B152" s="40" t="s">
        <v>2545</v>
      </c>
      <c r="F152" s="1">
        <v>732.3</v>
      </c>
      <c r="G152" s="1">
        <v>782.6</v>
      </c>
      <c r="H152" s="1">
        <v>693</v>
      </c>
      <c r="I152" s="1"/>
    </row>
    <row r="153" spans="1:9" hidden="1" outlineLevel="1" x14ac:dyDescent="0.3">
      <c r="B153" s="40" t="s">
        <v>2546</v>
      </c>
      <c r="F153" s="1">
        <v>766.7</v>
      </c>
      <c r="G153" s="1">
        <v>760.4</v>
      </c>
      <c r="H153" s="1">
        <v>694.2</v>
      </c>
      <c r="I153" s="1"/>
    </row>
    <row r="154" spans="1:9" hidden="1" outlineLevel="1" x14ac:dyDescent="0.3">
      <c r="B154" s="40"/>
      <c r="F154" s="1"/>
      <c r="G154" s="1"/>
      <c r="H154" s="1"/>
      <c r="I154" s="1"/>
    </row>
    <row r="155" spans="1:9" hidden="1" outlineLevel="1" x14ac:dyDescent="0.3">
      <c r="B155" s="23" t="s">
        <v>2549</v>
      </c>
    </row>
    <row r="156" spans="1:9" hidden="1" outlineLevel="1" x14ac:dyDescent="0.3">
      <c r="B156" s="40" t="s">
        <v>2550</v>
      </c>
      <c r="F156" s="1">
        <v>0.38</v>
      </c>
      <c r="G156" s="1">
        <v>0.46</v>
      </c>
      <c r="H156" s="1">
        <v>0.46</v>
      </c>
    </row>
    <row r="157" spans="1:9" hidden="1" outlineLevel="1" x14ac:dyDescent="0.3">
      <c r="B157" s="40" t="s">
        <v>2551</v>
      </c>
      <c r="E157" s="1"/>
      <c r="F157" s="1">
        <v>0.16</v>
      </c>
      <c r="G157" s="1">
        <v>0.23</v>
      </c>
      <c r="H157" s="1">
        <v>0.21</v>
      </c>
    </row>
    <row r="158" spans="1:9" hidden="1" outlineLevel="1" x14ac:dyDescent="0.3">
      <c r="E158" s="1"/>
      <c r="F158" s="12"/>
    </row>
    <row r="159" spans="1:9" hidden="1" outlineLevel="1" x14ac:dyDescent="0.3">
      <c r="A159" s="40"/>
      <c r="B159" s="42" t="s">
        <v>2552</v>
      </c>
      <c r="E159" s="1"/>
      <c r="F159" s="1"/>
      <c r="G159" s="1"/>
      <c r="H159" s="1"/>
    </row>
    <row r="160" spans="1:9" hidden="1" outlineLevel="1" x14ac:dyDescent="0.3">
      <c r="A160" s="40"/>
      <c r="B160" s="40" t="s">
        <v>2553</v>
      </c>
      <c r="E160" s="1"/>
      <c r="F160" s="1">
        <v>294.8</v>
      </c>
      <c r="G160" s="1">
        <v>369.7</v>
      </c>
      <c r="H160" s="1">
        <v>332.7</v>
      </c>
    </row>
    <row r="161" spans="1:8" hidden="1" outlineLevel="1" x14ac:dyDescent="0.3">
      <c r="A161" s="40"/>
      <c r="B161" s="40" t="s">
        <v>2554</v>
      </c>
      <c r="D161" s="43"/>
      <c r="E161" s="43"/>
      <c r="F161" s="1">
        <v>170.1</v>
      </c>
      <c r="G161" s="1">
        <v>156.4</v>
      </c>
      <c r="H161" s="1">
        <v>149.5</v>
      </c>
    </row>
    <row r="162" spans="1:8" hidden="1" outlineLevel="1" x14ac:dyDescent="0.3">
      <c r="A162" s="40"/>
      <c r="B162" s="40" t="s">
        <v>2555</v>
      </c>
      <c r="F162" s="1">
        <v>128.69999999999999</v>
      </c>
      <c r="G162" s="1">
        <v>125.2</v>
      </c>
      <c r="H162" s="1">
        <v>121.6</v>
      </c>
    </row>
    <row r="163" spans="1:8" hidden="1" outlineLevel="1" x14ac:dyDescent="0.3">
      <c r="A163" s="40"/>
      <c r="B163" s="40" t="s">
        <v>1975</v>
      </c>
      <c r="F163" s="1">
        <v>115.1</v>
      </c>
      <c r="G163" s="1">
        <v>112.1</v>
      </c>
      <c r="H163" s="1">
        <v>106.2</v>
      </c>
    </row>
    <row r="164" spans="1:8" hidden="1" outlineLevel="1" x14ac:dyDescent="0.3">
      <c r="A164" s="40"/>
      <c r="B164" s="40" t="s">
        <v>2556</v>
      </c>
      <c r="F164" s="44">
        <v>708.7</v>
      </c>
      <c r="G164" s="44">
        <v>763.4</v>
      </c>
      <c r="H164" s="44">
        <v>710</v>
      </c>
    </row>
    <row r="165" spans="1:8" hidden="1" outlineLevel="1" x14ac:dyDescent="0.3">
      <c r="A165" s="40"/>
      <c r="B165" s="40"/>
    </row>
    <row r="166" spans="1:8" collapsed="1" x14ac:dyDescent="0.3"/>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FEF49-110C-4D52-B6C6-6147B1E34F59}">
  <sheetPr>
    <tabColor rgb="FFF9F4EA"/>
  </sheetPr>
  <dimension ref="A1:M1629"/>
  <sheetViews>
    <sheetView showGridLines="0" workbookViewId="0">
      <pane ySplit="1" topLeftCell="A2" activePane="bottomLeft" state="frozen"/>
      <selection pane="bottomLeft"/>
    </sheetView>
  </sheetViews>
  <sheetFormatPr defaultRowHeight="15" outlineLevelRow="1" x14ac:dyDescent="0.25"/>
  <cols>
    <col min="1" max="1" width="7.28515625" customWidth="1"/>
    <col min="2" max="2" width="81.140625" bestFit="1" customWidth="1"/>
    <col min="3" max="3" width="18.7109375" customWidth="1"/>
    <col min="4" max="4" width="18.42578125" customWidth="1"/>
    <col min="5" max="5" width="16.140625" bestFit="1" customWidth="1"/>
    <col min="7" max="7" width="12" bestFit="1" customWidth="1"/>
    <col min="11" max="11" width="4.5703125" customWidth="1"/>
    <col min="12" max="12" width="85.85546875" bestFit="1" customWidth="1"/>
    <col min="13" max="14" width="9.42578125" bestFit="1" customWidth="1"/>
  </cols>
  <sheetData>
    <row r="1" spans="2:5" ht="57" customHeight="1" x14ac:dyDescent="0.25">
      <c r="B1" s="9"/>
      <c r="C1" s="9"/>
      <c r="D1" s="9"/>
      <c r="E1" s="63" t="s">
        <v>2641</v>
      </c>
    </row>
    <row r="3" spans="2:5" ht="21" x14ac:dyDescent="0.4">
      <c r="B3" s="22" t="s">
        <v>2494</v>
      </c>
      <c r="C3" s="9"/>
      <c r="D3" s="9"/>
      <c r="E3" s="9"/>
    </row>
    <row r="4" spans="2:5" hidden="1" outlineLevel="1" x14ac:dyDescent="0.25"/>
    <row r="5" spans="2:5" ht="15.75" hidden="1" outlineLevel="1" x14ac:dyDescent="0.3">
      <c r="B5" s="17" t="s">
        <v>2440</v>
      </c>
      <c r="C5" s="17" t="s">
        <v>2439</v>
      </c>
      <c r="D5" s="17" t="s">
        <v>2437</v>
      </c>
      <c r="E5" s="17" t="s">
        <v>2438</v>
      </c>
    </row>
    <row r="6" spans="2:5" ht="15.75" hidden="1" outlineLevel="1" x14ac:dyDescent="0.3">
      <c r="B6" s="12" t="s">
        <v>1404</v>
      </c>
      <c r="D6" s="2">
        <v>22318000000</v>
      </c>
    </row>
    <row r="7" spans="2:5" ht="15.75" hidden="1" outlineLevel="1" x14ac:dyDescent="0.3">
      <c r="B7" s="12" t="s">
        <v>1404</v>
      </c>
      <c r="C7" s="2"/>
      <c r="D7" s="2"/>
      <c r="E7" s="2">
        <v>303000000</v>
      </c>
    </row>
    <row r="8" spans="2:5" ht="15.75" hidden="1" outlineLevel="1" x14ac:dyDescent="0.3">
      <c r="B8" s="12" t="s">
        <v>1826</v>
      </c>
      <c r="C8" s="2"/>
      <c r="D8" s="2">
        <v>22730000000</v>
      </c>
      <c r="E8" s="2"/>
    </row>
    <row r="9" spans="2:5" ht="15.75" hidden="1" outlineLevel="1" x14ac:dyDescent="0.3">
      <c r="B9" s="12" t="s">
        <v>1826</v>
      </c>
      <c r="C9" s="2"/>
      <c r="D9" s="2"/>
      <c r="E9" s="2">
        <v>23945000000</v>
      </c>
    </row>
    <row r="10" spans="2:5" ht="15.75" hidden="1" outlineLevel="1" x14ac:dyDescent="0.3">
      <c r="B10" s="12" t="s">
        <v>1830</v>
      </c>
      <c r="C10" s="2"/>
      <c r="D10" s="2">
        <v>213000000</v>
      </c>
      <c r="E10" s="2"/>
    </row>
    <row r="11" spans="2:5" ht="15.75" hidden="1" outlineLevel="1" x14ac:dyDescent="0.3">
      <c r="B11" s="12" t="s">
        <v>1830</v>
      </c>
      <c r="C11" s="2"/>
      <c r="D11" s="2"/>
      <c r="E11" s="2">
        <v>205000000</v>
      </c>
    </row>
    <row r="12" spans="2:5" ht="15.75" hidden="1" outlineLevel="1" x14ac:dyDescent="0.3">
      <c r="B12" s="12" t="s">
        <v>1834</v>
      </c>
      <c r="C12" s="2"/>
      <c r="D12" s="2">
        <v>2190000000</v>
      </c>
      <c r="E12" s="2"/>
    </row>
    <row r="13" spans="2:5" ht="15.75" hidden="1" outlineLevel="1" x14ac:dyDescent="0.3">
      <c r="B13" s="12" t="s">
        <v>1834</v>
      </c>
      <c r="C13" s="2"/>
      <c r="D13" s="2"/>
      <c r="E13" s="2">
        <v>1929000000</v>
      </c>
    </row>
    <row r="14" spans="2:5" ht="15.75" hidden="1" outlineLevel="1" x14ac:dyDescent="0.3">
      <c r="B14" s="12" t="s">
        <v>1838</v>
      </c>
      <c r="C14" s="2"/>
      <c r="D14" s="2"/>
      <c r="E14" s="2">
        <v>1538000000</v>
      </c>
    </row>
    <row r="15" spans="2:5" ht="15.75" hidden="1" outlineLevel="1" x14ac:dyDescent="0.3">
      <c r="B15" s="12" t="s">
        <v>1838</v>
      </c>
      <c r="C15" s="2"/>
      <c r="D15" s="2">
        <v>1623000000</v>
      </c>
      <c r="E15" s="2"/>
    </row>
    <row r="16" spans="2:5" ht="15.75" hidden="1" outlineLevel="1" x14ac:dyDescent="0.3">
      <c r="B16" s="12" t="s">
        <v>1842</v>
      </c>
      <c r="C16" s="2"/>
      <c r="D16" s="2"/>
      <c r="E16" s="2">
        <v>1963000000</v>
      </c>
    </row>
    <row r="17" spans="2:5" ht="15.75" hidden="1" outlineLevel="1" x14ac:dyDescent="0.3">
      <c r="B17" s="12" t="s">
        <v>1842</v>
      </c>
      <c r="C17" s="2"/>
      <c r="D17" s="2">
        <v>836000000</v>
      </c>
      <c r="E17" s="2"/>
    </row>
    <row r="18" spans="2:5" ht="15.75" hidden="1" outlineLevel="1" x14ac:dyDescent="0.3">
      <c r="B18" s="12" t="s">
        <v>1846</v>
      </c>
      <c r="C18" s="2"/>
      <c r="D18" s="2"/>
      <c r="E18" s="2">
        <v>3724000000</v>
      </c>
    </row>
    <row r="19" spans="2:5" ht="15.75" hidden="1" outlineLevel="1" x14ac:dyDescent="0.3">
      <c r="B19" s="12" t="s">
        <v>1846</v>
      </c>
      <c r="C19" s="2"/>
      <c r="D19" s="2">
        <v>4448000000</v>
      </c>
      <c r="E19" s="2"/>
    </row>
    <row r="20" spans="2:5" ht="15.75" hidden="1" outlineLevel="1" x14ac:dyDescent="0.3">
      <c r="B20" s="12" t="s">
        <v>1850</v>
      </c>
      <c r="C20" s="2"/>
      <c r="D20" s="2"/>
      <c r="E20" s="2">
        <v>6281000000</v>
      </c>
    </row>
    <row r="21" spans="2:5" ht="15.75" hidden="1" outlineLevel="1" x14ac:dyDescent="0.3">
      <c r="B21" s="12" t="s">
        <v>1850</v>
      </c>
      <c r="C21" s="2"/>
      <c r="D21" s="2">
        <v>2754000000</v>
      </c>
      <c r="E21" s="2"/>
    </row>
    <row r="22" spans="2:5" ht="15.75" hidden="1" outlineLevel="1" x14ac:dyDescent="0.3">
      <c r="B22" s="12" t="s">
        <v>1854</v>
      </c>
      <c r="C22" s="2"/>
      <c r="D22" s="2"/>
      <c r="E22" s="2">
        <v>25438000000</v>
      </c>
    </row>
    <row r="23" spans="2:5" ht="15.75" hidden="1" outlineLevel="1" x14ac:dyDescent="0.3">
      <c r="B23" s="12" t="s">
        <v>1854</v>
      </c>
      <c r="C23" s="2"/>
      <c r="D23" s="2">
        <v>43298000000</v>
      </c>
      <c r="E23" s="2"/>
    </row>
    <row r="24" spans="2:5" ht="15.75" hidden="1" outlineLevel="1" x14ac:dyDescent="0.3">
      <c r="B24" s="12" t="s">
        <v>1858</v>
      </c>
      <c r="C24" s="2"/>
      <c r="D24" s="2"/>
      <c r="E24" s="2">
        <v>2353000000</v>
      </c>
    </row>
    <row r="25" spans="2:5" ht="15.75" hidden="1" outlineLevel="1" x14ac:dyDescent="0.3">
      <c r="B25" s="12" t="s">
        <v>1858</v>
      </c>
      <c r="C25" s="2"/>
      <c r="D25" s="2">
        <v>-2757000000</v>
      </c>
      <c r="E25" s="2"/>
    </row>
    <row r="26" spans="2:5" ht="15.75" hidden="1" outlineLevel="1" x14ac:dyDescent="0.3">
      <c r="B26" s="12" t="s">
        <v>1862</v>
      </c>
      <c r="C26" s="2"/>
      <c r="D26" s="2">
        <v>-1386000000</v>
      </c>
      <c r="E26" s="2"/>
    </row>
    <row r="27" spans="2:5" ht="15.75" hidden="1" outlineLevel="1" x14ac:dyDescent="0.3">
      <c r="B27" s="12" t="s">
        <v>1862</v>
      </c>
      <c r="C27" s="2"/>
      <c r="D27" s="2"/>
      <c r="E27" s="2">
        <v>-84000000</v>
      </c>
    </row>
    <row r="28" spans="2:5" ht="15.75" hidden="1" outlineLevel="1" x14ac:dyDescent="0.3">
      <c r="B28" s="12" t="s">
        <v>1866</v>
      </c>
      <c r="C28" s="2"/>
      <c r="D28" s="2">
        <v>-7539000000</v>
      </c>
      <c r="E28" s="2"/>
    </row>
    <row r="29" spans="2:5" ht="15.75" hidden="1" outlineLevel="1" x14ac:dyDescent="0.3">
      <c r="B29" s="12" t="s">
        <v>1866</v>
      </c>
      <c r="C29" s="2"/>
      <c r="D29" s="2"/>
      <c r="E29" s="2">
        <v>7205000000</v>
      </c>
    </row>
    <row r="30" spans="2:5" ht="15.75" hidden="1" outlineLevel="1" x14ac:dyDescent="0.3">
      <c r="B30" s="12" t="s">
        <v>1870</v>
      </c>
      <c r="C30" s="2"/>
      <c r="D30" s="2">
        <v>-1905000000</v>
      </c>
      <c r="E30" s="2"/>
    </row>
    <row r="31" spans="2:5" ht="15.75" hidden="1" outlineLevel="1" x14ac:dyDescent="0.3">
      <c r="B31" s="12" t="s">
        <v>1870</v>
      </c>
      <c r="C31" s="2"/>
      <c r="D31" s="2"/>
      <c r="E31" s="2">
        <v>-1867000000</v>
      </c>
    </row>
    <row r="32" spans="2:5" ht="15.75" hidden="1" outlineLevel="1" x14ac:dyDescent="0.3">
      <c r="B32" s="12" t="s">
        <v>1874</v>
      </c>
      <c r="C32" s="2"/>
      <c r="D32" s="2">
        <v>8709000000</v>
      </c>
      <c r="E32" s="2"/>
    </row>
    <row r="33" spans="2:5" ht="15.75" hidden="1" outlineLevel="1" x14ac:dyDescent="0.3">
      <c r="B33" s="12" t="s">
        <v>1874</v>
      </c>
      <c r="C33" s="2"/>
      <c r="D33" s="2"/>
      <c r="E33" s="2">
        <v>644000000</v>
      </c>
    </row>
    <row r="34" spans="2:5" ht="15.75" hidden="1" outlineLevel="1" x14ac:dyDescent="0.3">
      <c r="B34" s="12" t="s">
        <v>1878</v>
      </c>
      <c r="C34" s="2"/>
      <c r="D34" s="2">
        <v>-8952000000</v>
      </c>
      <c r="E34" s="2"/>
    </row>
    <row r="35" spans="2:5" ht="15.75" hidden="1" outlineLevel="1" x14ac:dyDescent="0.3">
      <c r="B35" s="12" t="s">
        <v>1878</v>
      </c>
      <c r="C35" s="2"/>
      <c r="D35" s="2"/>
      <c r="E35" s="2">
        <v>-936000000</v>
      </c>
    </row>
    <row r="36" spans="2:5" ht="15.75" hidden="1" outlineLevel="1" x14ac:dyDescent="0.3">
      <c r="B36" s="12" t="s">
        <v>1882</v>
      </c>
      <c r="C36" s="2"/>
      <c r="D36" s="2">
        <v>-4074000000</v>
      </c>
      <c r="E36" s="2"/>
    </row>
    <row r="37" spans="2:5" ht="15.75" hidden="1" outlineLevel="1" x14ac:dyDescent="0.3">
      <c r="B37" s="12" t="s">
        <v>1882</v>
      </c>
      <c r="C37" s="2"/>
      <c r="D37" s="2"/>
      <c r="E37" s="2">
        <v>-9187000000</v>
      </c>
    </row>
    <row r="38" spans="2:5" ht="15.75" hidden="1" outlineLevel="1" x14ac:dyDescent="0.3">
      <c r="B38" s="12" t="s">
        <v>1886</v>
      </c>
      <c r="C38" s="2"/>
      <c r="D38" s="2">
        <v>47372000000</v>
      </c>
      <c r="E38" s="2"/>
    </row>
    <row r="39" spans="2:5" ht="15.75" hidden="1" outlineLevel="1" x14ac:dyDescent="0.3">
      <c r="B39" s="12" t="s">
        <v>1886</v>
      </c>
      <c r="C39" s="2"/>
      <c r="D39" s="2"/>
      <c r="E39" s="2">
        <v>34625000000</v>
      </c>
    </row>
    <row r="40" spans="2:5" ht="15.75" hidden="1" outlineLevel="1" x14ac:dyDescent="0.3">
      <c r="B40" s="12" t="s">
        <v>1890</v>
      </c>
      <c r="C40" s="2"/>
      <c r="D40" s="2"/>
      <c r="E40" s="2">
        <v>-280000000</v>
      </c>
    </row>
    <row r="41" spans="2:5" ht="15.75" hidden="1" outlineLevel="1" x14ac:dyDescent="0.3">
      <c r="B41" s="12" t="s">
        <v>1890</v>
      </c>
      <c r="C41" s="2"/>
      <c r="D41" s="2">
        <v>1901000000</v>
      </c>
      <c r="E41" s="2"/>
    </row>
    <row r="42" spans="2:5" ht="15.75" hidden="1" outlineLevel="1" x14ac:dyDescent="0.3">
      <c r="B42" s="12" t="s">
        <v>1894</v>
      </c>
      <c r="C42" s="2"/>
      <c r="D42" s="2"/>
      <c r="E42" s="2">
        <v>7716000000</v>
      </c>
    </row>
    <row r="43" spans="2:5" ht="15.75" hidden="1" outlineLevel="1" x14ac:dyDescent="0.3">
      <c r="B43" s="12" t="s">
        <v>1894</v>
      </c>
      <c r="C43" s="2"/>
      <c r="D43" s="2">
        <v>-217000000</v>
      </c>
      <c r="E43" s="2"/>
    </row>
    <row r="44" spans="2:5" ht="15.75" hidden="1" outlineLevel="1" x14ac:dyDescent="0.3">
      <c r="B44" s="12" t="s">
        <v>1898</v>
      </c>
      <c r="C44" s="2"/>
      <c r="D44" s="2">
        <v>75000000</v>
      </c>
      <c r="E44" s="2"/>
    </row>
    <row r="45" spans="2:5" ht="15.75" hidden="1" outlineLevel="1" x14ac:dyDescent="0.3">
      <c r="B45" s="12" t="s">
        <v>1898</v>
      </c>
      <c r="C45" s="2"/>
      <c r="D45" s="2"/>
      <c r="E45" s="2">
        <v>2727000000</v>
      </c>
    </row>
    <row r="46" spans="2:5" ht="15.75" hidden="1" outlineLevel="1" x14ac:dyDescent="0.3">
      <c r="B46" s="12" t="s">
        <v>1902</v>
      </c>
      <c r="C46" s="2"/>
      <c r="D46" s="2"/>
      <c r="E46" s="2">
        <v>1688000000</v>
      </c>
    </row>
    <row r="47" spans="2:5" ht="15.75" hidden="1" outlineLevel="1" x14ac:dyDescent="0.3">
      <c r="B47" s="12" t="s">
        <v>1902</v>
      </c>
      <c r="C47" s="2"/>
      <c r="D47" s="2">
        <v>0</v>
      </c>
      <c r="E47" s="2"/>
    </row>
    <row r="48" spans="2:5" ht="15.75" hidden="1" outlineLevel="1" x14ac:dyDescent="0.3">
      <c r="B48" s="12" t="s">
        <v>1906</v>
      </c>
      <c r="C48" s="2"/>
      <c r="D48" s="2">
        <v>19774000000</v>
      </c>
      <c r="E48" s="2"/>
    </row>
    <row r="49" spans="2:13" ht="15.75" hidden="1" outlineLevel="1" x14ac:dyDescent="0.3">
      <c r="B49" s="12" t="s">
        <v>1906</v>
      </c>
      <c r="C49" s="2"/>
      <c r="D49" s="2"/>
      <c r="E49" s="2">
        <v>17252000000</v>
      </c>
    </row>
    <row r="50" spans="2:13" ht="15.75" hidden="1" outlineLevel="1" x14ac:dyDescent="0.3">
      <c r="B50" s="12" t="s">
        <v>1910</v>
      </c>
      <c r="C50" s="2"/>
      <c r="D50" s="2"/>
      <c r="E50" s="2">
        <v>22825000000</v>
      </c>
    </row>
    <row r="51" spans="2:13" ht="15.75" hidden="1" outlineLevel="1" x14ac:dyDescent="0.3">
      <c r="B51" s="12" t="s">
        <v>1910</v>
      </c>
      <c r="C51" s="2"/>
      <c r="D51" s="2">
        <v>25259000000</v>
      </c>
      <c r="E51" s="2"/>
      <c r="K51" s="4"/>
      <c r="L51" s="7"/>
      <c r="M51" s="7"/>
    </row>
    <row r="52" spans="2:13" ht="15.75" hidden="1" outlineLevel="1" x14ac:dyDescent="0.3">
      <c r="B52" s="12" t="s">
        <v>1914</v>
      </c>
      <c r="C52" s="2"/>
      <c r="D52" s="2"/>
      <c r="E52" s="2">
        <v>872000000</v>
      </c>
      <c r="J52" s="4"/>
      <c r="K52" s="4"/>
    </row>
    <row r="53" spans="2:13" ht="15.75" hidden="1" outlineLevel="1" x14ac:dyDescent="0.3">
      <c r="B53" s="12" t="s">
        <v>1914</v>
      </c>
      <c r="C53" s="2"/>
      <c r="D53" s="2">
        <v>981000000</v>
      </c>
      <c r="E53" s="2"/>
      <c r="J53" s="4"/>
      <c r="L53" s="7"/>
      <c r="M53" s="7"/>
    </row>
    <row r="54" spans="2:13" ht="15.75" hidden="1" outlineLevel="1" x14ac:dyDescent="0.3">
      <c r="B54" s="12" t="s">
        <v>1918</v>
      </c>
      <c r="C54" s="2"/>
      <c r="D54" s="2">
        <v>0</v>
      </c>
      <c r="E54" s="2"/>
      <c r="J54" s="4"/>
      <c r="K54" s="5"/>
      <c r="L54" s="7"/>
      <c r="M54" s="7"/>
    </row>
    <row r="55" spans="2:13" ht="15.75" hidden="1" outlineLevel="1" x14ac:dyDescent="0.3">
      <c r="B55" s="12" t="s">
        <v>1918</v>
      </c>
      <c r="C55" s="2"/>
      <c r="D55" s="2"/>
      <c r="E55" s="2">
        <v>72000000</v>
      </c>
      <c r="J55" s="4"/>
      <c r="K55" s="4"/>
      <c r="L55" s="7"/>
      <c r="M55" s="7"/>
    </row>
    <row r="56" spans="2:13" ht="15.75" hidden="1" outlineLevel="1" x14ac:dyDescent="0.3">
      <c r="B56" s="12" t="s">
        <v>1922</v>
      </c>
      <c r="C56" s="2"/>
      <c r="D56" s="2">
        <v>-46245000000</v>
      </c>
      <c r="E56" s="2"/>
      <c r="K56" s="4"/>
      <c r="L56" s="6"/>
      <c r="M56" s="6"/>
    </row>
    <row r="57" spans="2:13" ht="15.75" hidden="1" outlineLevel="1" x14ac:dyDescent="0.3">
      <c r="B57" s="12" t="s">
        <v>1922</v>
      </c>
      <c r="C57" s="2"/>
      <c r="D57" s="2"/>
      <c r="E57" s="2">
        <v>-32176000000</v>
      </c>
      <c r="J57" s="4"/>
      <c r="K57" s="4"/>
      <c r="L57" s="16"/>
      <c r="M57" s="7"/>
    </row>
    <row r="58" spans="2:13" ht="15.75" hidden="1" outlineLevel="1" x14ac:dyDescent="0.3">
      <c r="B58" s="12" t="s">
        <v>1926</v>
      </c>
      <c r="C58" s="2"/>
      <c r="D58" s="2"/>
      <c r="E58" s="2">
        <v>2449000000</v>
      </c>
      <c r="J58" s="4"/>
      <c r="K58" s="4"/>
      <c r="L58" s="16"/>
      <c r="M58" s="7"/>
    </row>
    <row r="59" spans="2:13" ht="15.75" hidden="1" outlineLevel="1" x14ac:dyDescent="0.3">
      <c r="B59" s="12" t="s">
        <v>1926</v>
      </c>
      <c r="C59" s="2"/>
      <c r="D59" s="2">
        <v>1127000000</v>
      </c>
      <c r="E59" s="2"/>
      <c r="J59" s="4"/>
      <c r="K59" s="4"/>
      <c r="L59" s="16"/>
      <c r="M59" s="7"/>
    </row>
    <row r="60" spans="2:13" ht="15.75" hidden="1" outlineLevel="1" x14ac:dyDescent="0.3">
      <c r="B60" s="12" t="s">
        <v>1930</v>
      </c>
      <c r="C60" s="2"/>
      <c r="D60" s="2"/>
      <c r="E60" s="2">
        <v>4947000000</v>
      </c>
      <c r="J60" s="4"/>
      <c r="K60" s="4"/>
      <c r="L60" s="16"/>
      <c r="M60" s="7"/>
    </row>
    <row r="61" spans="2:13" ht="15.75" hidden="1" outlineLevel="1" x14ac:dyDescent="0.3">
      <c r="B61" s="12" t="s">
        <v>1930</v>
      </c>
      <c r="C61" s="2"/>
      <c r="D61" s="2">
        <v>199000000</v>
      </c>
      <c r="E61" s="2"/>
      <c r="J61" s="4"/>
      <c r="K61" s="4"/>
      <c r="L61" s="16"/>
      <c r="M61" s="7"/>
    </row>
    <row r="62" spans="2:13" ht="15.75" hidden="1" outlineLevel="1" x14ac:dyDescent="0.3">
      <c r="B62" s="12" t="s">
        <v>1934</v>
      </c>
      <c r="C62" s="2"/>
      <c r="D62" s="2"/>
      <c r="E62" s="2">
        <v>5476000000</v>
      </c>
      <c r="J62" s="4"/>
      <c r="K62" s="4"/>
      <c r="L62" s="16"/>
      <c r="M62" s="7"/>
    </row>
    <row r="63" spans="2:13" ht="15.75" hidden="1" outlineLevel="1" x14ac:dyDescent="0.3">
      <c r="B63" s="12" t="s">
        <v>1934</v>
      </c>
      <c r="C63" s="2"/>
      <c r="D63" s="2">
        <v>5857000000</v>
      </c>
      <c r="E63" s="2"/>
      <c r="J63" s="4"/>
      <c r="K63" s="4"/>
      <c r="L63" s="7"/>
      <c r="M63" s="7"/>
    </row>
    <row r="64" spans="2:13" ht="15.75" hidden="1" outlineLevel="1" x14ac:dyDescent="0.3">
      <c r="B64" s="12" t="s">
        <v>1938</v>
      </c>
      <c r="C64" s="2"/>
      <c r="D64" s="2"/>
      <c r="E64" s="2">
        <v>219000000</v>
      </c>
      <c r="J64" s="4"/>
      <c r="K64" s="4"/>
      <c r="L64" s="7"/>
      <c r="M64" s="7"/>
    </row>
    <row r="65" spans="2:13" ht="15.75" hidden="1" outlineLevel="1" x14ac:dyDescent="0.3">
      <c r="B65" s="12" t="s">
        <v>1938</v>
      </c>
      <c r="C65" s="2"/>
      <c r="D65" s="2">
        <v>190000000</v>
      </c>
      <c r="E65" s="2"/>
      <c r="J65" s="4"/>
    </row>
    <row r="66" spans="2:13" ht="15.75" hidden="1" outlineLevel="1" x14ac:dyDescent="0.3">
      <c r="B66" s="12" t="s">
        <v>1942</v>
      </c>
      <c r="C66" s="2"/>
      <c r="D66" s="2">
        <v>6936000000</v>
      </c>
      <c r="E66" s="2"/>
      <c r="J66" s="4"/>
      <c r="K66" s="5"/>
      <c r="L66" s="8"/>
      <c r="M66" s="8"/>
    </row>
    <row r="67" spans="2:13" ht="15.75" hidden="1" outlineLevel="1" x14ac:dyDescent="0.3">
      <c r="B67" s="12" t="s">
        <v>1942</v>
      </c>
      <c r="C67" s="2"/>
      <c r="D67" s="2"/>
      <c r="E67" s="2">
        <v>5732000000</v>
      </c>
      <c r="J67" s="4"/>
      <c r="K67" s="4"/>
      <c r="L67" s="6"/>
      <c r="M67" s="6"/>
    </row>
    <row r="68" spans="2:13" ht="15.75" hidden="1" outlineLevel="1" x14ac:dyDescent="0.3">
      <c r="B68" s="12" t="s">
        <v>1946</v>
      </c>
      <c r="C68" s="2"/>
      <c r="D68" s="2"/>
      <c r="E68" s="2">
        <v>1631000000</v>
      </c>
    </row>
    <row r="69" spans="2:13" ht="15.75" hidden="1" outlineLevel="1" x14ac:dyDescent="0.3">
      <c r="B69" s="12" t="s">
        <v>1946</v>
      </c>
      <c r="C69" s="2"/>
      <c r="D69" s="2">
        <v>862000000</v>
      </c>
      <c r="E69" s="2"/>
    </row>
    <row r="70" spans="2:13" ht="15.75" hidden="1" outlineLevel="1" x14ac:dyDescent="0.3">
      <c r="B70" s="12" t="s">
        <v>1950</v>
      </c>
      <c r="C70" s="2"/>
      <c r="D70" s="2"/>
      <c r="E70" s="2">
        <v>2108000000</v>
      </c>
    </row>
    <row r="71" spans="2:13" ht="15.75" hidden="1" outlineLevel="1" x14ac:dyDescent="0.3">
      <c r="B71" s="12" t="s">
        <v>1950</v>
      </c>
      <c r="C71" s="2"/>
      <c r="D71" s="2">
        <v>2053000000</v>
      </c>
      <c r="E71" s="2"/>
    </row>
    <row r="72" spans="2:13" ht="15.75" hidden="1" outlineLevel="1" x14ac:dyDescent="0.3">
      <c r="B72" s="12" t="s">
        <v>1954</v>
      </c>
      <c r="C72" s="2"/>
      <c r="D72" s="2"/>
      <c r="E72" s="2">
        <v>-1000000</v>
      </c>
    </row>
    <row r="73" spans="2:13" ht="15.75" hidden="1" outlineLevel="1" x14ac:dyDescent="0.3">
      <c r="B73" s="12" t="s">
        <v>1954</v>
      </c>
      <c r="C73" s="2"/>
      <c r="D73" s="2">
        <v>10269000000</v>
      </c>
      <c r="E73" s="2"/>
    </row>
    <row r="74" spans="2:13" ht="15.75" hidden="1" outlineLevel="1" x14ac:dyDescent="0.3">
      <c r="B74" s="12" t="s">
        <v>1958</v>
      </c>
      <c r="C74" s="2"/>
      <c r="D74" s="2"/>
      <c r="E74" s="2">
        <v>996000000</v>
      </c>
    </row>
    <row r="75" spans="2:13" ht="15.75" hidden="1" outlineLevel="1" x14ac:dyDescent="0.3">
      <c r="B75" s="12" t="s">
        <v>1958</v>
      </c>
      <c r="C75" s="2"/>
      <c r="D75" s="2">
        <v>-368000000</v>
      </c>
      <c r="E75" s="2"/>
    </row>
    <row r="76" spans="2:13" ht="15.75" hidden="1" outlineLevel="1" x14ac:dyDescent="0.3">
      <c r="B76" s="12" t="s">
        <v>1962</v>
      </c>
      <c r="C76" s="2"/>
      <c r="D76" s="2">
        <v>5916000000</v>
      </c>
      <c r="E76" s="2"/>
    </row>
    <row r="77" spans="2:13" ht="15.75" hidden="1" outlineLevel="1" x14ac:dyDescent="0.3">
      <c r="B77" s="12" t="s">
        <v>1962</v>
      </c>
      <c r="C77" s="2"/>
      <c r="D77" s="2"/>
      <c r="E77" s="2">
        <v>1728000000</v>
      </c>
    </row>
    <row r="78" spans="2:13" ht="15.75" hidden="1" outlineLevel="1" x14ac:dyDescent="0.3">
      <c r="B78" s="12" t="s">
        <v>1966</v>
      </c>
      <c r="C78" s="2"/>
      <c r="D78" s="2">
        <v>7043000000</v>
      </c>
      <c r="E78" s="2"/>
    </row>
    <row r="79" spans="2:13" ht="15.75" hidden="1" outlineLevel="1" x14ac:dyDescent="0.3">
      <c r="B79" s="12" t="s">
        <v>1966</v>
      </c>
      <c r="C79" s="2"/>
      <c r="D79" s="2"/>
      <c r="E79" s="2">
        <v>4177000000</v>
      </c>
    </row>
    <row r="80" spans="2:13" ht="15.75" hidden="1" outlineLevel="1" x14ac:dyDescent="0.3">
      <c r="B80" s="12" t="s">
        <v>1550</v>
      </c>
      <c r="C80" s="2">
        <v>47861000000</v>
      </c>
      <c r="D80" s="2"/>
      <c r="E80" s="2"/>
    </row>
    <row r="81" spans="2:5" ht="15.75" hidden="1" outlineLevel="1" x14ac:dyDescent="0.3">
      <c r="B81" s="12" t="s">
        <v>1550</v>
      </c>
      <c r="D81">
        <v>56373000000</v>
      </c>
    </row>
    <row r="82" spans="2:5" ht="15.75" hidden="1" outlineLevel="1" x14ac:dyDescent="0.3">
      <c r="B82" s="12" t="s">
        <v>1970</v>
      </c>
      <c r="D82">
        <v>1469000000</v>
      </c>
    </row>
    <row r="83" spans="2:5" ht="15.75" hidden="1" outlineLevel="1" x14ac:dyDescent="0.3">
      <c r="B83" s="12" t="s">
        <v>1970</v>
      </c>
      <c r="E83">
        <v>-2986000000</v>
      </c>
    </row>
    <row r="84" spans="2:5" ht="15.75" hidden="1" outlineLevel="1" x14ac:dyDescent="0.3">
      <c r="B84" s="12" t="s">
        <v>1550</v>
      </c>
      <c r="E84">
        <v>57564000000</v>
      </c>
    </row>
    <row r="85" spans="2:5" ht="15.75" hidden="1" outlineLevel="1" x14ac:dyDescent="0.3">
      <c r="B85" s="12" t="s">
        <v>1550</v>
      </c>
      <c r="D85">
        <v>56373000000</v>
      </c>
    </row>
    <row r="86" spans="2:5" hidden="1" outlineLevel="1" x14ac:dyDescent="0.25"/>
    <row r="87" spans="2:5" collapsed="1" x14ac:dyDescent="0.25"/>
    <row r="88" spans="2:5" ht="21" x14ac:dyDescent="0.4">
      <c r="B88" s="22" t="s">
        <v>2495</v>
      </c>
      <c r="C88" s="9"/>
      <c r="D88" s="9"/>
      <c r="E88" s="9"/>
    </row>
    <row r="89" spans="2:5" hidden="1" outlineLevel="1" x14ac:dyDescent="0.25"/>
    <row r="90" spans="2:5" ht="15.75" hidden="1" outlineLevel="1" x14ac:dyDescent="0.3">
      <c r="B90" s="17" t="s">
        <v>2440</v>
      </c>
      <c r="C90" s="17" t="s">
        <v>2437</v>
      </c>
      <c r="D90" s="17" t="s">
        <v>2438</v>
      </c>
    </row>
    <row r="91" spans="2:5" ht="15.75" hidden="1" outlineLevel="1" x14ac:dyDescent="0.3">
      <c r="B91" s="12" t="s">
        <v>1491</v>
      </c>
      <c r="C91" s="2">
        <v>83781000000</v>
      </c>
      <c r="D91" s="2"/>
    </row>
    <row r="92" spans="2:5" ht="15.75" hidden="1" outlineLevel="1" x14ac:dyDescent="0.3">
      <c r="B92" s="12" t="s">
        <v>1491</v>
      </c>
      <c r="C92" s="2"/>
      <c r="D92" s="2">
        <v>82965000000</v>
      </c>
    </row>
    <row r="93" spans="2:5" ht="15.75" hidden="1" outlineLevel="1" x14ac:dyDescent="0.3">
      <c r="B93" s="12" t="s">
        <v>1495</v>
      </c>
      <c r="C93" s="2">
        <v>107124000000</v>
      </c>
      <c r="D93" s="2"/>
    </row>
    <row r="94" spans="2:5" ht="15.75" hidden="1" outlineLevel="1" x14ac:dyDescent="0.3">
      <c r="B94" s="12" t="s">
        <v>1495</v>
      </c>
      <c r="C94" s="2"/>
      <c r="D94" s="2">
        <v>99391000000</v>
      </c>
    </row>
    <row r="95" spans="2:5" ht="15.75" hidden="1" outlineLevel="1" x14ac:dyDescent="0.3">
      <c r="B95" s="12" t="s">
        <v>1499</v>
      </c>
      <c r="C95" s="2">
        <v>8998000000</v>
      </c>
      <c r="D95" s="2"/>
    </row>
    <row r="96" spans="2:5" ht="15.75" hidden="1" outlineLevel="1" x14ac:dyDescent="0.3">
      <c r="B96" s="12" t="s">
        <v>1499</v>
      </c>
      <c r="C96" s="2"/>
      <c r="D96" s="2">
        <v>7003000000</v>
      </c>
    </row>
    <row r="97" spans="2:10" ht="15.75" hidden="1" outlineLevel="1" x14ac:dyDescent="0.3">
      <c r="B97" s="12" t="s">
        <v>1503</v>
      </c>
      <c r="C97" s="2">
        <v>12753000000</v>
      </c>
      <c r="D97" s="2"/>
    </row>
    <row r="98" spans="2:10" ht="15.75" hidden="1" outlineLevel="1" x14ac:dyDescent="0.3">
      <c r="B98" s="12" t="s">
        <v>1503</v>
      </c>
      <c r="C98" s="2"/>
      <c r="D98" s="2">
        <v>10454000000</v>
      </c>
      <c r="H98" s="7"/>
      <c r="I98" s="7"/>
    </row>
    <row r="99" spans="2:10" ht="15.75" hidden="1" outlineLevel="1" x14ac:dyDescent="0.3">
      <c r="B99" s="12" t="s">
        <v>1507</v>
      </c>
      <c r="C99" s="2"/>
      <c r="D99" s="2">
        <v>8363000000</v>
      </c>
      <c r="J99" s="7"/>
    </row>
    <row r="100" spans="2:10" ht="15.75" hidden="1" outlineLevel="1" x14ac:dyDescent="0.3">
      <c r="B100" s="12" t="s">
        <v>1507</v>
      </c>
      <c r="C100" s="2">
        <v>12260000000</v>
      </c>
      <c r="D100" s="2"/>
      <c r="H100" s="7"/>
      <c r="I100" s="7"/>
    </row>
    <row r="101" spans="2:10" ht="15.75" hidden="1" outlineLevel="1" x14ac:dyDescent="0.3">
      <c r="B101" s="12" t="s">
        <v>1511</v>
      </c>
      <c r="C101" s="2"/>
      <c r="D101" s="2">
        <v>1235000000</v>
      </c>
      <c r="H101" s="7"/>
      <c r="I101" s="7"/>
    </row>
    <row r="102" spans="2:10" ht="15.75" hidden="1" outlineLevel="1" x14ac:dyDescent="0.3">
      <c r="B102" s="12" t="s">
        <v>1511</v>
      </c>
      <c r="C102" s="2">
        <v>1440000000</v>
      </c>
      <c r="D102" s="2"/>
      <c r="H102" s="8"/>
      <c r="I102" s="8"/>
    </row>
    <row r="103" spans="2:10" ht="15.75" hidden="1" outlineLevel="1" x14ac:dyDescent="0.3">
      <c r="B103" s="12" t="s">
        <v>1515</v>
      </c>
      <c r="C103" s="2"/>
      <c r="D103" s="2">
        <v>1743000000</v>
      </c>
      <c r="H103" s="4"/>
      <c r="I103" s="4"/>
    </row>
    <row r="104" spans="2:10" ht="15.75" hidden="1" outlineLevel="1" x14ac:dyDescent="0.3">
      <c r="B104" s="12" t="s">
        <v>1515</v>
      </c>
      <c r="C104" s="2">
        <v>283000000</v>
      </c>
      <c r="D104" s="2"/>
      <c r="H104" s="4"/>
      <c r="I104" s="4"/>
    </row>
    <row r="105" spans="2:10" ht="15.75" hidden="1" outlineLevel="1" x14ac:dyDescent="0.3">
      <c r="B105" s="12" t="s">
        <v>1519</v>
      </c>
      <c r="C105" s="2"/>
      <c r="D105" s="2">
        <v>4217000000</v>
      </c>
      <c r="H105" s="7"/>
      <c r="I105" s="7"/>
    </row>
    <row r="106" spans="2:10" ht="15.75" hidden="1" outlineLevel="1" x14ac:dyDescent="0.3">
      <c r="B106" s="12" t="s">
        <v>1519</v>
      </c>
      <c r="C106" s="2">
        <v>2984000000</v>
      </c>
      <c r="D106" s="2"/>
      <c r="H106" s="7"/>
      <c r="I106" s="7"/>
    </row>
    <row r="107" spans="2:10" ht="15.75" hidden="1" outlineLevel="1" x14ac:dyDescent="0.3">
      <c r="B107" s="12" t="s">
        <v>1523</v>
      </c>
      <c r="C107" s="2"/>
      <c r="D107" s="2">
        <v>215371000000</v>
      </c>
      <c r="H107" s="7"/>
      <c r="I107" s="7"/>
    </row>
    <row r="108" spans="2:10" ht="15.75" hidden="1" outlineLevel="1" x14ac:dyDescent="0.3">
      <c r="B108" s="12" t="s">
        <v>1523</v>
      </c>
      <c r="C108" s="2">
        <v>229623000000</v>
      </c>
      <c r="D108" s="2"/>
      <c r="H108" s="7"/>
      <c r="I108" s="7"/>
    </row>
    <row r="109" spans="2:10" ht="15.75" hidden="1" outlineLevel="1" x14ac:dyDescent="0.3">
      <c r="B109" s="12" t="s">
        <v>1526</v>
      </c>
      <c r="C109" s="2"/>
      <c r="D109" s="2">
        <v>59024000000</v>
      </c>
      <c r="H109" s="8"/>
      <c r="I109" s="8"/>
    </row>
    <row r="110" spans="2:10" ht="15.75" hidden="1" outlineLevel="1" x14ac:dyDescent="0.3">
      <c r="B110" s="12" t="s">
        <v>1526</v>
      </c>
      <c r="C110" s="2">
        <v>62455000000</v>
      </c>
      <c r="D110" s="2"/>
      <c r="H110" s="4"/>
      <c r="I110" s="4"/>
    </row>
    <row r="111" spans="2:10" ht="15.75" hidden="1" outlineLevel="1" x14ac:dyDescent="0.3">
      <c r="B111" s="12" t="s">
        <v>1530</v>
      </c>
      <c r="C111" s="2">
        <v>22780000000</v>
      </c>
      <c r="D111" s="2"/>
      <c r="H111" s="8"/>
      <c r="I111" s="8"/>
    </row>
    <row r="112" spans="2:10" ht="15.75" hidden="1" outlineLevel="1" x14ac:dyDescent="0.3">
      <c r="B112" s="12" t="s">
        <v>1530</v>
      </c>
      <c r="C112" s="2"/>
      <c r="D112" s="2">
        <v>21241000000</v>
      </c>
      <c r="H112" s="4"/>
      <c r="I112" s="4"/>
    </row>
    <row r="113" spans="2:9" ht="15.75" hidden="1" outlineLevel="1" x14ac:dyDescent="0.3">
      <c r="B113" s="12" t="s">
        <v>1534</v>
      </c>
      <c r="C113" s="2">
        <v>1854000000</v>
      </c>
      <c r="D113" s="2"/>
      <c r="H113" s="4"/>
      <c r="I113" s="4"/>
    </row>
    <row r="114" spans="2:9" ht="15.75" hidden="1" outlineLevel="1" x14ac:dyDescent="0.3">
      <c r="B114" s="12" t="s">
        <v>1534</v>
      </c>
      <c r="C114" s="2"/>
      <c r="D114" s="2">
        <v>1284000000</v>
      </c>
      <c r="H114" s="4"/>
      <c r="I114" s="4"/>
    </row>
    <row r="115" spans="2:9" ht="15.75" hidden="1" outlineLevel="1" x14ac:dyDescent="0.3">
      <c r="B115" s="12" t="s">
        <v>1538</v>
      </c>
      <c r="C115" s="2">
        <v>485000000</v>
      </c>
      <c r="D115" s="2"/>
      <c r="H115" s="4"/>
      <c r="I115" s="4"/>
    </row>
    <row r="116" spans="2:9" ht="15.75" hidden="1" outlineLevel="1" x14ac:dyDescent="0.3">
      <c r="B116" s="12" t="s">
        <v>1538</v>
      </c>
      <c r="C116" s="2"/>
      <c r="D116" s="2">
        <v>4923000000</v>
      </c>
      <c r="H116" s="7"/>
      <c r="I116" s="7"/>
    </row>
    <row r="117" spans="2:9" ht="15.75" hidden="1" outlineLevel="1" x14ac:dyDescent="0.3">
      <c r="B117" s="12" t="s">
        <v>1542</v>
      </c>
      <c r="C117" s="2">
        <v>14665000000</v>
      </c>
      <c r="D117" s="2"/>
      <c r="H117" s="7"/>
      <c r="I117" s="7"/>
    </row>
    <row r="118" spans="2:9" ht="15.75" hidden="1" outlineLevel="1" x14ac:dyDescent="0.3">
      <c r="B118" s="12" t="s">
        <v>1542</v>
      </c>
      <c r="C118" s="2"/>
      <c r="D118" s="2">
        <v>13764000000</v>
      </c>
      <c r="H118" s="8"/>
      <c r="I118" s="8"/>
    </row>
    <row r="119" spans="2:9" ht="15.75" hidden="1" outlineLevel="1" x14ac:dyDescent="0.3">
      <c r="B119" s="12" t="s">
        <v>1546</v>
      </c>
      <c r="C119" s="2">
        <v>0</v>
      </c>
      <c r="D119" s="2"/>
      <c r="H119" s="8"/>
      <c r="I119" s="8"/>
    </row>
    <row r="120" spans="2:9" ht="15.75" hidden="1" outlineLevel="1" x14ac:dyDescent="0.3">
      <c r="B120" s="12" t="s">
        <v>1546</v>
      </c>
      <c r="C120" s="2"/>
      <c r="D120" s="2">
        <v>1000000</v>
      </c>
      <c r="H120" s="4"/>
      <c r="I120" s="4"/>
    </row>
    <row r="121" spans="2:9" ht="15.75" hidden="1" outlineLevel="1" x14ac:dyDescent="0.3">
      <c r="B121" s="12" t="s">
        <v>1550</v>
      </c>
      <c r="C121" s="2">
        <v>56373000000</v>
      </c>
      <c r="D121" s="2"/>
      <c r="H121" s="4"/>
      <c r="I121" s="4"/>
    </row>
    <row r="122" spans="2:9" ht="15.75" hidden="1" outlineLevel="1" x14ac:dyDescent="0.3">
      <c r="B122" s="12" t="s">
        <v>1550</v>
      </c>
      <c r="C122" s="2"/>
      <c r="D122" s="2">
        <v>57564000000</v>
      </c>
      <c r="H122" s="4"/>
      <c r="I122" s="4"/>
    </row>
    <row r="123" spans="2:9" ht="15.75" hidden="1" outlineLevel="1" x14ac:dyDescent="0.3">
      <c r="B123" s="12" t="s">
        <v>1554</v>
      </c>
      <c r="C123" s="2"/>
      <c r="D123" s="2">
        <v>157801000000</v>
      </c>
      <c r="H123" s="7"/>
      <c r="I123" s="7"/>
    </row>
    <row r="124" spans="2:9" ht="15.75" hidden="1" outlineLevel="1" x14ac:dyDescent="0.3">
      <c r="B124" s="12" t="s">
        <v>1554</v>
      </c>
      <c r="C124" s="2">
        <v>158612000000</v>
      </c>
      <c r="D124" s="2"/>
      <c r="H124" s="7"/>
      <c r="I124" s="7"/>
    </row>
    <row r="125" spans="2:9" ht="15.75" hidden="1" outlineLevel="1" x14ac:dyDescent="0.3">
      <c r="B125" s="12" t="s">
        <v>1557</v>
      </c>
      <c r="C125" s="2"/>
      <c r="D125" s="2">
        <v>373172000000</v>
      </c>
      <c r="H125" s="4"/>
      <c r="I125" s="4"/>
    </row>
    <row r="126" spans="2:9" ht="15.75" hidden="1" outlineLevel="1" x14ac:dyDescent="0.3">
      <c r="B126" s="12" t="s">
        <v>1557</v>
      </c>
      <c r="C126" s="2">
        <v>388235000000</v>
      </c>
      <c r="D126" s="2"/>
      <c r="H126" s="7"/>
      <c r="I126" s="7"/>
    </row>
    <row r="127" spans="2:9" ht="15.75" hidden="1" outlineLevel="1" x14ac:dyDescent="0.3">
      <c r="B127" s="12" t="s">
        <v>1561</v>
      </c>
      <c r="C127" s="2"/>
      <c r="D127" s="2">
        <v>147079000000</v>
      </c>
      <c r="H127" s="7"/>
      <c r="I127" s="7"/>
    </row>
    <row r="128" spans="2:9" ht="15.75" hidden="1" outlineLevel="1" x14ac:dyDescent="0.3">
      <c r="B128" s="12" t="s">
        <v>1561</v>
      </c>
      <c r="C128" s="2">
        <v>137461000000</v>
      </c>
      <c r="D128" s="2"/>
      <c r="H128" s="7"/>
      <c r="I128" s="7"/>
    </row>
    <row r="129" spans="2:9" ht="15.75" hidden="1" outlineLevel="1" x14ac:dyDescent="0.3">
      <c r="B129" s="12" t="s">
        <v>1565</v>
      </c>
      <c r="C129" s="2">
        <v>4738000000</v>
      </c>
      <c r="D129" s="2"/>
      <c r="H129" s="4"/>
      <c r="I129" s="10"/>
    </row>
    <row r="130" spans="2:9" ht="15.75" hidden="1" outlineLevel="1" x14ac:dyDescent="0.3">
      <c r="B130" s="12" t="s">
        <v>1565</v>
      </c>
      <c r="C130" s="2"/>
      <c r="D130" s="2">
        <v>1299000000</v>
      </c>
      <c r="H130" s="4"/>
      <c r="I130" s="4"/>
    </row>
    <row r="131" spans="2:9" ht="15.75" hidden="1" outlineLevel="1" x14ac:dyDescent="0.3">
      <c r="B131" s="12" t="s">
        <v>1568</v>
      </c>
      <c r="C131" s="2">
        <v>142199000000</v>
      </c>
      <c r="D131" s="2"/>
      <c r="H131" s="7"/>
      <c r="I131" s="7"/>
    </row>
    <row r="132" spans="2:9" ht="15.75" hidden="1" outlineLevel="1" x14ac:dyDescent="0.3">
      <c r="B132" s="12" t="s">
        <v>1568</v>
      </c>
      <c r="C132" s="2"/>
      <c r="D132" s="2">
        <v>148378000000</v>
      </c>
      <c r="H132" s="7"/>
      <c r="I132" s="7"/>
    </row>
    <row r="133" spans="2:9" ht="15.75" hidden="1" outlineLevel="1" x14ac:dyDescent="0.3">
      <c r="B133" s="12" t="s">
        <v>1572</v>
      </c>
      <c r="C133" s="2">
        <v>8111000000</v>
      </c>
      <c r="D133" s="2"/>
      <c r="H133" s="7"/>
      <c r="I133" s="7"/>
    </row>
    <row r="134" spans="2:9" ht="15.75" hidden="1" outlineLevel="1" x14ac:dyDescent="0.3">
      <c r="B134" s="12" t="s">
        <v>1572</v>
      </c>
      <c r="C134" s="2"/>
      <c r="D134" s="2">
        <v>5853000000</v>
      </c>
      <c r="H134" s="7"/>
      <c r="I134" s="7"/>
    </row>
    <row r="135" spans="2:9" ht="15.75" hidden="1" outlineLevel="1" x14ac:dyDescent="0.3">
      <c r="B135" s="12" t="s">
        <v>1576</v>
      </c>
      <c r="C135" s="2">
        <v>11080000000</v>
      </c>
      <c r="D135" s="2"/>
      <c r="H135" s="6"/>
      <c r="I135" s="6"/>
    </row>
    <row r="136" spans="2:9" ht="15.75" hidden="1" outlineLevel="1" x14ac:dyDescent="0.3">
      <c r="B136" s="12" t="s">
        <v>1576</v>
      </c>
      <c r="C136" s="2"/>
      <c r="D136" s="2">
        <v>9864000000</v>
      </c>
      <c r="H136" s="8"/>
      <c r="I136" s="8"/>
    </row>
    <row r="137" spans="2:9" ht="15.75" hidden="1" outlineLevel="1" x14ac:dyDescent="0.3">
      <c r="B137" s="12" t="s">
        <v>1580</v>
      </c>
      <c r="C137" s="2"/>
      <c r="D137" s="2">
        <v>8528000000</v>
      </c>
    </row>
    <row r="138" spans="2:9" ht="15.75" hidden="1" outlineLevel="1" x14ac:dyDescent="0.3">
      <c r="B138" s="12" t="s">
        <v>1580</v>
      </c>
      <c r="C138" s="2">
        <v>9501000000</v>
      </c>
      <c r="D138" s="2"/>
    </row>
    <row r="139" spans="2:9" ht="15.75" hidden="1" outlineLevel="1" x14ac:dyDescent="0.3">
      <c r="B139" s="12" t="s">
        <v>1584</v>
      </c>
      <c r="C139" s="2">
        <v>3885000000</v>
      </c>
      <c r="D139" s="2"/>
    </row>
    <row r="140" spans="2:9" ht="15.75" hidden="1" outlineLevel="1" x14ac:dyDescent="0.3">
      <c r="B140" s="12" t="s">
        <v>1584</v>
      </c>
      <c r="C140" s="2"/>
      <c r="D140" s="2">
        <v>6723000000</v>
      </c>
    </row>
    <row r="141" spans="2:9" ht="15.75" hidden="1" outlineLevel="1" x14ac:dyDescent="0.3">
      <c r="B141" s="12" t="s">
        <v>1588</v>
      </c>
      <c r="C141" s="2">
        <v>18826000000</v>
      </c>
      <c r="D141" s="2"/>
    </row>
    <row r="142" spans="2:9" ht="15.75" hidden="1" outlineLevel="1" x14ac:dyDescent="0.3">
      <c r="B142" s="12" t="s">
        <v>1588</v>
      </c>
      <c r="C142" s="2"/>
      <c r="D142" s="2">
        <v>21645000000</v>
      </c>
    </row>
    <row r="143" spans="2:9" ht="15.75" hidden="1" outlineLevel="1" x14ac:dyDescent="0.3">
      <c r="B143" s="12" t="s">
        <v>1592</v>
      </c>
      <c r="C143" s="2"/>
      <c r="D143" s="2">
        <v>8605000000</v>
      </c>
    </row>
    <row r="144" spans="2:9" ht="15.75" hidden="1" outlineLevel="1" x14ac:dyDescent="0.3">
      <c r="B144" s="12" t="s">
        <v>1592</v>
      </c>
      <c r="C144" s="2">
        <v>10755000000</v>
      </c>
      <c r="D144" s="2"/>
    </row>
    <row r="145" spans="2:4" ht="15.75" hidden="1" outlineLevel="1" x14ac:dyDescent="0.3">
      <c r="B145" s="12" t="s">
        <v>1596</v>
      </c>
      <c r="C145" s="2"/>
      <c r="D145" s="2">
        <v>5355000000</v>
      </c>
    </row>
    <row r="146" spans="2:4" ht="15.75" hidden="1" outlineLevel="1" x14ac:dyDescent="0.3">
      <c r="B146" s="12" t="s">
        <v>1596</v>
      </c>
      <c r="C146" s="2">
        <v>7745000000</v>
      </c>
      <c r="D146" s="2"/>
    </row>
    <row r="147" spans="2:4" ht="15.75" hidden="1" outlineLevel="1" x14ac:dyDescent="0.3">
      <c r="B147" s="12" t="s">
        <v>1600</v>
      </c>
      <c r="C147" s="2"/>
      <c r="D147" s="2">
        <v>253000000</v>
      </c>
    </row>
    <row r="148" spans="2:4" ht="15.75" hidden="1" outlineLevel="1" x14ac:dyDescent="0.3">
      <c r="B148" s="12" t="s">
        <v>1600</v>
      </c>
      <c r="C148" s="2">
        <v>1252000000</v>
      </c>
      <c r="D148" s="2"/>
    </row>
    <row r="149" spans="2:4" ht="15.75" hidden="1" outlineLevel="1" x14ac:dyDescent="0.3">
      <c r="B149" s="12" t="s">
        <v>1604</v>
      </c>
      <c r="C149" s="2"/>
      <c r="D149" s="2">
        <v>6714000000</v>
      </c>
    </row>
    <row r="150" spans="2:4" ht="15.75" hidden="1" outlineLevel="1" x14ac:dyDescent="0.3">
      <c r="B150" s="12" t="s">
        <v>1604</v>
      </c>
      <c r="C150" s="2">
        <v>5298000000</v>
      </c>
      <c r="D150" s="2"/>
    </row>
    <row r="151" spans="2:4" ht="15.75" hidden="1" outlineLevel="1" x14ac:dyDescent="0.3">
      <c r="B151" s="12" t="s">
        <v>1608</v>
      </c>
      <c r="C151" s="2">
        <v>76453000000</v>
      </c>
      <c r="D151" s="2"/>
    </row>
    <row r="152" spans="2:4" ht="15.75" hidden="1" outlineLevel="1" x14ac:dyDescent="0.3">
      <c r="B152" s="12" t="s">
        <v>1608</v>
      </c>
      <c r="C152" s="2"/>
      <c r="D152" s="2">
        <v>73540000000</v>
      </c>
    </row>
    <row r="153" spans="2:4" ht="15.75" hidden="1" outlineLevel="1" x14ac:dyDescent="0.3">
      <c r="B153" s="12" t="s">
        <v>1612</v>
      </c>
      <c r="C153" s="2"/>
      <c r="D153" s="2">
        <v>8356000000</v>
      </c>
    </row>
    <row r="154" spans="2:4" ht="15.75" hidden="1" outlineLevel="1" x14ac:dyDescent="0.3">
      <c r="B154" s="12" t="s">
        <v>1612</v>
      </c>
      <c r="C154" s="2">
        <v>11379000000</v>
      </c>
      <c r="D154" s="2"/>
    </row>
    <row r="155" spans="2:4" ht="15.75" hidden="1" outlineLevel="1" x14ac:dyDescent="0.3">
      <c r="B155" s="12" t="s">
        <v>1616</v>
      </c>
      <c r="C155" s="2">
        <v>1059000000</v>
      </c>
      <c r="D155" s="2"/>
    </row>
    <row r="156" spans="2:4" ht="15.75" hidden="1" outlineLevel="1" x14ac:dyDescent="0.3">
      <c r="B156" s="12" t="s">
        <v>1616</v>
      </c>
      <c r="C156" s="2"/>
      <c r="D156" s="2">
        <v>922000000</v>
      </c>
    </row>
    <row r="157" spans="2:4" ht="15.75" hidden="1" outlineLevel="1" x14ac:dyDescent="0.3">
      <c r="B157" s="12" t="s">
        <v>1620</v>
      </c>
      <c r="C157" s="2"/>
      <c r="D157" s="2">
        <v>1500000000</v>
      </c>
    </row>
    <row r="158" spans="2:4" ht="15.75" hidden="1" outlineLevel="1" x14ac:dyDescent="0.3">
      <c r="B158" s="12" t="s">
        <v>1620</v>
      </c>
      <c r="C158" s="2">
        <v>5723000000</v>
      </c>
      <c r="D158" s="2"/>
    </row>
    <row r="159" spans="2:4" ht="15.75" hidden="1" outlineLevel="1" x14ac:dyDescent="0.3">
      <c r="B159" s="12" t="s">
        <v>1624</v>
      </c>
      <c r="C159" s="2">
        <v>34997000000</v>
      </c>
      <c r="D159" s="2"/>
    </row>
    <row r="160" spans="2:4" ht="15.75" hidden="1" outlineLevel="1" x14ac:dyDescent="0.3">
      <c r="B160" s="12" t="s">
        <v>1624</v>
      </c>
      <c r="C160" s="2"/>
      <c r="D160" s="2">
        <v>31264000000</v>
      </c>
    </row>
    <row r="161" spans="2:4" ht="15.75" hidden="1" outlineLevel="1" x14ac:dyDescent="0.3">
      <c r="B161" s="12" t="s">
        <v>1628</v>
      </c>
      <c r="C161" s="2"/>
      <c r="D161" s="2">
        <v>57768000000</v>
      </c>
    </row>
    <row r="162" spans="2:4" ht="15.75" hidden="1" outlineLevel="1" x14ac:dyDescent="0.3">
      <c r="B162" s="12" t="s">
        <v>1628</v>
      </c>
      <c r="C162" s="2">
        <v>56479000000</v>
      </c>
      <c r="D162" s="2"/>
    </row>
    <row r="163" spans="2:4" ht="15.75" hidden="1" outlineLevel="1" x14ac:dyDescent="0.3">
      <c r="B163" s="12" t="s">
        <v>1632</v>
      </c>
      <c r="C163" s="2">
        <v>1246000000</v>
      </c>
      <c r="D163" s="2"/>
    </row>
    <row r="164" spans="2:4" ht="15.75" hidden="1" outlineLevel="1" x14ac:dyDescent="0.3">
      <c r="B164" s="12" t="s">
        <v>1632</v>
      </c>
      <c r="C164" s="2"/>
      <c r="D164" s="2">
        <v>1322000000</v>
      </c>
    </row>
    <row r="165" spans="2:4" ht="15.75" hidden="1" outlineLevel="1" x14ac:dyDescent="0.3">
      <c r="B165" s="12" t="s">
        <v>1636</v>
      </c>
      <c r="C165" s="2"/>
      <c r="D165" s="2">
        <v>1570000000</v>
      </c>
    </row>
    <row r="166" spans="2:4" ht="15.75" hidden="1" outlineLevel="1" x14ac:dyDescent="0.3">
      <c r="B166" s="12" t="s">
        <v>1636</v>
      </c>
      <c r="C166" s="2">
        <v>2490000000</v>
      </c>
      <c r="D166" s="2"/>
    </row>
    <row r="167" spans="2:4" ht="15.75" hidden="1" outlineLevel="1" x14ac:dyDescent="0.3">
      <c r="B167" s="12" t="s">
        <v>1640</v>
      </c>
      <c r="C167" s="2">
        <v>2890000000</v>
      </c>
      <c r="D167" s="2"/>
    </row>
    <row r="168" spans="2:4" ht="15.75" hidden="1" outlineLevel="1" x14ac:dyDescent="0.3">
      <c r="B168" s="12" t="s">
        <v>1640</v>
      </c>
      <c r="C168" s="2"/>
      <c r="D168" s="2">
        <v>485000000</v>
      </c>
    </row>
    <row r="169" spans="2:4" ht="15.75" hidden="1" outlineLevel="1" x14ac:dyDescent="0.3">
      <c r="B169" s="12" t="s">
        <v>1644</v>
      </c>
      <c r="C169" s="2"/>
      <c r="D169" s="2">
        <v>48067000000</v>
      </c>
    </row>
    <row r="170" spans="2:4" ht="15.75" hidden="1" outlineLevel="1" x14ac:dyDescent="0.3">
      <c r="B170" s="12" t="s">
        <v>1644</v>
      </c>
      <c r="C170" s="2">
        <v>53320000000</v>
      </c>
      <c r="D170" s="2"/>
    </row>
    <row r="171" spans="2:4" ht="15.75" hidden="1" outlineLevel="1" x14ac:dyDescent="0.3">
      <c r="B171" s="12" t="s">
        <v>1648</v>
      </c>
      <c r="C171" s="2"/>
      <c r="D171" s="2">
        <v>151254000000</v>
      </c>
    </row>
    <row r="172" spans="2:4" ht="15.75" hidden="1" outlineLevel="1" x14ac:dyDescent="0.3">
      <c r="B172" s="12" t="s">
        <v>1648</v>
      </c>
      <c r="C172" s="2">
        <v>169583000000</v>
      </c>
      <c r="D172" s="2"/>
    </row>
    <row r="173" spans="2:4" ht="15.75" hidden="1" outlineLevel="1" x14ac:dyDescent="0.3">
      <c r="B173" s="12" t="s">
        <v>1652</v>
      </c>
      <c r="C173" s="2">
        <v>388235000000</v>
      </c>
      <c r="D173" s="2"/>
    </row>
    <row r="174" spans="2:4" ht="15.75" hidden="1" outlineLevel="1" x14ac:dyDescent="0.3">
      <c r="B174" s="12" t="s">
        <v>1652</v>
      </c>
      <c r="C174" s="2"/>
      <c r="D174" s="2">
        <v>373172000000</v>
      </c>
    </row>
    <row r="175" spans="2:4" hidden="1" outlineLevel="1" x14ac:dyDescent="0.25"/>
    <row r="176" spans="2:4" collapsed="1" x14ac:dyDescent="0.25"/>
    <row r="177" spans="2:5" ht="21" collapsed="1" x14ac:dyDescent="0.4">
      <c r="B177" s="22" t="s">
        <v>2496</v>
      </c>
      <c r="C177" s="9"/>
      <c r="D177" s="9"/>
      <c r="E177" s="9"/>
    </row>
    <row r="178" spans="2:5" hidden="1" outlineLevel="1" x14ac:dyDescent="0.25"/>
    <row r="179" spans="2:5" ht="15.75" hidden="1" outlineLevel="1" x14ac:dyDescent="0.3">
      <c r="B179" s="17" t="s">
        <v>2440</v>
      </c>
      <c r="C179" s="17" t="s">
        <v>2437</v>
      </c>
      <c r="D179" s="17" t="s">
        <v>2438</v>
      </c>
    </row>
    <row r="180" spans="2:5" ht="15.75" hidden="1" outlineLevel="1" x14ac:dyDescent="0.3">
      <c r="B180" s="12" t="s">
        <v>1370</v>
      </c>
      <c r="C180" s="2">
        <v>400234000000</v>
      </c>
      <c r="D180" s="2"/>
    </row>
    <row r="181" spans="2:5" ht="15.75" hidden="1" outlineLevel="1" x14ac:dyDescent="0.3">
      <c r="B181" s="12" t="s">
        <v>1370</v>
      </c>
      <c r="C181" s="2"/>
      <c r="D181" s="2">
        <v>357263000000</v>
      </c>
    </row>
    <row r="182" spans="2:5" ht="15.75" hidden="1" outlineLevel="1" x14ac:dyDescent="0.3">
      <c r="B182" s="12" t="s">
        <v>1376</v>
      </c>
      <c r="C182" s="2">
        <v>320821000000</v>
      </c>
      <c r="D182" s="2"/>
    </row>
    <row r="183" spans="2:5" ht="15.75" hidden="1" outlineLevel="1" x14ac:dyDescent="0.3">
      <c r="B183" s="12" t="s">
        <v>1376</v>
      </c>
      <c r="C183" s="2"/>
      <c r="D183" s="2">
        <v>297042000000</v>
      </c>
    </row>
    <row r="184" spans="2:5" ht="15.75" hidden="1" outlineLevel="1" x14ac:dyDescent="0.3">
      <c r="B184" s="12" t="s">
        <v>1380</v>
      </c>
      <c r="C184" s="2">
        <v>79413000000</v>
      </c>
      <c r="D184" s="2"/>
    </row>
    <row r="185" spans="2:5" ht="15.75" hidden="1" outlineLevel="1" x14ac:dyDescent="0.3">
      <c r="B185" s="12" t="s">
        <v>1380</v>
      </c>
      <c r="C185" s="2"/>
      <c r="D185" s="2">
        <v>60221000000</v>
      </c>
    </row>
    <row r="186" spans="2:5" ht="15.75" hidden="1" outlineLevel="1" x14ac:dyDescent="0.3">
      <c r="B186" s="12" t="s">
        <v>1384</v>
      </c>
      <c r="C186" s="2">
        <v>16983000000</v>
      </c>
      <c r="D186" s="2"/>
    </row>
    <row r="187" spans="2:5" ht="15.75" hidden="1" outlineLevel="1" x14ac:dyDescent="0.3">
      <c r="B187" s="12" t="s">
        <v>1384</v>
      </c>
      <c r="C187" s="2"/>
      <c r="D187" s="2">
        <v>26067000000</v>
      </c>
    </row>
    <row r="188" spans="2:5" ht="15.75" hidden="1" outlineLevel="1" x14ac:dyDescent="0.3">
      <c r="B188" s="12" t="s">
        <v>1388</v>
      </c>
      <c r="C188" s="2"/>
      <c r="D188" s="2">
        <v>23213000000</v>
      </c>
    </row>
    <row r="189" spans="2:5" ht="15.75" hidden="1" outlineLevel="1" x14ac:dyDescent="0.3">
      <c r="B189" s="12" t="s">
        <v>1388</v>
      </c>
      <c r="C189" s="2">
        <v>25409000000</v>
      </c>
      <c r="D189" s="2"/>
    </row>
    <row r="190" spans="2:5" ht="15.75" hidden="1" outlineLevel="1" x14ac:dyDescent="0.3">
      <c r="B190" s="12" t="s">
        <v>1392</v>
      </c>
      <c r="C190" s="2"/>
      <c r="D190" s="2">
        <v>10476000000</v>
      </c>
    </row>
    <row r="191" spans="2:5" ht="15.75" hidden="1" outlineLevel="1" x14ac:dyDescent="0.3">
      <c r="B191" s="12" t="s">
        <v>1392</v>
      </c>
      <c r="C191" s="2">
        <v>12038000000</v>
      </c>
      <c r="D191" s="2"/>
    </row>
    <row r="192" spans="2:5" ht="15.75" hidden="1" outlineLevel="1" x14ac:dyDescent="0.3">
      <c r="B192" s="12" t="s">
        <v>1396</v>
      </c>
      <c r="C192" s="2"/>
      <c r="D192" s="2">
        <v>-816000000</v>
      </c>
    </row>
    <row r="193" spans="2:4" ht="15.75" hidden="1" outlineLevel="1" x14ac:dyDescent="0.3">
      <c r="B193" s="12" t="s">
        <v>1396</v>
      </c>
      <c r="C193" s="2">
        <v>2057000000</v>
      </c>
      <c r="D193" s="2"/>
    </row>
    <row r="194" spans="2:4" ht="15.75" hidden="1" outlineLevel="1" x14ac:dyDescent="0.3">
      <c r="B194" s="12" t="s">
        <v>1400</v>
      </c>
      <c r="C194" s="2"/>
      <c r="D194" s="2">
        <v>654000000</v>
      </c>
    </row>
    <row r="195" spans="2:4" ht="15.75" hidden="1" outlineLevel="1" x14ac:dyDescent="0.3">
      <c r="B195" s="12" t="s">
        <v>1400</v>
      </c>
      <c r="C195" s="2">
        <v>-4722000000</v>
      </c>
      <c r="D195" s="2"/>
    </row>
    <row r="196" spans="2:4" ht="15.75" hidden="1" outlineLevel="1" x14ac:dyDescent="0.3">
      <c r="B196" s="12" t="s">
        <v>1404</v>
      </c>
      <c r="C196" s="2"/>
      <c r="D196" s="2">
        <v>303000000</v>
      </c>
    </row>
    <row r="197" spans="2:4" ht="15.75" hidden="1" outlineLevel="1" x14ac:dyDescent="0.3">
      <c r="B197" s="12" t="s">
        <v>1404</v>
      </c>
      <c r="C197" s="2">
        <v>22318000000</v>
      </c>
      <c r="D197" s="2"/>
    </row>
    <row r="198" spans="2:4" ht="15.75" hidden="1" outlineLevel="1" x14ac:dyDescent="0.3">
      <c r="B198" s="12" t="s">
        <v>1408</v>
      </c>
      <c r="C198" s="2"/>
      <c r="D198" s="2">
        <v>1929000000</v>
      </c>
    </row>
    <row r="199" spans="2:4" ht="15.75" hidden="1" outlineLevel="1" x14ac:dyDescent="0.3">
      <c r="B199" s="12" t="s">
        <v>1408</v>
      </c>
      <c r="C199" s="2">
        <v>2190000000</v>
      </c>
      <c r="D199" s="2"/>
    </row>
    <row r="200" spans="2:4" ht="15.75" hidden="1" outlineLevel="1" x14ac:dyDescent="0.3">
      <c r="B200" s="12" t="s">
        <v>1412</v>
      </c>
      <c r="C200" s="2"/>
      <c r="D200" s="2">
        <v>1251000000</v>
      </c>
    </row>
    <row r="201" spans="2:4" ht="15.75" hidden="1" outlineLevel="1" x14ac:dyDescent="0.3">
      <c r="B201" s="12" t="s">
        <v>1412</v>
      </c>
      <c r="C201" s="2">
        <v>1164000000</v>
      </c>
      <c r="D201" s="2"/>
    </row>
    <row r="202" spans="2:4" ht="15.75" hidden="1" outlineLevel="1" x14ac:dyDescent="0.3">
      <c r="B202" s="12" t="s">
        <v>1416</v>
      </c>
      <c r="C202" s="2"/>
      <c r="D202" s="2">
        <v>-1647000000</v>
      </c>
    </row>
    <row r="203" spans="2:4" ht="15.75" hidden="1" outlineLevel="1" x14ac:dyDescent="0.3">
      <c r="B203" s="12" t="s">
        <v>1416</v>
      </c>
      <c r="C203" s="2">
        <v>-625000000</v>
      </c>
      <c r="D203" s="2"/>
    </row>
    <row r="204" spans="2:4" ht="15.75" hidden="1" outlineLevel="1" x14ac:dyDescent="0.3">
      <c r="B204" s="12" t="s">
        <v>1420</v>
      </c>
      <c r="C204" s="2"/>
      <c r="D204" s="2">
        <v>-666000000</v>
      </c>
    </row>
    <row r="205" spans="2:4" ht="15.75" hidden="1" outlineLevel="1" x14ac:dyDescent="0.3">
      <c r="B205" s="12" t="s">
        <v>1420</v>
      </c>
      <c r="C205" s="2">
        <v>22719000000</v>
      </c>
      <c r="D205" s="2"/>
    </row>
    <row r="206" spans="2:4" ht="15.75" hidden="1" outlineLevel="1" x14ac:dyDescent="0.3">
      <c r="B206" s="12" t="s">
        <v>1424</v>
      </c>
      <c r="C206" s="2"/>
      <c r="D206" s="2">
        <v>2302000000</v>
      </c>
    </row>
    <row r="207" spans="2:4" ht="15.75" hidden="1" outlineLevel="1" x14ac:dyDescent="0.3">
      <c r="B207" s="12" t="s">
        <v>1424</v>
      </c>
      <c r="C207" s="2">
        <v>6785000000</v>
      </c>
      <c r="D207" s="2"/>
    </row>
    <row r="208" spans="2:4" ht="15.75" hidden="1" outlineLevel="1" x14ac:dyDescent="0.3">
      <c r="B208" s="12" t="s">
        <v>1428</v>
      </c>
      <c r="C208" s="2">
        <v>15934000000</v>
      </c>
      <c r="D208" s="2"/>
    </row>
    <row r="209" spans="1:13" ht="15.75" hidden="1" outlineLevel="1" x14ac:dyDescent="0.3">
      <c r="B209" s="12" t="s">
        <v>1428</v>
      </c>
      <c r="C209" s="2"/>
      <c r="D209" s="2">
        <v>-2968000000</v>
      </c>
    </row>
    <row r="210" spans="1:13" ht="15.75" hidden="1" outlineLevel="1" x14ac:dyDescent="0.3">
      <c r="B210" s="12" t="s">
        <v>1432</v>
      </c>
      <c r="C210" s="2">
        <v>15401000000</v>
      </c>
      <c r="D210" s="2"/>
    </row>
    <row r="211" spans="1:13" ht="15.75" hidden="1" outlineLevel="1" x14ac:dyDescent="0.3">
      <c r="B211" s="12" t="s">
        <v>1432</v>
      </c>
      <c r="C211" s="2"/>
      <c r="D211" s="2">
        <v>174000000</v>
      </c>
    </row>
    <row r="212" spans="1:13" ht="15.75" hidden="1" outlineLevel="1" x14ac:dyDescent="0.3">
      <c r="B212" s="12" t="s">
        <v>1436</v>
      </c>
      <c r="C212" s="2">
        <v>533000000</v>
      </c>
      <c r="D212" s="2"/>
    </row>
    <row r="213" spans="1:13" ht="15.75" hidden="1" outlineLevel="1" x14ac:dyDescent="0.3">
      <c r="B213" s="12" t="s">
        <v>1436</v>
      </c>
      <c r="C213" s="2"/>
      <c r="D213" s="2">
        <v>-3142000000</v>
      </c>
    </row>
    <row r="214" spans="1:13" ht="15.75" hidden="1" outlineLevel="1" x14ac:dyDescent="0.3">
      <c r="B214" s="12" t="s">
        <v>1428</v>
      </c>
      <c r="C214" s="2">
        <v>15934000000</v>
      </c>
      <c r="D214" s="2"/>
    </row>
    <row r="215" spans="1:13" ht="15.75" hidden="1" outlineLevel="1" x14ac:dyDescent="0.3">
      <c r="B215" s="12" t="s">
        <v>1428</v>
      </c>
      <c r="C215" s="2"/>
      <c r="D215" s="2">
        <v>-2968000000</v>
      </c>
    </row>
    <row r="216" spans="1:13" ht="15.75" hidden="1" outlineLevel="1" x14ac:dyDescent="0.3">
      <c r="B216" s="12" t="s">
        <v>1440</v>
      </c>
      <c r="C216" s="1">
        <v>5.17</v>
      </c>
      <c r="D216" s="1"/>
    </row>
    <row r="217" spans="1:13" ht="15.75" hidden="1" outlineLevel="1" x14ac:dyDescent="0.3">
      <c r="B217" s="12" t="s">
        <v>1440</v>
      </c>
      <c r="C217" s="1"/>
      <c r="D217" s="1">
        <v>0.06</v>
      </c>
    </row>
    <row r="218" spans="1:13" ht="15.75" hidden="1" outlineLevel="1" x14ac:dyDescent="0.3">
      <c r="B218" s="12" t="s">
        <v>1444</v>
      </c>
      <c r="C218" s="1"/>
      <c r="D218" s="1">
        <v>0.06</v>
      </c>
    </row>
    <row r="219" spans="1:13" ht="15.75" hidden="1" outlineLevel="1" x14ac:dyDescent="0.3">
      <c r="B219" s="12" t="s">
        <v>1444</v>
      </c>
      <c r="C219" s="1">
        <v>5.17</v>
      </c>
      <c r="D219" s="1"/>
    </row>
    <row r="220" spans="1:13" hidden="1" outlineLevel="1" x14ac:dyDescent="0.25"/>
    <row r="221" spans="1:13" collapsed="1" x14ac:dyDescent="0.25"/>
    <row r="222" spans="1:13" ht="21" collapsed="1" x14ac:dyDescent="0.4">
      <c r="B222" s="22" t="s">
        <v>2497</v>
      </c>
      <c r="C222" s="9"/>
      <c r="D222" s="9"/>
      <c r="E222" s="9"/>
    </row>
    <row r="223" spans="1:13" hidden="1" outlineLevel="1" x14ac:dyDescent="0.25"/>
    <row r="224" spans="1:13" s="18" customFormat="1" ht="15.75" hidden="1" outlineLevel="1" x14ac:dyDescent="0.3">
      <c r="A224" s="21"/>
      <c r="B224" s="20" t="s">
        <v>0</v>
      </c>
      <c r="C224" s="20" t="s">
        <v>1</v>
      </c>
      <c r="D224" s="20" t="s">
        <v>4</v>
      </c>
      <c r="E224" s="20" t="s">
        <v>6</v>
      </c>
      <c r="F224" s="20" t="s">
        <v>7</v>
      </c>
      <c r="G224" s="20" t="s">
        <v>1363</v>
      </c>
      <c r="H224" s="20" t="s">
        <v>1364</v>
      </c>
      <c r="I224" s="20" t="s">
        <v>1365</v>
      </c>
      <c r="J224" s="20" t="s">
        <v>1366</v>
      </c>
      <c r="K224" s="20" t="s">
        <v>1367</v>
      </c>
      <c r="L224" s="20" t="s">
        <v>1368</v>
      </c>
      <c r="M224" s="20" t="s">
        <v>1369</v>
      </c>
    </row>
    <row r="225" spans="2:13" ht="15.75" hidden="1" outlineLevel="1" x14ac:dyDescent="0.3">
      <c r="B225" s="13" t="s">
        <v>99</v>
      </c>
      <c r="C225" s="13" t="s">
        <v>1370</v>
      </c>
      <c r="D225" s="13" t="s">
        <v>71</v>
      </c>
      <c r="E225" s="13" t="s">
        <v>13</v>
      </c>
      <c r="F225" s="13" t="s">
        <v>100</v>
      </c>
      <c r="G225" s="13" t="s">
        <v>1371</v>
      </c>
      <c r="H225" s="13" t="s">
        <v>1372</v>
      </c>
      <c r="I225" s="13">
        <v>2024</v>
      </c>
      <c r="J225" s="13" t="s">
        <v>1370</v>
      </c>
      <c r="K225" s="13">
        <v>4</v>
      </c>
      <c r="L225" s="13">
        <v>5</v>
      </c>
      <c r="M225" s="13" t="s">
        <v>1373</v>
      </c>
    </row>
    <row r="226" spans="2:13" ht="15.75" hidden="1" outlineLevel="1" x14ac:dyDescent="0.3">
      <c r="B226" s="13" t="s">
        <v>55</v>
      </c>
      <c r="C226" s="13" t="s">
        <v>1370</v>
      </c>
      <c r="D226" s="13" t="s">
        <v>11</v>
      </c>
      <c r="E226" s="13" t="s">
        <v>13</v>
      </c>
      <c r="F226" s="13" t="s">
        <v>57</v>
      </c>
      <c r="G226" s="13" t="s">
        <v>1371</v>
      </c>
      <c r="H226" s="13" t="s">
        <v>1372</v>
      </c>
      <c r="I226" s="13">
        <v>2025</v>
      </c>
      <c r="J226" s="13" t="s">
        <v>1370</v>
      </c>
      <c r="K226" s="13">
        <v>3</v>
      </c>
      <c r="L226" s="13">
        <v>5</v>
      </c>
      <c r="M226" s="13" t="s">
        <v>1374</v>
      </c>
    </row>
    <row r="227" spans="2:13" ht="15.75" hidden="1" outlineLevel="1" x14ac:dyDescent="0.3">
      <c r="B227" s="13" t="s">
        <v>58</v>
      </c>
      <c r="C227" s="13" t="s">
        <v>1375</v>
      </c>
      <c r="D227" s="13" t="s">
        <v>11</v>
      </c>
      <c r="E227" s="13" t="s">
        <v>13</v>
      </c>
      <c r="F227" s="13" t="s">
        <v>60</v>
      </c>
      <c r="G227" s="13" t="s">
        <v>1371</v>
      </c>
      <c r="H227" s="13" t="s">
        <v>1372</v>
      </c>
      <c r="I227" s="13">
        <v>2025</v>
      </c>
      <c r="J227" s="13" t="s">
        <v>1376</v>
      </c>
      <c r="K227" s="13">
        <v>3</v>
      </c>
      <c r="L227" s="13">
        <v>6</v>
      </c>
      <c r="M227" s="13" t="s">
        <v>1377</v>
      </c>
    </row>
    <row r="228" spans="2:13" ht="15.75" hidden="1" outlineLevel="1" x14ac:dyDescent="0.3">
      <c r="B228" s="13" t="s">
        <v>101</v>
      </c>
      <c r="C228" s="13" t="s">
        <v>1375</v>
      </c>
      <c r="D228" s="13" t="s">
        <v>71</v>
      </c>
      <c r="E228" s="13" t="s">
        <v>13</v>
      </c>
      <c r="F228" s="13" t="s">
        <v>102</v>
      </c>
      <c r="G228" s="13" t="s">
        <v>1371</v>
      </c>
      <c r="H228" s="13" t="s">
        <v>1372</v>
      </c>
      <c r="I228" s="13">
        <v>2024</v>
      </c>
      <c r="J228" s="13" t="s">
        <v>1376</v>
      </c>
      <c r="K228" s="13">
        <v>4</v>
      </c>
      <c r="L228" s="13">
        <v>6</v>
      </c>
      <c r="M228" s="13" t="s">
        <v>1378</v>
      </c>
    </row>
    <row r="229" spans="2:13" ht="15.75" hidden="1" outlineLevel="1" x14ac:dyDescent="0.3">
      <c r="B229" s="13" t="s">
        <v>61</v>
      </c>
      <c r="C229" s="13" t="s">
        <v>1379</v>
      </c>
      <c r="D229" s="13" t="s">
        <v>11</v>
      </c>
      <c r="E229" s="13" t="s">
        <v>13</v>
      </c>
      <c r="F229" s="13" t="s">
        <v>63</v>
      </c>
      <c r="G229" s="13" t="s">
        <v>1371</v>
      </c>
      <c r="H229" s="13" t="s">
        <v>1372</v>
      </c>
      <c r="I229" s="13">
        <v>2025</v>
      </c>
      <c r="J229" s="13" t="s">
        <v>1380</v>
      </c>
      <c r="K229" s="13">
        <v>3</v>
      </c>
      <c r="L229" s="13">
        <v>7</v>
      </c>
      <c r="M229" s="13" t="s">
        <v>1381</v>
      </c>
    </row>
    <row r="230" spans="2:13" ht="15.75" hidden="1" outlineLevel="1" x14ac:dyDescent="0.3">
      <c r="B230" s="13" t="s">
        <v>103</v>
      </c>
      <c r="C230" s="13" t="s">
        <v>1379</v>
      </c>
      <c r="D230" s="13" t="s">
        <v>71</v>
      </c>
      <c r="E230" s="13" t="s">
        <v>13</v>
      </c>
      <c r="F230" s="13" t="s">
        <v>104</v>
      </c>
      <c r="G230" s="13" t="s">
        <v>1371</v>
      </c>
      <c r="H230" s="13" t="s">
        <v>1372</v>
      </c>
      <c r="I230" s="13">
        <v>2024</v>
      </c>
      <c r="J230" s="13" t="s">
        <v>1380</v>
      </c>
      <c r="K230" s="13">
        <v>4</v>
      </c>
      <c r="L230" s="13">
        <v>7</v>
      </c>
      <c r="M230" s="13" t="s">
        <v>1382</v>
      </c>
    </row>
    <row r="231" spans="2:13" ht="15.75" hidden="1" outlineLevel="1" x14ac:dyDescent="0.3">
      <c r="B231" s="13" t="s">
        <v>64</v>
      </c>
      <c r="C231" s="13" t="s">
        <v>1383</v>
      </c>
      <c r="D231" s="13" t="s">
        <v>11</v>
      </c>
      <c r="E231" s="13" t="s">
        <v>13</v>
      </c>
      <c r="F231" s="13" t="s">
        <v>66</v>
      </c>
      <c r="G231" s="13" t="s">
        <v>1371</v>
      </c>
      <c r="H231" s="13" t="s">
        <v>1372</v>
      </c>
      <c r="I231" s="13">
        <v>2025</v>
      </c>
      <c r="J231" s="13" t="s">
        <v>1384</v>
      </c>
      <c r="K231" s="13">
        <v>3</v>
      </c>
      <c r="L231" s="13">
        <v>8</v>
      </c>
      <c r="M231" s="13" t="s">
        <v>1385</v>
      </c>
    </row>
    <row r="232" spans="2:13" ht="15.75" hidden="1" outlineLevel="1" x14ac:dyDescent="0.3">
      <c r="B232" s="13" t="s">
        <v>105</v>
      </c>
      <c r="C232" s="13" t="s">
        <v>1383</v>
      </c>
      <c r="D232" s="13" t="s">
        <v>71</v>
      </c>
      <c r="E232" s="13" t="s">
        <v>13</v>
      </c>
      <c r="F232" s="13" t="s">
        <v>106</v>
      </c>
      <c r="G232" s="13" t="s">
        <v>1371</v>
      </c>
      <c r="H232" s="13" t="s">
        <v>1372</v>
      </c>
      <c r="I232" s="13">
        <v>2024</v>
      </c>
      <c r="J232" s="13" t="s">
        <v>1384</v>
      </c>
      <c r="K232" s="13">
        <v>4</v>
      </c>
      <c r="L232" s="13">
        <v>8</v>
      </c>
      <c r="M232" s="13" t="s">
        <v>1386</v>
      </c>
    </row>
    <row r="233" spans="2:13" ht="15.75" hidden="1" outlineLevel="1" x14ac:dyDescent="0.3">
      <c r="B233" s="13" t="s">
        <v>67</v>
      </c>
      <c r="C233" s="13" t="s">
        <v>1387</v>
      </c>
      <c r="D233" s="13" t="s">
        <v>11</v>
      </c>
      <c r="E233" s="13" t="s">
        <v>13</v>
      </c>
      <c r="F233" s="13" t="s">
        <v>69</v>
      </c>
      <c r="G233" s="13" t="s">
        <v>1371</v>
      </c>
      <c r="H233" s="13" t="s">
        <v>1372</v>
      </c>
      <c r="I233" s="13">
        <v>2025</v>
      </c>
      <c r="J233" s="13" t="s">
        <v>1388</v>
      </c>
      <c r="K233" s="13">
        <v>3</v>
      </c>
      <c r="L233" s="13">
        <v>9</v>
      </c>
      <c r="M233" s="13" t="s">
        <v>1389</v>
      </c>
    </row>
    <row r="234" spans="2:13" ht="15.75" hidden="1" outlineLevel="1" x14ac:dyDescent="0.3">
      <c r="B234" s="13" t="s">
        <v>107</v>
      </c>
      <c r="C234" s="13" t="s">
        <v>1387</v>
      </c>
      <c r="D234" s="13" t="s">
        <v>71</v>
      </c>
      <c r="E234" s="13" t="s">
        <v>13</v>
      </c>
      <c r="F234" s="13" t="s">
        <v>108</v>
      </c>
      <c r="G234" s="13" t="s">
        <v>1371</v>
      </c>
      <c r="H234" s="13" t="s">
        <v>1372</v>
      </c>
      <c r="I234" s="13">
        <v>2024</v>
      </c>
      <c r="J234" s="13" t="s">
        <v>1388</v>
      </c>
      <c r="K234" s="13">
        <v>4</v>
      </c>
      <c r="L234" s="13">
        <v>9</v>
      </c>
      <c r="M234" s="13" t="s">
        <v>1390</v>
      </c>
    </row>
    <row r="235" spans="2:13" ht="15.75" hidden="1" outlineLevel="1" x14ac:dyDescent="0.3">
      <c r="B235" s="13" t="s">
        <v>70</v>
      </c>
      <c r="C235" s="13" t="s">
        <v>1391</v>
      </c>
      <c r="D235" s="13" t="s">
        <v>71</v>
      </c>
      <c r="E235" s="13" t="s">
        <v>13</v>
      </c>
      <c r="F235" s="13" t="s">
        <v>72</v>
      </c>
      <c r="G235" s="13" t="s">
        <v>1371</v>
      </c>
      <c r="H235" s="13" t="s">
        <v>1372</v>
      </c>
      <c r="I235" s="13">
        <v>2024</v>
      </c>
      <c r="J235" s="13" t="s">
        <v>1392</v>
      </c>
      <c r="K235" s="13">
        <v>4</v>
      </c>
      <c r="L235" s="13">
        <v>10</v>
      </c>
      <c r="M235" s="13" t="s">
        <v>1393</v>
      </c>
    </row>
    <row r="236" spans="2:13" ht="15.75" hidden="1" outlineLevel="1" x14ac:dyDescent="0.3">
      <c r="B236" s="13" t="s">
        <v>8</v>
      </c>
      <c r="C236" s="13" t="s">
        <v>1391</v>
      </c>
      <c r="D236" s="13" t="s">
        <v>11</v>
      </c>
      <c r="E236" s="13" t="s">
        <v>13</v>
      </c>
      <c r="F236" s="13" t="s">
        <v>14</v>
      </c>
      <c r="G236" s="13" t="s">
        <v>1371</v>
      </c>
      <c r="H236" s="13" t="s">
        <v>1372</v>
      </c>
      <c r="I236" s="13">
        <v>2025</v>
      </c>
      <c r="J236" s="13" t="s">
        <v>1392</v>
      </c>
      <c r="K236" s="13">
        <v>3</v>
      </c>
      <c r="L236" s="13">
        <v>10</v>
      </c>
      <c r="M236" s="13" t="s">
        <v>1394</v>
      </c>
    </row>
    <row r="237" spans="2:13" ht="15.75" hidden="1" outlineLevel="1" x14ac:dyDescent="0.3">
      <c r="B237" s="13" t="s">
        <v>73</v>
      </c>
      <c r="C237" s="13" t="s">
        <v>1395</v>
      </c>
      <c r="D237" s="13" t="s">
        <v>71</v>
      </c>
      <c r="E237" s="13" t="s">
        <v>13</v>
      </c>
      <c r="F237" s="13" t="s">
        <v>74</v>
      </c>
      <c r="G237" s="13" t="s">
        <v>1371</v>
      </c>
      <c r="H237" s="13" t="s">
        <v>1372</v>
      </c>
      <c r="I237" s="13">
        <v>2024</v>
      </c>
      <c r="J237" s="13" t="s">
        <v>1396</v>
      </c>
      <c r="K237" s="13">
        <v>4</v>
      </c>
      <c r="L237" s="13">
        <v>11</v>
      </c>
      <c r="M237" s="13" t="s">
        <v>1397</v>
      </c>
    </row>
    <row r="238" spans="2:13" ht="15.75" hidden="1" outlineLevel="1" x14ac:dyDescent="0.3">
      <c r="B238" s="13" t="s">
        <v>15</v>
      </c>
      <c r="C238" s="13" t="s">
        <v>1395</v>
      </c>
      <c r="D238" s="13" t="s">
        <v>11</v>
      </c>
      <c r="E238" s="13" t="s">
        <v>13</v>
      </c>
      <c r="F238" s="13" t="s">
        <v>17</v>
      </c>
      <c r="G238" s="13" t="s">
        <v>1371</v>
      </c>
      <c r="H238" s="13" t="s">
        <v>1372</v>
      </c>
      <c r="I238" s="13">
        <v>2025</v>
      </c>
      <c r="J238" s="13" t="s">
        <v>1396</v>
      </c>
      <c r="K238" s="13">
        <v>3</v>
      </c>
      <c r="L238" s="13">
        <v>11</v>
      </c>
      <c r="M238" s="13" t="s">
        <v>1398</v>
      </c>
    </row>
    <row r="239" spans="2:13" ht="15.75" hidden="1" outlineLevel="1" x14ac:dyDescent="0.3">
      <c r="B239" s="13" t="s">
        <v>75</v>
      </c>
      <c r="C239" s="13" t="s">
        <v>1399</v>
      </c>
      <c r="D239" s="13" t="s">
        <v>71</v>
      </c>
      <c r="E239" s="13" t="s">
        <v>13</v>
      </c>
      <c r="F239" s="13" t="s">
        <v>76</v>
      </c>
      <c r="G239" s="13" t="s">
        <v>1371</v>
      </c>
      <c r="H239" s="13" t="s">
        <v>1372</v>
      </c>
      <c r="I239" s="13">
        <v>2024</v>
      </c>
      <c r="J239" s="13" t="s">
        <v>1400</v>
      </c>
      <c r="K239" s="13">
        <v>4</v>
      </c>
      <c r="L239" s="13">
        <v>12</v>
      </c>
      <c r="M239" s="13" t="s">
        <v>1401</v>
      </c>
    </row>
    <row r="240" spans="2:13" ht="15.75" hidden="1" outlineLevel="1" x14ac:dyDescent="0.3">
      <c r="B240" s="13" t="s">
        <v>18</v>
      </c>
      <c r="C240" s="13" t="s">
        <v>1399</v>
      </c>
      <c r="D240" s="13" t="s">
        <v>11</v>
      </c>
      <c r="E240" s="13" t="s">
        <v>13</v>
      </c>
      <c r="F240" s="13" t="s">
        <v>20</v>
      </c>
      <c r="G240" s="13" t="s">
        <v>1371</v>
      </c>
      <c r="H240" s="13" t="s">
        <v>1372</v>
      </c>
      <c r="I240" s="13">
        <v>2025</v>
      </c>
      <c r="J240" s="13" t="s">
        <v>1400</v>
      </c>
      <c r="K240" s="13">
        <v>3</v>
      </c>
      <c r="L240" s="13">
        <v>12</v>
      </c>
      <c r="M240" s="13" t="s">
        <v>1402</v>
      </c>
    </row>
    <row r="241" spans="2:13" ht="15.75" hidden="1" outlineLevel="1" x14ac:dyDescent="0.3">
      <c r="B241" s="13" t="s">
        <v>77</v>
      </c>
      <c r="C241" s="13" t="s">
        <v>1403</v>
      </c>
      <c r="D241" s="13" t="s">
        <v>71</v>
      </c>
      <c r="E241" s="13" t="s">
        <v>13</v>
      </c>
      <c r="F241" s="13" t="s">
        <v>78</v>
      </c>
      <c r="G241" s="13" t="s">
        <v>1371</v>
      </c>
      <c r="H241" s="13" t="s">
        <v>1372</v>
      </c>
      <c r="I241" s="13">
        <v>2024</v>
      </c>
      <c r="J241" s="13" t="s">
        <v>1404</v>
      </c>
      <c r="K241" s="13">
        <v>4</v>
      </c>
      <c r="L241" s="13">
        <v>13</v>
      </c>
      <c r="M241" s="13" t="s">
        <v>1405</v>
      </c>
    </row>
    <row r="242" spans="2:13" ht="15.75" hidden="1" outlineLevel="1" x14ac:dyDescent="0.3">
      <c r="B242" s="13" t="s">
        <v>21</v>
      </c>
      <c r="C242" s="13" t="s">
        <v>1403</v>
      </c>
      <c r="D242" s="13" t="s">
        <v>11</v>
      </c>
      <c r="E242" s="13" t="s">
        <v>13</v>
      </c>
      <c r="F242" s="13" t="s">
        <v>23</v>
      </c>
      <c r="G242" s="13" t="s">
        <v>1371</v>
      </c>
      <c r="H242" s="13" t="s">
        <v>1372</v>
      </c>
      <c r="I242" s="13">
        <v>2025</v>
      </c>
      <c r="J242" s="13" t="s">
        <v>1404</v>
      </c>
      <c r="K242" s="13">
        <v>3</v>
      </c>
      <c r="L242" s="13">
        <v>13</v>
      </c>
      <c r="M242" s="13" t="s">
        <v>1406</v>
      </c>
    </row>
    <row r="243" spans="2:13" ht="15.75" hidden="1" outlineLevel="1" x14ac:dyDescent="0.3">
      <c r="B243" s="13" t="s">
        <v>24</v>
      </c>
      <c r="C243" s="13" t="s">
        <v>1407</v>
      </c>
      <c r="D243" s="13" t="s">
        <v>11</v>
      </c>
      <c r="E243" s="13" t="s">
        <v>13</v>
      </c>
      <c r="F243" s="13" t="s">
        <v>26</v>
      </c>
      <c r="G243" s="13" t="s">
        <v>1371</v>
      </c>
      <c r="H243" s="13" t="s">
        <v>1372</v>
      </c>
      <c r="I243" s="13">
        <v>2025</v>
      </c>
      <c r="J243" s="13" t="s">
        <v>1408</v>
      </c>
      <c r="K243" s="13">
        <v>3</v>
      </c>
      <c r="L243" s="13">
        <v>14</v>
      </c>
      <c r="M243" s="13" t="s">
        <v>1409</v>
      </c>
    </row>
    <row r="244" spans="2:13" ht="15.75" hidden="1" outlineLevel="1" x14ac:dyDescent="0.3">
      <c r="B244" s="13" t="s">
        <v>79</v>
      </c>
      <c r="C244" s="13" t="s">
        <v>1407</v>
      </c>
      <c r="D244" s="13" t="s">
        <v>71</v>
      </c>
      <c r="E244" s="13" t="s">
        <v>13</v>
      </c>
      <c r="F244" s="13" t="s">
        <v>80</v>
      </c>
      <c r="G244" s="13" t="s">
        <v>1371</v>
      </c>
      <c r="H244" s="13" t="s">
        <v>1372</v>
      </c>
      <c r="I244" s="13">
        <v>2024</v>
      </c>
      <c r="J244" s="13" t="s">
        <v>1408</v>
      </c>
      <c r="K244" s="13">
        <v>4</v>
      </c>
      <c r="L244" s="13">
        <v>14</v>
      </c>
      <c r="M244" s="13" t="s">
        <v>1410</v>
      </c>
    </row>
    <row r="245" spans="2:13" ht="15.75" hidden="1" outlineLevel="1" x14ac:dyDescent="0.3">
      <c r="B245" s="13" t="s">
        <v>81</v>
      </c>
      <c r="C245" s="13" t="s">
        <v>1411</v>
      </c>
      <c r="D245" s="13" t="s">
        <v>71</v>
      </c>
      <c r="E245" s="13" t="s">
        <v>13</v>
      </c>
      <c r="F245" s="13" t="s">
        <v>82</v>
      </c>
      <c r="G245" s="13" t="s">
        <v>1371</v>
      </c>
      <c r="H245" s="13" t="s">
        <v>1372</v>
      </c>
      <c r="I245" s="13">
        <v>2024</v>
      </c>
      <c r="J245" s="13" t="s">
        <v>1412</v>
      </c>
      <c r="K245" s="13">
        <v>4</v>
      </c>
      <c r="L245" s="13">
        <v>15</v>
      </c>
      <c r="M245" s="13" t="s">
        <v>1413</v>
      </c>
    </row>
    <row r="246" spans="2:13" ht="15.75" hidden="1" outlineLevel="1" x14ac:dyDescent="0.3">
      <c r="B246" s="13" t="s">
        <v>27</v>
      </c>
      <c r="C246" s="13" t="s">
        <v>1411</v>
      </c>
      <c r="D246" s="13" t="s">
        <v>11</v>
      </c>
      <c r="E246" s="13" t="s">
        <v>13</v>
      </c>
      <c r="F246" s="13" t="s">
        <v>29</v>
      </c>
      <c r="G246" s="13" t="s">
        <v>1371</v>
      </c>
      <c r="H246" s="13" t="s">
        <v>1372</v>
      </c>
      <c r="I246" s="13">
        <v>2025</v>
      </c>
      <c r="J246" s="13" t="s">
        <v>1412</v>
      </c>
      <c r="K246" s="13">
        <v>3</v>
      </c>
      <c r="L246" s="13">
        <v>15</v>
      </c>
      <c r="M246" s="13" t="s">
        <v>1414</v>
      </c>
    </row>
    <row r="247" spans="2:13" ht="15.75" hidden="1" outlineLevel="1" x14ac:dyDescent="0.3">
      <c r="B247" s="13" t="s">
        <v>83</v>
      </c>
      <c r="C247" s="13" t="s">
        <v>1415</v>
      </c>
      <c r="D247" s="13" t="s">
        <v>71</v>
      </c>
      <c r="E247" s="13" t="s">
        <v>13</v>
      </c>
      <c r="F247" s="13" t="s">
        <v>84</v>
      </c>
      <c r="G247" s="13" t="s">
        <v>1371</v>
      </c>
      <c r="H247" s="13" t="s">
        <v>1372</v>
      </c>
      <c r="I247" s="13">
        <v>2024</v>
      </c>
      <c r="J247" s="13" t="s">
        <v>1416</v>
      </c>
      <c r="K247" s="13">
        <v>4</v>
      </c>
      <c r="L247" s="13">
        <v>16</v>
      </c>
      <c r="M247" s="13" t="s">
        <v>1417</v>
      </c>
    </row>
    <row r="248" spans="2:13" ht="15.75" hidden="1" outlineLevel="1" x14ac:dyDescent="0.3">
      <c r="B248" s="13" t="s">
        <v>30</v>
      </c>
      <c r="C248" s="13" t="s">
        <v>1415</v>
      </c>
      <c r="D248" s="13" t="s">
        <v>11</v>
      </c>
      <c r="E248" s="13" t="s">
        <v>13</v>
      </c>
      <c r="F248" s="13" t="s">
        <v>32</v>
      </c>
      <c r="G248" s="13" t="s">
        <v>1371</v>
      </c>
      <c r="H248" s="13" t="s">
        <v>1372</v>
      </c>
      <c r="I248" s="13">
        <v>2025</v>
      </c>
      <c r="J248" s="13" t="s">
        <v>1416</v>
      </c>
      <c r="K248" s="13">
        <v>3</v>
      </c>
      <c r="L248" s="13">
        <v>16</v>
      </c>
      <c r="M248" s="13" t="s">
        <v>1418</v>
      </c>
    </row>
    <row r="249" spans="2:13" ht="15.75" hidden="1" outlineLevel="1" x14ac:dyDescent="0.3">
      <c r="B249" s="13" t="s">
        <v>85</v>
      </c>
      <c r="C249" s="13" t="s">
        <v>1419</v>
      </c>
      <c r="D249" s="13" t="s">
        <v>71</v>
      </c>
      <c r="E249" s="13" t="s">
        <v>13</v>
      </c>
      <c r="F249" s="13" t="s">
        <v>86</v>
      </c>
      <c r="G249" s="13" t="s">
        <v>1371</v>
      </c>
      <c r="H249" s="13" t="s">
        <v>1372</v>
      </c>
      <c r="I249" s="13">
        <v>2024</v>
      </c>
      <c r="J249" s="13" t="s">
        <v>1420</v>
      </c>
      <c r="K249" s="13">
        <v>4</v>
      </c>
      <c r="L249" s="13">
        <v>17</v>
      </c>
      <c r="M249" s="13" t="s">
        <v>1421</v>
      </c>
    </row>
    <row r="250" spans="2:13" ht="15.75" hidden="1" outlineLevel="1" x14ac:dyDescent="0.3">
      <c r="B250" s="13" t="s">
        <v>33</v>
      </c>
      <c r="C250" s="13" t="s">
        <v>1419</v>
      </c>
      <c r="D250" s="13" t="s">
        <v>11</v>
      </c>
      <c r="E250" s="13" t="s">
        <v>13</v>
      </c>
      <c r="F250" s="13" t="s">
        <v>35</v>
      </c>
      <c r="G250" s="13" t="s">
        <v>1371</v>
      </c>
      <c r="H250" s="13" t="s">
        <v>1372</v>
      </c>
      <c r="I250" s="13">
        <v>2025</v>
      </c>
      <c r="J250" s="13" t="s">
        <v>1420</v>
      </c>
      <c r="K250" s="13">
        <v>3</v>
      </c>
      <c r="L250" s="13">
        <v>17</v>
      </c>
      <c r="M250" s="13" t="s">
        <v>1422</v>
      </c>
    </row>
    <row r="251" spans="2:13" ht="15.75" hidden="1" outlineLevel="1" x14ac:dyDescent="0.3">
      <c r="B251" s="13" t="s">
        <v>87</v>
      </c>
      <c r="C251" s="13" t="s">
        <v>1423</v>
      </c>
      <c r="D251" s="13" t="s">
        <v>71</v>
      </c>
      <c r="E251" s="13" t="s">
        <v>13</v>
      </c>
      <c r="F251" s="13" t="s">
        <v>88</v>
      </c>
      <c r="G251" s="13" t="s">
        <v>1371</v>
      </c>
      <c r="H251" s="13" t="s">
        <v>1372</v>
      </c>
      <c r="I251" s="13">
        <v>2024</v>
      </c>
      <c r="J251" s="13" t="s">
        <v>1424</v>
      </c>
      <c r="K251" s="13">
        <v>4</v>
      </c>
      <c r="L251" s="13">
        <v>18</v>
      </c>
      <c r="M251" s="13" t="s">
        <v>1425</v>
      </c>
    </row>
    <row r="252" spans="2:13" ht="15.75" hidden="1" outlineLevel="1" x14ac:dyDescent="0.3">
      <c r="B252" s="13" t="s">
        <v>36</v>
      </c>
      <c r="C252" s="13" t="s">
        <v>1423</v>
      </c>
      <c r="D252" s="13" t="s">
        <v>11</v>
      </c>
      <c r="E252" s="13" t="s">
        <v>13</v>
      </c>
      <c r="F252" s="13" t="s">
        <v>38</v>
      </c>
      <c r="G252" s="13" t="s">
        <v>1371</v>
      </c>
      <c r="H252" s="13" t="s">
        <v>1372</v>
      </c>
      <c r="I252" s="13">
        <v>2025</v>
      </c>
      <c r="J252" s="13" t="s">
        <v>1424</v>
      </c>
      <c r="K252" s="13">
        <v>3</v>
      </c>
      <c r="L252" s="13">
        <v>18</v>
      </c>
      <c r="M252" s="13" t="s">
        <v>1426</v>
      </c>
    </row>
    <row r="253" spans="2:13" ht="15.75" hidden="1" outlineLevel="1" x14ac:dyDescent="0.3">
      <c r="B253" s="13" t="s">
        <v>39</v>
      </c>
      <c r="C253" s="13" t="s">
        <v>1427</v>
      </c>
      <c r="D253" s="13" t="s">
        <v>11</v>
      </c>
      <c r="E253" s="13" t="s">
        <v>13</v>
      </c>
      <c r="F253" s="13" t="s">
        <v>41</v>
      </c>
      <c r="G253" s="13" t="s">
        <v>1371</v>
      </c>
      <c r="H253" s="13" t="s">
        <v>1372</v>
      </c>
      <c r="I253" s="13">
        <v>2025</v>
      </c>
      <c r="J253" s="13" t="s">
        <v>1428</v>
      </c>
      <c r="K253" s="13">
        <v>3</v>
      </c>
      <c r="L253" s="13">
        <v>19</v>
      </c>
      <c r="M253" s="13" t="s">
        <v>1429</v>
      </c>
    </row>
    <row r="254" spans="2:13" ht="15.75" hidden="1" outlineLevel="1" x14ac:dyDescent="0.3">
      <c r="B254" s="13" t="s">
        <v>89</v>
      </c>
      <c r="C254" s="13" t="s">
        <v>1427</v>
      </c>
      <c r="D254" s="13" t="s">
        <v>71</v>
      </c>
      <c r="E254" s="13" t="s">
        <v>13</v>
      </c>
      <c r="F254" s="13" t="s">
        <v>90</v>
      </c>
      <c r="G254" s="13" t="s">
        <v>1371</v>
      </c>
      <c r="H254" s="13" t="s">
        <v>1372</v>
      </c>
      <c r="I254" s="13">
        <v>2024</v>
      </c>
      <c r="J254" s="13" t="s">
        <v>1428</v>
      </c>
      <c r="K254" s="13">
        <v>4</v>
      </c>
      <c r="L254" s="13">
        <v>19</v>
      </c>
      <c r="M254" s="13" t="s">
        <v>1430</v>
      </c>
    </row>
    <row r="255" spans="2:13" ht="15.75" hidden="1" outlineLevel="1" x14ac:dyDescent="0.3">
      <c r="B255" s="13" t="s">
        <v>42</v>
      </c>
      <c r="C255" s="13" t="s">
        <v>1431</v>
      </c>
      <c r="D255" s="13" t="s">
        <v>11</v>
      </c>
      <c r="E255" s="13" t="s">
        <v>13</v>
      </c>
      <c r="F255" s="13" t="s">
        <v>44</v>
      </c>
      <c r="G255" s="13" t="s">
        <v>1371</v>
      </c>
      <c r="H255" s="13" t="s">
        <v>1372</v>
      </c>
      <c r="I255" s="13">
        <v>2025</v>
      </c>
      <c r="J255" s="13" t="s">
        <v>1432</v>
      </c>
      <c r="K255" s="13">
        <v>3</v>
      </c>
      <c r="L255" s="13">
        <v>20</v>
      </c>
      <c r="M255" s="13" t="s">
        <v>1433</v>
      </c>
    </row>
    <row r="256" spans="2:13" ht="15.75" hidden="1" outlineLevel="1" x14ac:dyDescent="0.3">
      <c r="B256" s="13" t="s">
        <v>91</v>
      </c>
      <c r="C256" s="13" t="s">
        <v>1431</v>
      </c>
      <c r="D256" s="13" t="s">
        <v>71</v>
      </c>
      <c r="E256" s="13" t="s">
        <v>13</v>
      </c>
      <c r="F256" s="13" t="s">
        <v>92</v>
      </c>
      <c r="G256" s="13" t="s">
        <v>1371</v>
      </c>
      <c r="H256" s="13" t="s">
        <v>1372</v>
      </c>
      <c r="I256" s="13">
        <v>2024</v>
      </c>
      <c r="J256" s="13" t="s">
        <v>1432</v>
      </c>
      <c r="K256" s="13">
        <v>4</v>
      </c>
      <c r="L256" s="13">
        <v>20</v>
      </c>
      <c r="M256" s="13" t="s">
        <v>1434</v>
      </c>
    </row>
    <row r="257" spans="2:13" ht="15.75" hidden="1" outlineLevel="1" x14ac:dyDescent="0.3">
      <c r="B257" s="13" t="s">
        <v>45</v>
      </c>
      <c r="C257" s="13" t="s">
        <v>1435</v>
      </c>
      <c r="D257" s="13" t="s">
        <v>11</v>
      </c>
      <c r="E257" s="13" t="s">
        <v>13</v>
      </c>
      <c r="F257" s="13" t="s">
        <v>47</v>
      </c>
      <c r="G257" s="13" t="s">
        <v>1371</v>
      </c>
      <c r="H257" s="13" t="s">
        <v>1372</v>
      </c>
      <c r="I257" s="13">
        <v>2025</v>
      </c>
      <c r="J257" s="13" t="s">
        <v>1436</v>
      </c>
      <c r="K257" s="13">
        <v>3</v>
      </c>
      <c r="L257" s="13">
        <v>21</v>
      </c>
      <c r="M257" s="13" t="s">
        <v>1437</v>
      </c>
    </row>
    <row r="258" spans="2:13" ht="15.75" hidden="1" outlineLevel="1" x14ac:dyDescent="0.3">
      <c r="B258" s="13" t="s">
        <v>93</v>
      </c>
      <c r="C258" s="13" t="s">
        <v>1435</v>
      </c>
      <c r="D258" s="13" t="s">
        <v>71</v>
      </c>
      <c r="E258" s="13" t="s">
        <v>13</v>
      </c>
      <c r="F258" s="13" t="s">
        <v>94</v>
      </c>
      <c r="G258" s="13" t="s">
        <v>1371</v>
      </c>
      <c r="H258" s="13" t="s">
        <v>1372</v>
      </c>
      <c r="I258" s="13">
        <v>2024</v>
      </c>
      <c r="J258" s="13" t="s">
        <v>1436</v>
      </c>
      <c r="K258" s="13">
        <v>4</v>
      </c>
      <c r="L258" s="13">
        <v>21</v>
      </c>
      <c r="M258" s="13" t="s">
        <v>1438</v>
      </c>
    </row>
    <row r="259" spans="2:13" ht="15.75" hidden="1" outlineLevel="1" x14ac:dyDescent="0.3">
      <c r="B259" s="13" t="s">
        <v>48</v>
      </c>
      <c r="C259" s="13" t="s">
        <v>1427</v>
      </c>
      <c r="D259" s="13" t="s">
        <v>11</v>
      </c>
      <c r="E259" s="13" t="s">
        <v>13</v>
      </c>
      <c r="F259" s="13" t="s">
        <v>41</v>
      </c>
      <c r="G259" s="13" t="s">
        <v>1371</v>
      </c>
      <c r="H259" s="13" t="s">
        <v>1372</v>
      </c>
      <c r="I259" s="13">
        <v>2025</v>
      </c>
      <c r="J259" s="13" t="s">
        <v>1428</v>
      </c>
      <c r="K259" s="13">
        <v>3</v>
      </c>
      <c r="L259" s="13">
        <v>22</v>
      </c>
      <c r="M259" s="13" t="s">
        <v>1429</v>
      </c>
    </row>
    <row r="260" spans="2:13" ht="15.75" hidden="1" outlineLevel="1" x14ac:dyDescent="0.3">
      <c r="B260" s="13" t="s">
        <v>95</v>
      </c>
      <c r="C260" s="13" t="s">
        <v>1427</v>
      </c>
      <c r="D260" s="13" t="s">
        <v>71</v>
      </c>
      <c r="E260" s="13" t="s">
        <v>13</v>
      </c>
      <c r="F260" s="13" t="s">
        <v>90</v>
      </c>
      <c r="G260" s="13" t="s">
        <v>1371</v>
      </c>
      <c r="H260" s="13" t="s">
        <v>1372</v>
      </c>
      <c r="I260" s="13">
        <v>2024</v>
      </c>
      <c r="J260" s="13" t="s">
        <v>1428</v>
      </c>
      <c r="K260" s="13">
        <v>4</v>
      </c>
      <c r="L260" s="13">
        <v>22</v>
      </c>
      <c r="M260" s="13" t="s">
        <v>1430</v>
      </c>
    </row>
    <row r="261" spans="2:13" ht="15.75" hidden="1" outlineLevel="1" x14ac:dyDescent="0.3">
      <c r="B261" s="13" t="s">
        <v>49</v>
      </c>
      <c r="C261" s="13" t="s">
        <v>1439</v>
      </c>
      <c r="D261" s="13" t="s">
        <v>11</v>
      </c>
      <c r="E261" s="13" t="s">
        <v>13</v>
      </c>
      <c r="F261" s="13" t="s">
        <v>52</v>
      </c>
      <c r="G261" s="13" t="s">
        <v>1371</v>
      </c>
      <c r="H261" s="13" t="s">
        <v>1372</v>
      </c>
      <c r="I261" s="13">
        <v>2025</v>
      </c>
      <c r="J261" s="13" t="s">
        <v>1440</v>
      </c>
      <c r="K261" s="13">
        <v>3</v>
      </c>
      <c r="L261" s="13">
        <v>23</v>
      </c>
      <c r="M261" s="13" t="s">
        <v>1441</v>
      </c>
    </row>
    <row r="262" spans="2:13" ht="15.75" hidden="1" outlineLevel="1" x14ac:dyDescent="0.3">
      <c r="B262" s="13" t="s">
        <v>96</v>
      </c>
      <c r="C262" s="13" t="s">
        <v>1439</v>
      </c>
      <c r="D262" s="13" t="s">
        <v>71</v>
      </c>
      <c r="E262" s="13" t="s">
        <v>13</v>
      </c>
      <c r="F262" s="13" t="s">
        <v>97</v>
      </c>
      <c r="G262" s="13" t="s">
        <v>1371</v>
      </c>
      <c r="H262" s="13" t="s">
        <v>1372</v>
      </c>
      <c r="I262" s="13">
        <v>2024</v>
      </c>
      <c r="J262" s="13" t="s">
        <v>1440</v>
      </c>
      <c r="K262" s="13">
        <v>4</v>
      </c>
      <c r="L262" s="13">
        <v>23</v>
      </c>
      <c r="M262" s="13" t="s">
        <v>1442</v>
      </c>
    </row>
    <row r="263" spans="2:13" ht="15.75" hidden="1" outlineLevel="1" x14ac:dyDescent="0.3">
      <c r="B263" s="13" t="s">
        <v>98</v>
      </c>
      <c r="C263" s="13" t="s">
        <v>1443</v>
      </c>
      <c r="D263" s="13" t="s">
        <v>71</v>
      </c>
      <c r="E263" s="13" t="s">
        <v>13</v>
      </c>
      <c r="F263" s="13" t="s">
        <v>97</v>
      </c>
      <c r="G263" s="13" t="s">
        <v>1371</v>
      </c>
      <c r="H263" s="13" t="s">
        <v>1372</v>
      </c>
      <c r="I263" s="13">
        <v>2024</v>
      </c>
      <c r="J263" s="13" t="s">
        <v>1444</v>
      </c>
      <c r="K263" s="13">
        <v>4</v>
      </c>
      <c r="L263" s="13">
        <v>24</v>
      </c>
      <c r="M263" s="13" t="s">
        <v>1445</v>
      </c>
    </row>
    <row r="264" spans="2:13" ht="15.75" hidden="1" outlineLevel="1" x14ac:dyDescent="0.3">
      <c r="B264" s="13" t="s">
        <v>53</v>
      </c>
      <c r="C264" s="13" t="s">
        <v>1443</v>
      </c>
      <c r="D264" s="13" t="s">
        <v>11</v>
      </c>
      <c r="E264" s="13" t="s">
        <v>13</v>
      </c>
      <c r="F264" s="13" t="s">
        <v>52</v>
      </c>
      <c r="G264" s="13" t="s">
        <v>1371</v>
      </c>
      <c r="H264" s="13" t="s">
        <v>1372</v>
      </c>
      <c r="I264" s="13">
        <v>2025</v>
      </c>
      <c r="J264" s="13" t="s">
        <v>1444</v>
      </c>
      <c r="K264" s="13">
        <v>3</v>
      </c>
      <c r="L264" s="13">
        <v>24</v>
      </c>
      <c r="M264" s="13" t="s">
        <v>1446</v>
      </c>
    </row>
    <row r="265" spans="2:13" ht="15.75" hidden="1" outlineLevel="1" x14ac:dyDescent="0.3">
      <c r="B265" s="13" t="s">
        <v>154</v>
      </c>
      <c r="C265" s="13" t="s">
        <v>1427</v>
      </c>
      <c r="D265" s="13" t="s">
        <v>71</v>
      </c>
      <c r="E265" s="13" t="s">
        <v>13</v>
      </c>
      <c r="F265" s="13" t="s">
        <v>90</v>
      </c>
      <c r="G265" s="13" t="s">
        <v>1447</v>
      </c>
      <c r="H265" s="13" t="s">
        <v>1448</v>
      </c>
      <c r="I265" s="13">
        <v>2024</v>
      </c>
      <c r="J265" s="13" t="s">
        <v>1428</v>
      </c>
      <c r="K265" s="13">
        <v>4</v>
      </c>
      <c r="L265" s="13">
        <v>5</v>
      </c>
      <c r="M265" s="13" t="s">
        <v>1430</v>
      </c>
    </row>
    <row r="266" spans="2:13" ht="15.75" hidden="1" outlineLevel="1" x14ac:dyDescent="0.3">
      <c r="B266" s="13" t="s">
        <v>128</v>
      </c>
      <c r="C266" s="13" t="s">
        <v>1427</v>
      </c>
      <c r="D266" s="13" t="s">
        <v>11</v>
      </c>
      <c r="E266" s="13" t="s">
        <v>13</v>
      </c>
      <c r="F266" s="13" t="s">
        <v>41</v>
      </c>
      <c r="G266" s="13" t="s">
        <v>1447</v>
      </c>
      <c r="H266" s="13" t="s">
        <v>1448</v>
      </c>
      <c r="I266" s="13">
        <v>2025</v>
      </c>
      <c r="J266" s="13" t="s">
        <v>1428</v>
      </c>
      <c r="K266" s="13">
        <v>3</v>
      </c>
      <c r="L266" s="13">
        <v>5</v>
      </c>
      <c r="M266" s="13" t="s">
        <v>1429</v>
      </c>
    </row>
    <row r="267" spans="2:13" ht="15.75" hidden="1" outlineLevel="1" x14ac:dyDescent="0.3">
      <c r="B267" s="13" t="s">
        <v>155</v>
      </c>
      <c r="C267" s="13" t="s">
        <v>1449</v>
      </c>
      <c r="D267" s="13" t="s">
        <v>71</v>
      </c>
      <c r="E267" s="13" t="s">
        <v>13</v>
      </c>
      <c r="F267" s="13" t="s">
        <v>156</v>
      </c>
      <c r="G267" s="13" t="s">
        <v>1447</v>
      </c>
      <c r="H267" s="13" t="s">
        <v>1448</v>
      </c>
      <c r="I267" s="13">
        <v>2024</v>
      </c>
      <c r="J267" s="13" t="s">
        <v>1450</v>
      </c>
      <c r="K267" s="13">
        <v>4</v>
      </c>
      <c r="L267" s="13">
        <v>6</v>
      </c>
      <c r="M267" s="13" t="s">
        <v>1451</v>
      </c>
    </row>
    <row r="268" spans="2:13" ht="15.75" hidden="1" outlineLevel="1" x14ac:dyDescent="0.3">
      <c r="B268" s="13" t="s">
        <v>129</v>
      </c>
      <c r="C268" s="13" t="s">
        <v>1449</v>
      </c>
      <c r="D268" s="13" t="s">
        <v>11</v>
      </c>
      <c r="E268" s="13" t="s">
        <v>13</v>
      </c>
      <c r="F268" s="13" t="s">
        <v>131</v>
      </c>
      <c r="G268" s="13" t="s">
        <v>1447</v>
      </c>
      <c r="H268" s="13" t="s">
        <v>1448</v>
      </c>
      <c r="I268" s="13">
        <v>2025</v>
      </c>
      <c r="J268" s="13" t="s">
        <v>1450</v>
      </c>
      <c r="K268" s="13">
        <v>3</v>
      </c>
      <c r="L268" s="13">
        <v>6</v>
      </c>
      <c r="M268" s="13" t="s">
        <v>1452</v>
      </c>
    </row>
    <row r="269" spans="2:13" ht="15.75" hidden="1" outlineLevel="1" x14ac:dyDescent="0.3">
      <c r="B269" s="13" t="s">
        <v>132</v>
      </c>
      <c r="C269" s="13" t="s">
        <v>1453</v>
      </c>
      <c r="D269" s="13" t="s">
        <v>11</v>
      </c>
      <c r="E269" s="13" t="s">
        <v>13</v>
      </c>
      <c r="F269" s="13" t="s">
        <v>134</v>
      </c>
      <c r="G269" s="13" t="s">
        <v>1447</v>
      </c>
      <c r="H269" s="13" t="s">
        <v>1448</v>
      </c>
      <c r="I269" s="13">
        <v>2025</v>
      </c>
      <c r="J269" s="13" t="s">
        <v>1454</v>
      </c>
      <c r="K269" s="13">
        <v>3</v>
      </c>
      <c r="L269" s="13">
        <v>7</v>
      </c>
      <c r="M269" s="13" t="s">
        <v>1455</v>
      </c>
    </row>
    <row r="270" spans="2:13" ht="15.75" hidden="1" outlineLevel="1" x14ac:dyDescent="0.3">
      <c r="B270" s="13" t="s">
        <v>157</v>
      </c>
      <c r="C270" s="13" t="s">
        <v>1453</v>
      </c>
      <c r="D270" s="13" t="s">
        <v>71</v>
      </c>
      <c r="E270" s="13" t="s">
        <v>13</v>
      </c>
      <c r="F270" s="13" t="s">
        <v>158</v>
      </c>
      <c r="G270" s="13" t="s">
        <v>1447</v>
      </c>
      <c r="H270" s="13" t="s">
        <v>1448</v>
      </c>
      <c r="I270" s="13">
        <v>2024</v>
      </c>
      <c r="J270" s="13" t="s">
        <v>1454</v>
      </c>
      <c r="K270" s="13">
        <v>4</v>
      </c>
      <c r="L270" s="13">
        <v>7</v>
      </c>
      <c r="M270" s="13" t="s">
        <v>1456</v>
      </c>
    </row>
    <row r="271" spans="2:13" ht="15.75" hidden="1" outlineLevel="1" x14ac:dyDescent="0.3">
      <c r="B271" s="13" t="s">
        <v>159</v>
      </c>
      <c r="C271" s="13" t="s">
        <v>1457</v>
      </c>
      <c r="D271" s="13" t="s">
        <v>71</v>
      </c>
      <c r="E271" s="13" t="s">
        <v>13</v>
      </c>
      <c r="F271" s="13" t="s">
        <v>160</v>
      </c>
      <c r="G271" s="13" t="s">
        <v>1447</v>
      </c>
      <c r="H271" s="13" t="s">
        <v>1448</v>
      </c>
      <c r="I271" s="13">
        <v>2024</v>
      </c>
      <c r="J271" s="13" t="s">
        <v>1458</v>
      </c>
      <c r="K271" s="13">
        <v>4</v>
      </c>
      <c r="L271" s="13">
        <v>8</v>
      </c>
      <c r="M271" s="13" t="s">
        <v>1459</v>
      </c>
    </row>
    <row r="272" spans="2:13" ht="15.75" hidden="1" outlineLevel="1" x14ac:dyDescent="0.3">
      <c r="B272" s="13" t="s">
        <v>135</v>
      </c>
      <c r="C272" s="13" t="s">
        <v>1457</v>
      </c>
      <c r="D272" s="13" t="s">
        <v>11</v>
      </c>
      <c r="E272" s="13" t="s">
        <v>13</v>
      </c>
      <c r="F272" s="13" t="s">
        <v>137</v>
      </c>
      <c r="G272" s="13" t="s">
        <v>1447</v>
      </c>
      <c r="H272" s="13" t="s">
        <v>1448</v>
      </c>
      <c r="I272" s="13">
        <v>2025</v>
      </c>
      <c r="J272" s="13" t="s">
        <v>1458</v>
      </c>
      <c r="K272" s="13">
        <v>3</v>
      </c>
      <c r="L272" s="13">
        <v>8</v>
      </c>
      <c r="M272" s="13" t="s">
        <v>1460</v>
      </c>
    </row>
    <row r="273" spans="2:13" ht="15.75" hidden="1" outlineLevel="1" x14ac:dyDescent="0.3">
      <c r="B273" s="13" t="s">
        <v>161</v>
      </c>
      <c r="C273" s="13" t="s">
        <v>1461</v>
      </c>
      <c r="D273" s="13" t="s">
        <v>71</v>
      </c>
      <c r="E273" s="13" t="s">
        <v>13</v>
      </c>
      <c r="F273" s="13" t="s">
        <v>162</v>
      </c>
      <c r="G273" s="13" t="s">
        <v>1447</v>
      </c>
      <c r="H273" s="13" t="s">
        <v>1448</v>
      </c>
      <c r="I273" s="13">
        <v>2024</v>
      </c>
      <c r="J273" s="13" t="s">
        <v>1462</v>
      </c>
      <c r="K273" s="13">
        <v>4</v>
      </c>
      <c r="L273" s="13">
        <v>9</v>
      </c>
      <c r="M273" s="13" t="s">
        <v>1463</v>
      </c>
    </row>
    <row r="274" spans="2:13" ht="15.75" hidden="1" outlineLevel="1" x14ac:dyDescent="0.3">
      <c r="B274" s="13" t="s">
        <v>138</v>
      </c>
      <c r="C274" s="13" t="s">
        <v>1461</v>
      </c>
      <c r="D274" s="13" t="s">
        <v>11</v>
      </c>
      <c r="E274" s="13" t="s">
        <v>13</v>
      </c>
      <c r="F274" s="13" t="s">
        <v>140</v>
      </c>
      <c r="G274" s="13" t="s">
        <v>1447</v>
      </c>
      <c r="H274" s="13" t="s">
        <v>1448</v>
      </c>
      <c r="I274" s="13">
        <v>2025</v>
      </c>
      <c r="J274" s="13" t="s">
        <v>1462</v>
      </c>
      <c r="K274" s="13">
        <v>3</v>
      </c>
      <c r="L274" s="13">
        <v>9</v>
      </c>
      <c r="M274" s="13" t="s">
        <v>1464</v>
      </c>
    </row>
    <row r="275" spans="2:13" ht="15.75" hidden="1" outlineLevel="1" x14ac:dyDescent="0.3">
      <c r="B275" s="13" t="s">
        <v>141</v>
      </c>
      <c r="C275" s="13" t="s">
        <v>1465</v>
      </c>
      <c r="D275" s="13" t="s">
        <v>71</v>
      </c>
      <c r="E275" s="13" t="s">
        <v>13</v>
      </c>
      <c r="F275" s="13" t="s">
        <v>142</v>
      </c>
      <c r="G275" s="13" t="s">
        <v>1447</v>
      </c>
      <c r="H275" s="13" t="s">
        <v>1448</v>
      </c>
      <c r="I275" s="13">
        <v>2024</v>
      </c>
      <c r="J275" s="13" t="s">
        <v>1466</v>
      </c>
      <c r="K275" s="13">
        <v>4</v>
      </c>
      <c r="L275" s="13">
        <v>10</v>
      </c>
      <c r="M275" s="13" t="s">
        <v>1467</v>
      </c>
    </row>
    <row r="276" spans="2:13" ht="15.75" hidden="1" outlineLevel="1" x14ac:dyDescent="0.3">
      <c r="B276" s="13" t="s">
        <v>109</v>
      </c>
      <c r="C276" s="13" t="s">
        <v>1465</v>
      </c>
      <c r="D276" s="13" t="s">
        <v>11</v>
      </c>
      <c r="E276" s="13" t="s">
        <v>13</v>
      </c>
      <c r="F276" s="13" t="s">
        <v>111</v>
      </c>
      <c r="G276" s="13" t="s">
        <v>1447</v>
      </c>
      <c r="H276" s="13" t="s">
        <v>1448</v>
      </c>
      <c r="I276" s="13">
        <v>2025</v>
      </c>
      <c r="J276" s="13" t="s">
        <v>1466</v>
      </c>
      <c r="K276" s="13">
        <v>3</v>
      </c>
      <c r="L276" s="13">
        <v>10</v>
      </c>
      <c r="M276" s="13" t="s">
        <v>1468</v>
      </c>
    </row>
    <row r="277" spans="2:13" ht="15.75" hidden="1" outlineLevel="1" x14ac:dyDescent="0.3">
      <c r="B277" s="13" t="s">
        <v>143</v>
      </c>
      <c r="C277" s="13" t="s">
        <v>1469</v>
      </c>
      <c r="D277" s="13" t="s">
        <v>71</v>
      </c>
      <c r="E277" s="13" t="s">
        <v>13</v>
      </c>
      <c r="F277" s="13" t="s">
        <v>144</v>
      </c>
      <c r="G277" s="13" t="s">
        <v>1447</v>
      </c>
      <c r="H277" s="13" t="s">
        <v>1448</v>
      </c>
      <c r="I277" s="13">
        <v>2024</v>
      </c>
      <c r="J277" s="13" t="s">
        <v>1470</v>
      </c>
      <c r="K277" s="13">
        <v>4</v>
      </c>
      <c r="L277" s="13">
        <v>11</v>
      </c>
      <c r="M277" s="13" t="s">
        <v>1471</v>
      </c>
    </row>
    <row r="278" spans="2:13" ht="15.75" hidden="1" outlineLevel="1" x14ac:dyDescent="0.3">
      <c r="B278" s="13" t="s">
        <v>112</v>
      </c>
      <c r="C278" s="13" t="s">
        <v>1469</v>
      </c>
      <c r="D278" s="13" t="s">
        <v>11</v>
      </c>
      <c r="E278" s="13" t="s">
        <v>13</v>
      </c>
      <c r="F278" s="13" t="s">
        <v>114</v>
      </c>
      <c r="G278" s="13" t="s">
        <v>1447</v>
      </c>
      <c r="H278" s="13" t="s">
        <v>1448</v>
      </c>
      <c r="I278" s="13">
        <v>2025</v>
      </c>
      <c r="J278" s="13" t="s">
        <v>1470</v>
      </c>
      <c r="K278" s="13">
        <v>3</v>
      </c>
      <c r="L278" s="13">
        <v>11</v>
      </c>
      <c r="M278" s="13" t="s">
        <v>1472</v>
      </c>
    </row>
    <row r="279" spans="2:13" ht="15.75" hidden="1" outlineLevel="1" x14ac:dyDescent="0.3">
      <c r="B279" s="13" t="s">
        <v>145</v>
      </c>
      <c r="C279" s="13" t="s">
        <v>1473</v>
      </c>
      <c r="D279" s="13" t="s">
        <v>71</v>
      </c>
      <c r="E279" s="13" t="s">
        <v>13</v>
      </c>
      <c r="F279" s="13" t="s">
        <v>146</v>
      </c>
      <c r="G279" s="13" t="s">
        <v>1447</v>
      </c>
      <c r="H279" s="13" t="s">
        <v>1448</v>
      </c>
      <c r="I279" s="13">
        <v>2024</v>
      </c>
      <c r="J279" s="13" t="s">
        <v>1474</v>
      </c>
      <c r="K279" s="13">
        <v>4</v>
      </c>
      <c r="L279" s="13">
        <v>12</v>
      </c>
      <c r="M279" s="13" t="s">
        <v>1475</v>
      </c>
    </row>
    <row r="280" spans="2:13" ht="15.75" hidden="1" outlineLevel="1" x14ac:dyDescent="0.3">
      <c r="B280" s="13" t="s">
        <v>115</v>
      </c>
      <c r="C280" s="13" t="s">
        <v>1473</v>
      </c>
      <c r="D280" s="13" t="s">
        <v>11</v>
      </c>
      <c r="E280" s="13" t="s">
        <v>13</v>
      </c>
      <c r="F280" s="13" t="s">
        <v>117</v>
      </c>
      <c r="G280" s="13" t="s">
        <v>1447</v>
      </c>
      <c r="H280" s="13" t="s">
        <v>1448</v>
      </c>
      <c r="I280" s="13">
        <v>2025</v>
      </c>
      <c r="J280" s="13" t="s">
        <v>1474</v>
      </c>
      <c r="K280" s="13">
        <v>3</v>
      </c>
      <c r="L280" s="13">
        <v>12</v>
      </c>
      <c r="M280" s="13" t="s">
        <v>1476</v>
      </c>
    </row>
    <row r="281" spans="2:13" ht="15.75" hidden="1" outlineLevel="1" x14ac:dyDescent="0.3">
      <c r="B281" s="13" t="s">
        <v>147</v>
      </c>
      <c r="C281" s="13" t="s">
        <v>1477</v>
      </c>
      <c r="D281" s="13" t="s">
        <v>71</v>
      </c>
      <c r="E281" s="13" t="s">
        <v>13</v>
      </c>
      <c r="F281" s="13" t="s">
        <v>148</v>
      </c>
      <c r="G281" s="13" t="s">
        <v>1447</v>
      </c>
      <c r="H281" s="13" t="s">
        <v>1448</v>
      </c>
      <c r="I281" s="13">
        <v>2024</v>
      </c>
      <c r="J281" s="13" t="s">
        <v>1448</v>
      </c>
      <c r="K281" s="13">
        <v>4</v>
      </c>
      <c r="L281" s="13">
        <v>13</v>
      </c>
      <c r="M281" s="13" t="s">
        <v>1478</v>
      </c>
    </row>
    <row r="282" spans="2:13" ht="15.75" hidden="1" outlineLevel="1" x14ac:dyDescent="0.3">
      <c r="B282" s="13" t="s">
        <v>118</v>
      </c>
      <c r="C282" s="13" t="s">
        <v>1477</v>
      </c>
      <c r="D282" s="13" t="s">
        <v>11</v>
      </c>
      <c r="E282" s="13" t="s">
        <v>13</v>
      </c>
      <c r="F282" s="13" t="s">
        <v>120</v>
      </c>
      <c r="G282" s="13" t="s">
        <v>1447</v>
      </c>
      <c r="H282" s="13" t="s">
        <v>1448</v>
      </c>
      <c r="I282" s="13">
        <v>2025</v>
      </c>
      <c r="J282" s="13" t="s">
        <v>1448</v>
      </c>
      <c r="K282" s="13">
        <v>3</v>
      </c>
      <c r="L282" s="13">
        <v>13</v>
      </c>
      <c r="M282" s="13" t="s">
        <v>1479</v>
      </c>
    </row>
    <row r="283" spans="2:13" ht="15.75" hidden="1" outlineLevel="1" x14ac:dyDescent="0.3">
      <c r="B283" s="13" t="s">
        <v>149</v>
      </c>
      <c r="C283" s="13" t="s">
        <v>1480</v>
      </c>
      <c r="D283" s="13" t="s">
        <v>71</v>
      </c>
      <c r="E283" s="13" t="s">
        <v>13</v>
      </c>
      <c r="F283" s="13" t="s">
        <v>150</v>
      </c>
      <c r="G283" s="13" t="s">
        <v>1447</v>
      </c>
      <c r="H283" s="13" t="s">
        <v>1448</v>
      </c>
      <c r="I283" s="13">
        <v>2024</v>
      </c>
      <c r="J283" s="13" t="s">
        <v>1481</v>
      </c>
      <c r="K283" s="13">
        <v>4</v>
      </c>
      <c r="L283" s="13">
        <v>14</v>
      </c>
      <c r="M283" s="13" t="s">
        <v>1482</v>
      </c>
    </row>
    <row r="284" spans="2:13" ht="15.75" hidden="1" outlineLevel="1" x14ac:dyDescent="0.3">
      <c r="B284" s="13" t="s">
        <v>121</v>
      </c>
      <c r="C284" s="13" t="s">
        <v>1480</v>
      </c>
      <c r="D284" s="13" t="s">
        <v>11</v>
      </c>
      <c r="E284" s="13" t="s">
        <v>13</v>
      </c>
      <c r="F284" s="13" t="s">
        <v>123</v>
      </c>
      <c r="G284" s="13" t="s">
        <v>1447</v>
      </c>
      <c r="H284" s="13" t="s">
        <v>1448</v>
      </c>
      <c r="I284" s="13">
        <v>2025</v>
      </c>
      <c r="J284" s="13" t="s">
        <v>1481</v>
      </c>
      <c r="K284" s="13">
        <v>3</v>
      </c>
      <c r="L284" s="13">
        <v>14</v>
      </c>
      <c r="M284" s="13" t="s">
        <v>1483</v>
      </c>
    </row>
    <row r="285" spans="2:13" ht="15.75" hidden="1" outlineLevel="1" x14ac:dyDescent="0.3">
      <c r="B285" s="13" t="s">
        <v>124</v>
      </c>
      <c r="C285" s="13" t="s">
        <v>1484</v>
      </c>
      <c r="D285" s="13" t="s">
        <v>11</v>
      </c>
      <c r="E285" s="13" t="s">
        <v>13</v>
      </c>
      <c r="F285" s="13" t="s">
        <v>126</v>
      </c>
      <c r="G285" s="13" t="s">
        <v>1447</v>
      </c>
      <c r="H285" s="13" t="s">
        <v>1448</v>
      </c>
      <c r="I285" s="13">
        <v>2025</v>
      </c>
      <c r="J285" s="13" t="s">
        <v>1485</v>
      </c>
      <c r="K285" s="13">
        <v>3</v>
      </c>
      <c r="L285" s="13">
        <v>15</v>
      </c>
      <c r="M285" s="13" t="s">
        <v>1486</v>
      </c>
    </row>
    <row r="286" spans="2:13" ht="15.75" hidden="1" outlineLevel="1" x14ac:dyDescent="0.3">
      <c r="B286" s="13" t="s">
        <v>151</v>
      </c>
      <c r="C286" s="13" t="s">
        <v>1484</v>
      </c>
      <c r="D286" s="13" t="s">
        <v>71</v>
      </c>
      <c r="E286" s="13" t="s">
        <v>13</v>
      </c>
      <c r="F286" s="13" t="s">
        <v>152</v>
      </c>
      <c r="G286" s="13" t="s">
        <v>1447</v>
      </c>
      <c r="H286" s="13" t="s">
        <v>1448</v>
      </c>
      <c r="I286" s="13">
        <v>2024</v>
      </c>
      <c r="J286" s="13" t="s">
        <v>1485</v>
      </c>
      <c r="K286" s="13">
        <v>4</v>
      </c>
      <c r="L286" s="13">
        <v>15</v>
      </c>
      <c r="M286" s="13" t="s">
        <v>1487</v>
      </c>
    </row>
    <row r="287" spans="2:13" ht="15.75" hidden="1" outlineLevel="1" x14ac:dyDescent="0.3">
      <c r="B287" s="13" t="s">
        <v>153</v>
      </c>
      <c r="C287" s="13" t="s">
        <v>1477</v>
      </c>
      <c r="D287" s="13" t="s">
        <v>71</v>
      </c>
      <c r="E287" s="13" t="s">
        <v>13</v>
      </c>
      <c r="F287" s="13" t="s">
        <v>148</v>
      </c>
      <c r="G287" s="13" t="s">
        <v>1447</v>
      </c>
      <c r="H287" s="13" t="s">
        <v>1448</v>
      </c>
      <c r="I287" s="13">
        <v>2024</v>
      </c>
      <c r="J287" s="13" t="s">
        <v>1448</v>
      </c>
      <c r="K287" s="13">
        <v>4</v>
      </c>
      <c r="L287" s="13">
        <v>16</v>
      </c>
      <c r="M287" s="13" t="s">
        <v>1478</v>
      </c>
    </row>
    <row r="288" spans="2:13" ht="15.75" hidden="1" outlineLevel="1" x14ac:dyDescent="0.3">
      <c r="B288" s="13" t="s">
        <v>127</v>
      </c>
      <c r="C288" s="13" t="s">
        <v>1477</v>
      </c>
      <c r="D288" s="13" t="s">
        <v>11</v>
      </c>
      <c r="E288" s="13" t="s">
        <v>13</v>
      </c>
      <c r="F288" s="13" t="s">
        <v>120</v>
      </c>
      <c r="G288" s="13" t="s">
        <v>1447</v>
      </c>
      <c r="H288" s="13" t="s">
        <v>1448</v>
      </c>
      <c r="I288" s="13">
        <v>2025</v>
      </c>
      <c r="J288" s="13" t="s">
        <v>1448</v>
      </c>
      <c r="K288" s="13">
        <v>3</v>
      </c>
      <c r="L288" s="13">
        <v>16</v>
      </c>
      <c r="M288" s="13" t="s">
        <v>1479</v>
      </c>
    </row>
    <row r="289" spans="2:13" ht="15.75" hidden="1" outlineLevel="1" x14ac:dyDescent="0.3">
      <c r="B289" s="13" t="s">
        <v>349</v>
      </c>
      <c r="C289" s="13" t="s">
        <v>1488</v>
      </c>
      <c r="D289" s="13" t="s">
        <v>290</v>
      </c>
      <c r="E289" s="13" t="s">
        <v>13</v>
      </c>
      <c r="F289" s="13" t="s">
        <v>350</v>
      </c>
      <c r="G289" s="13" t="s">
        <v>1489</v>
      </c>
      <c r="H289" s="13" t="s">
        <v>1490</v>
      </c>
      <c r="I289" s="13">
        <v>2024</v>
      </c>
      <c r="J289" s="13" t="s">
        <v>1491</v>
      </c>
      <c r="K289" s="13">
        <v>4</v>
      </c>
      <c r="L289" s="13">
        <v>5</v>
      </c>
      <c r="M289" s="13" t="s">
        <v>1492</v>
      </c>
    </row>
    <row r="290" spans="2:13" ht="15.75" hidden="1" outlineLevel="1" x14ac:dyDescent="0.3">
      <c r="B290" s="13" t="s">
        <v>254</v>
      </c>
      <c r="C290" s="13" t="s">
        <v>1488</v>
      </c>
      <c r="D290" s="13" t="s">
        <v>165</v>
      </c>
      <c r="E290" s="13" t="s">
        <v>13</v>
      </c>
      <c r="F290" s="13" t="s">
        <v>256</v>
      </c>
      <c r="G290" s="13" t="s">
        <v>1489</v>
      </c>
      <c r="H290" s="13" t="s">
        <v>1490</v>
      </c>
      <c r="I290" s="13">
        <v>2025</v>
      </c>
      <c r="J290" s="13" t="s">
        <v>1491</v>
      </c>
      <c r="K290" s="13">
        <v>3</v>
      </c>
      <c r="L290" s="13">
        <v>5</v>
      </c>
      <c r="M290" s="13" t="s">
        <v>1493</v>
      </c>
    </row>
    <row r="291" spans="2:13" ht="15.75" hidden="1" outlineLevel="1" x14ac:dyDescent="0.3">
      <c r="B291" s="13" t="s">
        <v>277</v>
      </c>
      <c r="C291" s="13" t="s">
        <v>1494</v>
      </c>
      <c r="D291" s="13" t="s">
        <v>165</v>
      </c>
      <c r="E291" s="13" t="s">
        <v>13</v>
      </c>
      <c r="F291" s="13" t="s">
        <v>279</v>
      </c>
      <c r="G291" s="13" t="s">
        <v>1489</v>
      </c>
      <c r="H291" s="13" t="s">
        <v>1490</v>
      </c>
      <c r="I291" s="13">
        <v>2025</v>
      </c>
      <c r="J291" s="13" t="s">
        <v>1495</v>
      </c>
      <c r="K291" s="13">
        <v>3</v>
      </c>
      <c r="L291" s="13">
        <v>6</v>
      </c>
      <c r="M291" s="13" t="s">
        <v>1496</v>
      </c>
    </row>
    <row r="292" spans="2:13" ht="15.75" hidden="1" outlineLevel="1" x14ac:dyDescent="0.3">
      <c r="B292" s="13" t="s">
        <v>364</v>
      </c>
      <c r="C292" s="13" t="s">
        <v>1494</v>
      </c>
      <c r="D292" s="13" t="s">
        <v>290</v>
      </c>
      <c r="E292" s="13" t="s">
        <v>13</v>
      </c>
      <c r="F292" s="13" t="s">
        <v>365</v>
      </c>
      <c r="G292" s="13" t="s">
        <v>1489</v>
      </c>
      <c r="H292" s="13" t="s">
        <v>1490</v>
      </c>
      <c r="I292" s="13">
        <v>2024</v>
      </c>
      <c r="J292" s="13" t="s">
        <v>1495</v>
      </c>
      <c r="K292" s="13">
        <v>4</v>
      </c>
      <c r="L292" s="13">
        <v>6</v>
      </c>
      <c r="M292" s="13" t="s">
        <v>1497</v>
      </c>
    </row>
    <row r="293" spans="2:13" ht="15.75" hidden="1" outlineLevel="1" x14ac:dyDescent="0.3">
      <c r="B293" s="13" t="s">
        <v>280</v>
      </c>
      <c r="C293" s="13" t="s">
        <v>1498</v>
      </c>
      <c r="D293" s="13" t="s">
        <v>165</v>
      </c>
      <c r="E293" s="13" t="s">
        <v>13</v>
      </c>
      <c r="F293" s="13" t="s">
        <v>282</v>
      </c>
      <c r="G293" s="13" t="s">
        <v>1489</v>
      </c>
      <c r="H293" s="13" t="s">
        <v>1490</v>
      </c>
      <c r="I293" s="13">
        <v>2025</v>
      </c>
      <c r="J293" s="13" t="s">
        <v>1499</v>
      </c>
      <c r="K293" s="13">
        <v>3</v>
      </c>
      <c r="L293" s="13">
        <v>7</v>
      </c>
      <c r="M293" s="13" t="s">
        <v>1500</v>
      </c>
    </row>
    <row r="294" spans="2:13" ht="15.75" hidden="1" outlineLevel="1" x14ac:dyDescent="0.3">
      <c r="B294" s="13" t="s">
        <v>366</v>
      </c>
      <c r="C294" s="13" t="s">
        <v>1498</v>
      </c>
      <c r="D294" s="13" t="s">
        <v>290</v>
      </c>
      <c r="E294" s="13" t="s">
        <v>13</v>
      </c>
      <c r="F294" s="13" t="s">
        <v>367</v>
      </c>
      <c r="G294" s="13" t="s">
        <v>1489</v>
      </c>
      <c r="H294" s="13" t="s">
        <v>1490</v>
      </c>
      <c r="I294" s="13">
        <v>2024</v>
      </c>
      <c r="J294" s="13" t="s">
        <v>1499</v>
      </c>
      <c r="K294" s="13">
        <v>4</v>
      </c>
      <c r="L294" s="13">
        <v>7</v>
      </c>
      <c r="M294" s="13" t="s">
        <v>1501</v>
      </c>
    </row>
    <row r="295" spans="2:13" ht="15.75" hidden="1" outlineLevel="1" x14ac:dyDescent="0.3">
      <c r="B295" s="13" t="s">
        <v>283</v>
      </c>
      <c r="C295" s="13" t="s">
        <v>1502</v>
      </c>
      <c r="D295" s="13" t="s">
        <v>165</v>
      </c>
      <c r="E295" s="13" t="s">
        <v>13</v>
      </c>
      <c r="F295" s="13" t="s">
        <v>285</v>
      </c>
      <c r="G295" s="13" t="s">
        <v>1489</v>
      </c>
      <c r="H295" s="13" t="s">
        <v>1490</v>
      </c>
      <c r="I295" s="13">
        <v>2025</v>
      </c>
      <c r="J295" s="13" t="s">
        <v>1503</v>
      </c>
      <c r="K295" s="13">
        <v>3</v>
      </c>
      <c r="L295" s="13">
        <v>8</v>
      </c>
      <c r="M295" s="13" t="s">
        <v>1504</v>
      </c>
    </row>
    <row r="296" spans="2:13" ht="15.75" hidden="1" outlineLevel="1" x14ac:dyDescent="0.3">
      <c r="B296" s="13" t="s">
        <v>368</v>
      </c>
      <c r="C296" s="13" t="s">
        <v>1502</v>
      </c>
      <c r="D296" s="13" t="s">
        <v>290</v>
      </c>
      <c r="E296" s="13" t="s">
        <v>13</v>
      </c>
      <c r="F296" s="13" t="s">
        <v>369</v>
      </c>
      <c r="G296" s="13" t="s">
        <v>1489</v>
      </c>
      <c r="H296" s="13" t="s">
        <v>1490</v>
      </c>
      <c r="I296" s="13">
        <v>2024</v>
      </c>
      <c r="J296" s="13" t="s">
        <v>1503</v>
      </c>
      <c r="K296" s="13">
        <v>4</v>
      </c>
      <c r="L296" s="13">
        <v>8</v>
      </c>
      <c r="M296" s="13" t="s">
        <v>1505</v>
      </c>
    </row>
    <row r="297" spans="2:13" ht="15.75" hidden="1" outlineLevel="1" x14ac:dyDescent="0.3">
      <c r="B297" s="13" t="s">
        <v>286</v>
      </c>
      <c r="C297" s="13" t="s">
        <v>1506</v>
      </c>
      <c r="D297" s="13" t="s">
        <v>165</v>
      </c>
      <c r="E297" s="13" t="s">
        <v>13</v>
      </c>
      <c r="F297" s="13" t="s">
        <v>288</v>
      </c>
      <c r="G297" s="13" t="s">
        <v>1489</v>
      </c>
      <c r="H297" s="13" t="s">
        <v>1490</v>
      </c>
      <c r="I297" s="13">
        <v>2025</v>
      </c>
      <c r="J297" s="13" t="s">
        <v>1507</v>
      </c>
      <c r="K297" s="13">
        <v>3</v>
      </c>
      <c r="L297" s="13">
        <v>9</v>
      </c>
      <c r="M297" s="13" t="s">
        <v>1508</v>
      </c>
    </row>
    <row r="298" spans="2:13" ht="15.75" hidden="1" outlineLevel="1" x14ac:dyDescent="0.3">
      <c r="B298" s="13" t="s">
        <v>370</v>
      </c>
      <c r="C298" s="13" t="s">
        <v>1506</v>
      </c>
      <c r="D298" s="13" t="s">
        <v>290</v>
      </c>
      <c r="E298" s="13" t="s">
        <v>13</v>
      </c>
      <c r="F298" s="13" t="s">
        <v>371</v>
      </c>
      <c r="G298" s="13" t="s">
        <v>1489</v>
      </c>
      <c r="H298" s="13" t="s">
        <v>1490</v>
      </c>
      <c r="I298" s="13">
        <v>2024</v>
      </c>
      <c r="J298" s="13" t="s">
        <v>1507</v>
      </c>
      <c r="K298" s="13">
        <v>4</v>
      </c>
      <c r="L298" s="13">
        <v>9</v>
      </c>
      <c r="M298" s="13" t="s">
        <v>1509</v>
      </c>
    </row>
    <row r="299" spans="2:13" ht="15.75" hidden="1" outlineLevel="1" x14ac:dyDescent="0.3">
      <c r="B299" s="13" t="s">
        <v>163</v>
      </c>
      <c r="C299" s="13" t="s">
        <v>1510</v>
      </c>
      <c r="D299" s="13" t="s">
        <v>165</v>
      </c>
      <c r="E299" s="13" t="s">
        <v>13</v>
      </c>
      <c r="F299" s="13" t="s">
        <v>166</v>
      </c>
      <c r="G299" s="13" t="s">
        <v>1489</v>
      </c>
      <c r="H299" s="13" t="s">
        <v>1490</v>
      </c>
      <c r="I299" s="13">
        <v>2025</v>
      </c>
      <c r="J299" s="13" t="s">
        <v>1511</v>
      </c>
      <c r="K299" s="13">
        <v>3</v>
      </c>
      <c r="L299" s="13">
        <v>10</v>
      </c>
      <c r="M299" s="13" t="s">
        <v>1512</v>
      </c>
    </row>
    <row r="300" spans="2:13" ht="15.75" hidden="1" outlineLevel="1" x14ac:dyDescent="0.3">
      <c r="B300" s="13" t="s">
        <v>289</v>
      </c>
      <c r="C300" s="13" t="s">
        <v>1510</v>
      </c>
      <c r="D300" s="13" t="s">
        <v>290</v>
      </c>
      <c r="E300" s="13" t="s">
        <v>13</v>
      </c>
      <c r="F300" s="13" t="s">
        <v>291</v>
      </c>
      <c r="G300" s="13" t="s">
        <v>1489</v>
      </c>
      <c r="H300" s="13" t="s">
        <v>1490</v>
      </c>
      <c r="I300" s="13">
        <v>2024</v>
      </c>
      <c r="J300" s="13" t="s">
        <v>1511</v>
      </c>
      <c r="K300" s="13">
        <v>4</v>
      </c>
      <c r="L300" s="13">
        <v>10</v>
      </c>
      <c r="M300" s="13" t="s">
        <v>1513</v>
      </c>
    </row>
    <row r="301" spans="2:13" ht="15.75" hidden="1" outlineLevel="1" x14ac:dyDescent="0.3">
      <c r="B301" s="13" t="s">
        <v>292</v>
      </c>
      <c r="C301" s="13" t="s">
        <v>1514</v>
      </c>
      <c r="D301" s="13" t="s">
        <v>290</v>
      </c>
      <c r="E301" s="13" t="s">
        <v>13</v>
      </c>
      <c r="F301" s="13" t="s">
        <v>293</v>
      </c>
      <c r="G301" s="13" t="s">
        <v>1489</v>
      </c>
      <c r="H301" s="13" t="s">
        <v>1490</v>
      </c>
      <c r="I301" s="13">
        <v>2024</v>
      </c>
      <c r="J301" s="13" t="s">
        <v>1515</v>
      </c>
      <c r="K301" s="13">
        <v>4</v>
      </c>
      <c r="L301" s="13">
        <v>11</v>
      </c>
      <c r="M301" s="13" t="s">
        <v>1516</v>
      </c>
    </row>
    <row r="302" spans="2:13" ht="15.75" hidden="1" outlineLevel="1" x14ac:dyDescent="0.3">
      <c r="B302" s="13" t="s">
        <v>167</v>
      </c>
      <c r="C302" s="13" t="s">
        <v>1514</v>
      </c>
      <c r="D302" s="13" t="s">
        <v>165</v>
      </c>
      <c r="E302" s="13" t="s">
        <v>13</v>
      </c>
      <c r="F302" s="13" t="s">
        <v>169</v>
      </c>
      <c r="G302" s="13" t="s">
        <v>1489</v>
      </c>
      <c r="H302" s="13" t="s">
        <v>1490</v>
      </c>
      <c r="I302" s="13">
        <v>2025</v>
      </c>
      <c r="J302" s="13" t="s">
        <v>1515</v>
      </c>
      <c r="K302" s="13">
        <v>3</v>
      </c>
      <c r="L302" s="13">
        <v>11</v>
      </c>
      <c r="M302" s="13" t="s">
        <v>1517</v>
      </c>
    </row>
    <row r="303" spans="2:13" ht="15.75" hidden="1" outlineLevel="1" x14ac:dyDescent="0.3">
      <c r="B303" s="13" t="s">
        <v>294</v>
      </c>
      <c r="C303" s="13" t="s">
        <v>1518</v>
      </c>
      <c r="D303" s="13" t="s">
        <v>290</v>
      </c>
      <c r="E303" s="13" t="s">
        <v>13</v>
      </c>
      <c r="F303" s="13" t="s">
        <v>295</v>
      </c>
      <c r="G303" s="13" t="s">
        <v>1489</v>
      </c>
      <c r="H303" s="13" t="s">
        <v>1490</v>
      </c>
      <c r="I303" s="13">
        <v>2024</v>
      </c>
      <c r="J303" s="13" t="s">
        <v>1519</v>
      </c>
      <c r="K303" s="13">
        <v>4</v>
      </c>
      <c r="L303" s="13">
        <v>12</v>
      </c>
      <c r="M303" s="13" t="s">
        <v>1520</v>
      </c>
    </row>
    <row r="304" spans="2:13" ht="15.75" hidden="1" outlineLevel="1" x14ac:dyDescent="0.3">
      <c r="B304" s="13" t="s">
        <v>170</v>
      </c>
      <c r="C304" s="13" t="s">
        <v>1518</v>
      </c>
      <c r="D304" s="13" t="s">
        <v>165</v>
      </c>
      <c r="E304" s="13" t="s">
        <v>13</v>
      </c>
      <c r="F304" s="13" t="s">
        <v>172</v>
      </c>
      <c r="G304" s="13" t="s">
        <v>1489</v>
      </c>
      <c r="H304" s="13" t="s">
        <v>1490</v>
      </c>
      <c r="I304" s="13">
        <v>2025</v>
      </c>
      <c r="J304" s="13" t="s">
        <v>1519</v>
      </c>
      <c r="K304" s="13">
        <v>3</v>
      </c>
      <c r="L304" s="13">
        <v>12</v>
      </c>
      <c r="M304" s="13" t="s">
        <v>1521</v>
      </c>
    </row>
    <row r="305" spans="2:13" ht="15.75" hidden="1" outlineLevel="1" x14ac:dyDescent="0.3">
      <c r="B305" s="13" t="s">
        <v>296</v>
      </c>
      <c r="C305" s="13" t="s">
        <v>1522</v>
      </c>
      <c r="D305" s="13" t="s">
        <v>290</v>
      </c>
      <c r="E305" s="13" t="s">
        <v>13</v>
      </c>
      <c r="F305" s="13" t="s">
        <v>297</v>
      </c>
      <c r="G305" s="13" t="s">
        <v>1489</v>
      </c>
      <c r="H305" s="13" t="s">
        <v>1490</v>
      </c>
      <c r="I305" s="13">
        <v>2024</v>
      </c>
      <c r="J305" s="13" t="s">
        <v>1523</v>
      </c>
      <c r="K305" s="13">
        <v>4</v>
      </c>
      <c r="L305" s="13">
        <v>13</v>
      </c>
      <c r="M305" s="13" t="s">
        <v>1524</v>
      </c>
    </row>
    <row r="306" spans="2:13" ht="15.75" hidden="1" outlineLevel="1" x14ac:dyDescent="0.3">
      <c r="B306" s="13" t="s">
        <v>173</v>
      </c>
      <c r="C306" s="13" t="s">
        <v>1522</v>
      </c>
      <c r="D306" s="13" t="s">
        <v>165</v>
      </c>
      <c r="E306" s="13" t="s">
        <v>13</v>
      </c>
      <c r="F306" s="13" t="s">
        <v>175</v>
      </c>
      <c r="G306" s="13" t="s">
        <v>1489</v>
      </c>
      <c r="H306" s="13" t="s">
        <v>1490</v>
      </c>
      <c r="I306" s="13">
        <v>2025</v>
      </c>
      <c r="J306" s="13" t="s">
        <v>1523</v>
      </c>
      <c r="K306" s="13">
        <v>3</v>
      </c>
      <c r="L306" s="13">
        <v>13</v>
      </c>
      <c r="M306" s="13" t="s">
        <v>1525</v>
      </c>
    </row>
    <row r="307" spans="2:13" ht="15.75" hidden="1" outlineLevel="1" x14ac:dyDescent="0.3">
      <c r="B307" s="13" t="s">
        <v>176</v>
      </c>
      <c r="C307" s="13" t="s">
        <v>1526</v>
      </c>
      <c r="D307" s="13" t="s">
        <v>165</v>
      </c>
      <c r="E307" s="13" t="s">
        <v>13</v>
      </c>
      <c r="F307" s="13" t="s">
        <v>178</v>
      </c>
      <c r="G307" s="13" t="s">
        <v>1489</v>
      </c>
      <c r="H307" s="13" t="s">
        <v>1490</v>
      </c>
      <c r="I307" s="13">
        <v>2025</v>
      </c>
      <c r="J307" s="13" t="s">
        <v>1526</v>
      </c>
      <c r="K307" s="13">
        <v>3</v>
      </c>
      <c r="L307" s="13">
        <v>16</v>
      </c>
      <c r="M307" s="13" t="s">
        <v>1527</v>
      </c>
    </row>
    <row r="308" spans="2:13" ht="15.75" hidden="1" outlineLevel="1" x14ac:dyDescent="0.3">
      <c r="B308" s="13" t="s">
        <v>298</v>
      </c>
      <c r="C308" s="13" t="s">
        <v>1526</v>
      </c>
      <c r="D308" s="13" t="s">
        <v>290</v>
      </c>
      <c r="E308" s="13" t="s">
        <v>13</v>
      </c>
      <c r="F308" s="13" t="s">
        <v>299</v>
      </c>
      <c r="G308" s="13" t="s">
        <v>1489</v>
      </c>
      <c r="H308" s="13" t="s">
        <v>1490</v>
      </c>
      <c r="I308" s="13">
        <v>2024</v>
      </c>
      <c r="J308" s="13" t="s">
        <v>1526</v>
      </c>
      <c r="K308" s="13">
        <v>4</v>
      </c>
      <c r="L308" s="13">
        <v>16</v>
      </c>
      <c r="M308" s="13" t="s">
        <v>1528</v>
      </c>
    </row>
    <row r="309" spans="2:13" ht="15.75" hidden="1" outlineLevel="1" x14ac:dyDescent="0.3">
      <c r="B309" s="13" t="s">
        <v>179</v>
      </c>
      <c r="C309" s="13" t="s">
        <v>1529</v>
      </c>
      <c r="D309" s="13" t="s">
        <v>165</v>
      </c>
      <c r="E309" s="13" t="s">
        <v>13</v>
      </c>
      <c r="F309" s="13" t="s">
        <v>181</v>
      </c>
      <c r="G309" s="13" t="s">
        <v>1489</v>
      </c>
      <c r="H309" s="13" t="s">
        <v>1490</v>
      </c>
      <c r="I309" s="13">
        <v>2025</v>
      </c>
      <c r="J309" s="13" t="s">
        <v>1530</v>
      </c>
      <c r="K309" s="13">
        <v>3</v>
      </c>
      <c r="L309" s="13">
        <v>17</v>
      </c>
      <c r="M309" s="13" t="s">
        <v>1531</v>
      </c>
    </row>
    <row r="310" spans="2:13" ht="15.75" hidden="1" outlineLevel="1" x14ac:dyDescent="0.3">
      <c r="B310" s="13" t="s">
        <v>300</v>
      </c>
      <c r="C310" s="13" t="s">
        <v>1529</v>
      </c>
      <c r="D310" s="13" t="s">
        <v>290</v>
      </c>
      <c r="E310" s="13" t="s">
        <v>13</v>
      </c>
      <c r="F310" s="13" t="s">
        <v>301</v>
      </c>
      <c r="G310" s="13" t="s">
        <v>1489</v>
      </c>
      <c r="H310" s="13" t="s">
        <v>1490</v>
      </c>
      <c r="I310" s="13">
        <v>2024</v>
      </c>
      <c r="J310" s="13" t="s">
        <v>1530</v>
      </c>
      <c r="K310" s="13">
        <v>4</v>
      </c>
      <c r="L310" s="13">
        <v>17</v>
      </c>
      <c r="M310" s="13" t="s">
        <v>1532</v>
      </c>
    </row>
    <row r="311" spans="2:13" ht="15.75" hidden="1" outlineLevel="1" x14ac:dyDescent="0.3">
      <c r="B311" s="13" t="s">
        <v>182</v>
      </c>
      <c r="C311" s="13" t="s">
        <v>1533</v>
      </c>
      <c r="D311" s="13" t="s">
        <v>165</v>
      </c>
      <c r="E311" s="13" t="s">
        <v>13</v>
      </c>
      <c r="F311" s="13" t="s">
        <v>184</v>
      </c>
      <c r="G311" s="13" t="s">
        <v>1489</v>
      </c>
      <c r="H311" s="13" t="s">
        <v>1490</v>
      </c>
      <c r="I311" s="13">
        <v>2025</v>
      </c>
      <c r="J311" s="13" t="s">
        <v>1534</v>
      </c>
      <c r="K311" s="13">
        <v>3</v>
      </c>
      <c r="L311" s="13">
        <v>18</v>
      </c>
      <c r="M311" s="13" t="s">
        <v>1535</v>
      </c>
    </row>
    <row r="312" spans="2:13" ht="15.75" hidden="1" outlineLevel="1" x14ac:dyDescent="0.3">
      <c r="B312" s="13" t="s">
        <v>302</v>
      </c>
      <c r="C312" s="13" t="s">
        <v>1533</v>
      </c>
      <c r="D312" s="13" t="s">
        <v>290</v>
      </c>
      <c r="E312" s="13" t="s">
        <v>13</v>
      </c>
      <c r="F312" s="13" t="s">
        <v>303</v>
      </c>
      <c r="G312" s="13" t="s">
        <v>1489</v>
      </c>
      <c r="H312" s="13" t="s">
        <v>1490</v>
      </c>
      <c r="I312" s="13">
        <v>2024</v>
      </c>
      <c r="J312" s="13" t="s">
        <v>1534</v>
      </c>
      <c r="K312" s="13">
        <v>4</v>
      </c>
      <c r="L312" s="13">
        <v>18</v>
      </c>
      <c r="M312" s="13" t="s">
        <v>1536</v>
      </c>
    </row>
    <row r="313" spans="2:13" ht="15.75" hidden="1" outlineLevel="1" x14ac:dyDescent="0.3">
      <c r="B313" s="13" t="s">
        <v>304</v>
      </c>
      <c r="C313" s="13" t="s">
        <v>1537</v>
      </c>
      <c r="D313" s="13" t="s">
        <v>290</v>
      </c>
      <c r="E313" s="13" t="s">
        <v>13</v>
      </c>
      <c r="F313" s="13" t="s">
        <v>268</v>
      </c>
      <c r="G313" s="13" t="s">
        <v>1489</v>
      </c>
      <c r="H313" s="13" t="s">
        <v>1490</v>
      </c>
      <c r="I313" s="13">
        <v>2024</v>
      </c>
      <c r="J313" s="13" t="s">
        <v>1538</v>
      </c>
      <c r="K313" s="13">
        <v>4</v>
      </c>
      <c r="L313" s="13">
        <v>19</v>
      </c>
      <c r="M313" s="13" t="s">
        <v>1539</v>
      </c>
    </row>
    <row r="314" spans="2:13" ht="15.75" hidden="1" outlineLevel="1" x14ac:dyDescent="0.3">
      <c r="B314" s="13" t="s">
        <v>185</v>
      </c>
      <c r="C314" s="13" t="s">
        <v>1537</v>
      </c>
      <c r="D314" s="13" t="s">
        <v>165</v>
      </c>
      <c r="E314" s="13" t="s">
        <v>13</v>
      </c>
      <c r="F314" s="13" t="s">
        <v>187</v>
      </c>
      <c r="G314" s="13" t="s">
        <v>1489</v>
      </c>
      <c r="H314" s="13" t="s">
        <v>1490</v>
      </c>
      <c r="I314" s="13">
        <v>2025</v>
      </c>
      <c r="J314" s="13" t="s">
        <v>1538</v>
      </c>
      <c r="K314" s="13">
        <v>3</v>
      </c>
      <c r="L314" s="13">
        <v>19</v>
      </c>
      <c r="M314" s="13" t="s">
        <v>1540</v>
      </c>
    </row>
    <row r="315" spans="2:13" ht="15.75" hidden="1" outlineLevel="1" x14ac:dyDescent="0.3">
      <c r="B315" s="13" t="s">
        <v>305</v>
      </c>
      <c r="C315" s="13" t="s">
        <v>1541</v>
      </c>
      <c r="D315" s="13" t="s">
        <v>290</v>
      </c>
      <c r="E315" s="13" t="s">
        <v>13</v>
      </c>
      <c r="F315" s="13" t="s">
        <v>306</v>
      </c>
      <c r="G315" s="13" t="s">
        <v>1489</v>
      </c>
      <c r="H315" s="13" t="s">
        <v>1490</v>
      </c>
      <c r="I315" s="13">
        <v>2024</v>
      </c>
      <c r="J315" s="13" t="s">
        <v>1542</v>
      </c>
      <c r="K315" s="13">
        <v>4</v>
      </c>
      <c r="L315" s="13">
        <v>20</v>
      </c>
      <c r="M315" s="13" t="s">
        <v>1543</v>
      </c>
    </row>
    <row r="316" spans="2:13" ht="15.75" hidden="1" outlineLevel="1" x14ac:dyDescent="0.3">
      <c r="B316" s="13" t="s">
        <v>188</v>
      </c>
      <c r="C316" s="13" t="s">
        <v>1541</v>
      </c>
      <c r="D316" s="13" t="s">
        <v>165</v>
      </c>
      <c r="E316" s="13" t="s">
        <v>13</v>
      </c>
      <c r="F316" s="13" t="s">
        <v>190</v>
      </c>
      <c r="G316" s="13" t="s">
        <v>1489</v>
      </c>
      <c r="H316" s="13" t="s">
        <v>1490</v>
      </c>
      <c r="I316" s="13">
        <v>2025</v>
      </c>
      <c r="J316" s="13" t="s">
        <v>1542</v>
      </c>
      <c r="K316" s="13">
        <v>3</v>
      </c>
      <c r="L316" s="13">
        <v>20</v>
      </c>
      <c r="M316" s="13" t="s">
        <v>1544</v>
      </c>
    </row>
    <row r="317" spans="2:13" ht="15.75" hidden="1" outlineLevel="1" x14ac:dyDescent="0.3">
      <c r="B317" s="13" t="s">
        <v>191</v>
      </c>
      <c r="C317" s="13" t="s">
        <v>1545</v>
      </c>
      <c r="D317" s="13" t="s">
        <v>165</v>
      </c>
      <c r="E317" s="13" t="s">
        <v>13</v>
      </c>
      <c r="F317" s="13" t="s">
        <v>193</v>
      </c>
      <c r="G317" s="13" t="s">
        <v>1489</v>
      </c>
      <c r="H317" s="13" t="s">
        <v>1490</v>
      </c>
      <c r="I317" s="13">
        <v>2025</v>
      </c>
      <c r="J317" s="13" t="s">
        <v>1546</v>
      </c>
      <c r="K317" s="13">
        <v>3</v>
      </c>
      <c r="L317" s="13">
        <v>21</v>
      </c>
      <c r="M317" s="13" t="s">
        <v>1547</v>
      </c>
    </row>
    <row r="318" spans="2:13" ht="15.75" hidden="1" outlineLevel="1" x14ac:dyDescent="0.3">
      <c r="B318" s="13" t="s">
        <v>307</v>
      </c>
      <c r="C318" s="13" t="s">
        <v>1545</v>
      </c>
      <c r="D318" s="13" t="s">
        <v>290</v>
      </c>
      <c r="E318" s="13" t="s">
        <v>13</v>
      </c>
      <c r="F318" s="13" t="s">
        <v>308</v>
      </c>
      <c r="G318" s="13" t="s">
        <v>1489</v>
      </c>
      <c r="H318" s="13" t="s">
        <v>1490</v>
      </c>
      <c r="I318" s="13">
        <v>2024</v>
      </c>
      <c r="J318" s="13" t="s">
        <v>1546</v>
      </c>
      <c r="K318" s="13">
        <v>4</v>
      </c>
      <c r="L318" s="13">
        <v>21</v>
      </c>
      <c r="M318" s="13" t="s">
        <v>1548</v>
      </c>
    </row>
    <row r="319" spans="2:13" ht="15.75" hidden="1" outlineLevel="1" x14ac:dyDescent="0.3">
      <c r="B319" s="13" t="s">
        <v>194</v>
      </c>
      <c r="C319" s="13" t="s">
        <v>1549</v>
      </c>
      <c r="D319" s="13" t="s">
        <v>165</v>
      </c>
      <c r="E319" s="13" t="s">
        <v>13</v>
      </c>
      <c r="F319" s="13" t="s">
        <v>196</v>
      </c>
      <c r="G319" s="13" t="s">
        <v>1489</v>
      </c>
      <c r="H319" s="13" t="s">
        <v>1490</v>
      </c>
      <c r="I319" s="13">
        <v>2025</v>
      </c>
      <c r="J319" s="13" t="s">
        <v>1550</v>
      </c>
      <c r="K319" s="13">
        <v>3</v>
      </c>
      <c r="L319" s="13">
        <v>22</v>
      </c>
      <c r="M319" s="13" t="s">
        <v>1551</v>
      </c>
    </row>
    <row r="320" spans="2:13" ht="15.75" hidden="1" outlineLevel="1" x14ac:dyDescent="0.3">
      <c r="B320" s="13" t="s">
        <v>309</v>
      </c>
      <c r="C320" s="13" t="s">
        <v>1549</v>
      </c>
      <c r="D320" s="13" t="s">
        <v>290</v>
      </c>
      <c r="E320" s="13" t="s">
        <v>13</v>
      </c>
      <c r="F320" s="13" t="s">
        <v>310</v>
      </c>
      <c r="G320" s="13" t="s">
        <v>1489</v>
      </c>
      <c r="H320" s="13" t="s">
        <v>1490</v>
      </c>
      <c r="I320" s="13">
        <v>2024</v>
      </c>
      <c r="J320" s="13" t="s">
        <v>1550</v>
      </c>
      <c r="K320" s="13">
        <v>4</v>
      </c>
      <c r="L320" s="13">
        <v>22</v>
      </c>
      <c r="M320" s="13" t="s">
        <v>1552</v>
      </c>
    </row>
    <row r="321" spans="2:13" ht="15.75" hidden="1" outlineLevel="1" x14ac:dyDescent="0.3">
      <c r="B321" s="13" t="s">
        <v>311</v>
      </c>
      <c r="C321" s="13" t="s">
        <v>1553</v>
      </c>
      <c r="D321" s="13" t="s">
        <v>290</v>
      </c>
      <c r="E321" s="13" t="s">
        <v>13</v>
      </c>
      <c r="F321" s="13" t="s">
        <v>312</v>
      </c>
      <c r="G321" s="13" t="s">
        <v>1489</v>
      </c>
      <c r="H321" s="13" t="s">
        <v>1490</v>
      </c>
      <c r="I321" s="13">
        <v>2024</v>
      </c>
      <c r="J321" s="13" t="s">
        <v>1554</v>
      </c>
      <c r="K321" s="13">
        <v>4</v>
      </c>
      <c r="L321" s="13">
        <v>23</v>
      </c>
      <c r="M321" s="13" t="s">
        <v>1555</v>
      </c>
    </row>
    <row r="322" spans="2:13" ht="15.75" hidden="1" outlineLevel="1" x14ac:dyDescent="0.3">
      <c r="B322" s="13" t="s">
        <v>197</v>
      </c>
      <c r="C322" s="13" t="s">
        <v>1553</v>
      </c>
      <c r="D322" s="13" t="s">
        <v>165</v>
      </c>
      <c r="E322" s="13" t="s">
        <v>13</v>
      </c>
      <c r="F322" s="13" t="s">
        <v>199</v>
      </c>
      <c r="G322" s="13" t="s">
        <v>1489</v>
      </c>
      <c r="H322" s="13" t="s">
        <v>1490</v>
      </c>
      <c r="I322" s="13">
        <v>2025</v>
      </c>
      <c r="J322" s="13" t="s">
        <v>1554</v>
      </c>
      <c r="K322" s="13">
        <v>3</v>
      </c>
      <c r="L322" s="13">
        <v>23</v>
      </c>
      <c r="M322" s="13" t="s">
        <v>1556</v>
      </c>
    </row>
    <row r="323" spans="2:13" ht="15.75" hidden="1" outlineLevel="1" x14ac:dyDescent="0.3">
      <c r="B323" s="13" t="s">
        <v>313</v>
      </c>
      <c r="C323" s="13" t="s">
        <v>1557</v>
      </c>
      <c r="D323" s="13" t="s">
        <v>290</v>
      </c>
      <c r="E323" s="13" t="s">
        <v>13</v>
      </c>
      <c r="F323" s="13" t="s">
        <v>314</v>
      </c>
      <c r="G323" s="13" t="s">
        <v>1489</v>
      </c>
      <c r="H323" s="13" t="s">
        <v>1490</v>
      </c>
      <c r="I323" s="13">
        <v>2024</v>
      </c>
      <c r="J323" s="13" t="s">
        <v>1557</v>
      </c>
      <c r="K323" s="13">
        <v>4</v>
      </c>
      <c r="L323" s="13">
        <v>26</v>
      </c>
      <c r="M323" s="13" t="s">
        <v>1558</v>
      </c>
    </row>
    <row r="324" spans="2:13" ht="15.75" hidden="1" outlineLevel="1" x14ac:dyDescent="0.3">
      <c r="B324" s="13" t="s">
        <v>200</v>
      </c>
      <c r="C324" s="13" t="s">
        <v>1557</v>
      </c>
      <c r="D324" s="13" t="s">
        <v>165</v>
      </c>
      <c r="E324" s="13" t="s">
        <v>13</v>
      </c>
      <c r="F324" s="13" t="s">
        <v>202</v>
      </c>
      <c r="G324" s="13" t="s">
        <v>1489</v>
      </c>
      <c r="H324" s="13" t="s">
        <v>1490</v>
      </c>
      <c r="I324" s="13">
        <v>2025</v>
      </c>
      <c r="J324" s="13" t="s">
        <v>1557</v>
      </c>
      <c r="K324" s="13">
        <v>3</v>
      </c>
      <c r="L324" s="13">
        <v>26</v>
      </c>
      <c r="M324" s="13" t="s">
        <v>1559</v>
      </c>
    </row>
    <row r="325" spans="2:13" ht="15.75" hidden="1" outlineLevel="1" x14ac:dyDescent="0.3">
      <c r="B325" s="13" t="s">
        <v>315</v>
      </c>
      <c r="C325" s="13" t="s">
        <v>1560</v>
      </c>
      <c r="D325" s="13" t="s">
        <v>290</v>
      </c>
      <c r="E325" s="13" t="s">
        <v>13</v>
      </c>
      <c r="F325" s="13" t="s">
        <v>316</v>
      </c>
      <c r="G325" s="13" t="s">
        <v>1489</v>
      </c>
      <c r="H325" s="13" t="s">
        <v>1490</v>
      </c>
      <c r="I325" s="13">
        <v>2024</v>
      </c>
      <c r="J325" s="13" t="s">
        <v>1561</v>
      </c>
      <c r="K325" s="13">
        <v>4</v>
      </c>
      <c r="L325" s="13">
        <v>29</v>
      </c>
      <c r="M325" s="13" t="s">
        <v>1562</v>
      </c>
    </row>
    <row r="326" spans="2:13" ht="15.75" hidden="1" outlineLevel="1" x14ac:dyDescent="0.3">
      <c r="B326" s="13" t="s">
        <v>203</v>
      </c>
      <c r="C326" s="13" t="s">
        <v>1560</v>
      </c>
      <c r="D326" s="13" t="s">
        <v>165</v>
      </c>
      <c r="E326" s="13" t="s">
        <v>13</v>
      </c>
      <c r="F326" s="13" t="s">
        <v>205</v>
      </c>
      <c r="G326" s="13" t="s">
        <v>1489</v>
      </c>
      <c r="H326" s="13" t="s">
        <v>1490</v>
      </c>
      <c r="I326" s="13">
        <v>2025</v>
      </c>
      <c r="J326" s="13" t="s">
        <v>1561</v>
      </c>
      <c r="K326" s="13">
        <v>3</v>
      </c>
      <c r="L326" s="13">
        <v>29</v>
      </c>
      <c r="M326" s="13" t="s">
        <v>1563</v>
      </c>
    </row>
    <row r="327" spans="2:13" ht="15.75" hidden="1" outlineLevel="1" x14ac:dyDescent="0.3">
      <c r="B327" s="13" t="s">
        <v>317</v>
      </c>
      <c r="C327" s="13" t="s">
        <v>1564</v>
      </c>
      <c r="D327" s="13" t="s">
        <v>290</v>
      </c>
      <c r="E327" s="13" t="s">
        <v>13</v>
      </c>
      <c r="F327" s="13" t="s">
        <v>318</v>
      </c>
      <c r="G327" s="13" t="s">
        <v>1489</v>
      </c>
      <c r="H327" s="13" t="s">
        <v>1490</v>
      </c>
      <c r="I327" s="13">
        <v>2024</v>
      </c>
      <c r="J327" s="13" t="s">
        <v>1565</v>
      </c>
      <c r="K327" s="13">
        <v>4</v>
      </c>
      <c r="L327" s="13">
        <v>30</v>
      </c>
      <c r="M327" s="13" t="s">
        <v>1566</v>
      </c>
    </row>
    <row r="328" spans="2:13" ht="15.75" hidden="1" outlineLevel="1" x14ac:dyDescent="0.3">
      <c r="B328" s="13" t="s">
        <v>206</v>
      </c>
      <c r="C328" s="13" t="s">
        <v>1564</v>
      </c>
      <c r="D328" s="13" t="s">
        <v>165</v>
      </c>
      <c r="E328" s="13" t="s">
        <v>13</v>
      </c>
      <c r="F328" s="13" t="s">
        <v>208</v>
      </c>
      <c r="G328" s="13" t="s">
        <v>1489</v>
      </c>
      <c r="H328" s="13" t="s">
        <v>1490</v>
      </c>
      <c r="I328" s="13">
        <v>2025</v>
      </c>
      <c r="J328" s="13" t="s">
        <v>1565</v>
      </c>
      <c r="K328" s="13">
        <v>3</v>
      </c>
      <c r="L328" s="13">
        <v>30</v>
      </c>
      <c r="M328" s="13" t="s">
        <v>1567</v>
      </c>
    </row>
    <row r="329" spans="2:13" ht="15.75" hidden="1" outlineLevel="1" x14ac:dyDescent="0.3">
      <c r="B329" s="13" t="s">
        <v>209</v>
      </c>
      <c r="C329" s="13" t="s">
        <v>1568</v>
      </c>
      <c r="D329" s="13" t="s">
        <v>165</v>
      </c>
      <c r="E329" s="13" t="s">
        <v>13</v>
      </c>
      <c r="F329" s="13" t="s">
        <v>211</v>
      </c>
      <c r="G329" s="13" t="s">
        <v>1489</v>
      </c>
      <c r="H329" s="13" t="s">
        <v>1490</v>
      </c>
      <c r="I329" s="13">
        <v>2025</v>
      </c>
      <c r="J329" s="13" t="s">
        <v>1568</v>
      </c>
      <c r="K329" s="13">
        <v>3</v>
      </c>
      <c r="L329" s="13">
        <v>31</v>
      </c>
      <c r="M329" s="13" t="s">
        <v>1569</v>
      </c>
    </row>
    <row r="330" spans="2:13" ht="15.75" hidden="1" outlineLevel="1" x14ac:dyDescent="0.3">
      <c r="B330" s="13" t="s">
        <v>319</v>
      </c>
      <c r="C330" s="13" t="s">
        <v>1568</v>
      </c>
      <c r="D330" s="13" t="s">
        <v>290</v>
      </c>
      <c r="E330" s="13" t="s">
        <v>13</v>
      </c>
      <c r="F330" s="13" t="s">
        <v>320</v>
      </c>
      <c r="G330" s="13" t="s">
        <v>1489</v>
      </c>
      <c r="H330" s="13" t="s">
        <v>1490</v>
      </c>
      <c r="I330" s="13">
        <v>2024</v>
      </c>
      <c r="J330" s="13" t="s">
        <v>1568</v>
      </c>
      <c r="K330" s="13">
        <v>4</v>
      </c>
      <c r="L330" s="13">
        <v>31</v>
      </c>
      <c r="M330" s="13" t="s">
        <v>1570</v>
      </c>
    </row>
    <row r="331" spans="2:13" ht="15.75" hidden="1" outlineLevel="1" x14ac:dyDescent="0.3">
      <c r="B331" s="13" t="s">
        <v>212</v>
      </c>
      <c r="C331" s="13" t="s">
        <v>1571</v>
      </c>
      <c r="D331" s="13" t="s">
        <v>165</v>
      </c>
      <c r="E331" s="13" t="s">
        <v>13</v>
      </c>
      <c r="F331" s="13" t="s">
        <v>214</v>
      </c>
      <c r="G331" s="13" t="s">
        <v>1489</v>
      </c>
      <c r="H331" s="13" t="s">
        <v>1490</v>
      </c>
      <c r="I331" s="13">
        <v>2025</v>
      </c>
      <c r="J331" s="13" t="s">
        <v>1572</v>
      </c>
      <c r="K331" s="13">
        <v>3</v>
      </c>
      <c r="L331" s="13">
        <v>34</v>
      </c>
      <c r="M331" s="13" t="s">
        <v>1573</v>
      </c>
    </row>
    <row r="332" spans="2:13" ht="15.75" hidden="1" outlineLevel="1" x14ac:dyDescent="0.3">
      <c r="B332" s="13" t="s">
        <v>321</v>
      </c>
      <c r="C332" s="13" t="s">
        <v>1571</v>
      </c>
      <c r="D332" s="13" t="s">
        <v>290</v>
      </c>
      <c r="E332" s="13" t="s">
        <v>13</v>
      </c>
      <c r="F332" s="13" t="s">
        <v>322</v>
      </c>
      <c r="G332" s="13" t="s">
        <v>1489</v>
      </c>
      <c r="H332" s="13" t="s">
        <v>1490</v>
      </c>
      <c r="I332" s="13">
        <v>2024</v>
      </c>
      <c r="J332" s="13" t="s">
        <v>1572</v>
      </c>
      <c r="K332" s="13">
        <v>4</v>
      </c>
      <c r="L332" s="13">
        <v>34</v>
      </c>
      <c r="M332" s="13" t="s">
        <v>1574</v>
      </c>
    </row>
    <row r="333" spans="2:13" ht="15.75" hidden="1" outlineLevel="1" x14ac:dyDescent="0.3">
      <c r="B333" s="13" t="s">
        <v>215</v>
      </c>
      <c r="C333" s="13" t="s">
        <v>1575</v>
      </c>
      <c r="D333" s="13" t="s">
        <v>165</v>
      </c>
      <c r="E333" s="13" t="s">
        <v>13</v>
      </c>
      <c r="F333" s="13" t="s">
        <v>217</v>
      </c>
      <c r="G333" s="13" t="s">
        <v>1489</v>
      </c>
      <c r="H333" s="13" t="s">
        <v>1490</v>
      </c>
      <c r="I333" s="13">
        <v>2025</v>
      </c>
      <c r="J333" s="13" t="s">
        <v>1576</v>
      </c>
      <c r="K333" s="13">
        <v>3</v>
      </c>
      <c r="L333" s="13">
        <v>35</v>
      </c>
      <c r="M333" s="13" t="s">
        <v>1577</v>
      </c>
    </row>
    <row r="334" spans="2:13" ht="15.75" hidden="1" outlineLevel="1" x14ac:dyDescent="0.3">
      <c r="B334" s="13" t="s">
        <v>323</v>
      </c>
      <c r="C334" s="13" t="s">
        <v>1575</v>
      </c>
      <c r="D334" s="13" t="s">
        <v>290</v>
      </c>
      <c r="E334" s="13" t="s">
        <v>13</v>
      </c>
      <c r="F334" s="13" t="s">
        <v>324</v>
      </c>
      <c r="G334" s="13" t="s">
        <v>1489</v>
      </c>
      <c r="H334" s="13" t="s">
        <v>1490</v>
      </c>
      <c r="I334" s="13">
        <v>2024</v>
      </c>
      <c r="J334" s="13" t="s">
        <v>1576</v>
      </c>
      <c r="K334" s="13">
        <v>4</v>
      </c>
      <c r="L334" s="13">
        <v>35</v>
      </c>
      <c r="M334" s="13" t="s">
        <v>1578</v>
      </c>
    </row>
    <row r="335" spans="2:13" ht="15.75" hidden="1" outlineLevel="1" x14ac:dyDescent="0.3">
      <c r="B335" s="13" t="s">
        <v>325</v>
      </c>
      <c r="C335" s="13" t="s">
        <v>1579</v>
      </c>
      <c r="D335" s="13" t="s">
        <v>290</v>
      </c>
      <c r="E335" s="13" t="s">
        <v>13</v>
      </c>
      <c r="F335" s="13" t="s">
        <v>326</v>
      </c>
      <c r="G335" s="13" t="s">
        <v>1489</v>
      </c>
      <c r="H335" s="13" t="s">
        <v>1490</v>
      </c>
      <c r="I335" s="13">
        <v>2024</v>
      </c>
      <c r="J335" s="13" t="s">
        <v>1580</v>
      </c>
      <c r="K335" s="13">
        <v>4</v>
      </c>
      <c r="L335" s="13">
        <v>36</v>
      </c>
      <c r="M335" s="13" t="s">
        <v>1581</v>
      </c>
    </row>
    <row r="336" spans="2:13" ht="15.75" hidden="1" outlineLevel="1" x14ac:dyDescent="0.3">
      <c r="B336" s="13" t="s">
        <v>218</v>
      </c>
      <c r="C336" s="13" t="s">
        <v>1579</v>
      </c>
      <c r="D336" s="13" t="s">
        <v>165</v>
      </c>
      <c r="E336" s="13" t="s">
        <v>13</v>
      </c>
      <c r="F336" s="13" t="s">
        <v>220</v>
      </c>
      <c r="G336" s="13" t="s">
        <v>1489</v>
      </c>
      <c r="H336" s="13" t="s">
        <v>1490</v>
      </c>
      <c r="I336" s="13">
        <v>2025</v>
      </c>
      <c r="J336" s="13" t="s">
        <v>1580</v>
      </c>
      <c r="K336" s="13">
        <v>3</v>
      </c>
      <c r="L336" s="13">
        <v>36</v>
      </c>
      <c r="M336" s="13" t="s">
        <v>1582</v>
      </c>
    </row>
    <row r="337" spans="2:13" ht="15.75" hidden="1" outlineLevel="1" x14ac:dyDescent="0.3">
      <c r="B337" s="13" t="s">
        <v>327</v>
      </c>
      <c r="C337" s="13" t="s">
        <v>1583</v>
      </c>
      <c r="D337" s="13" t="s">
        <v>290</v>
      </c>
      <c r="E337" s="13" t="s">
        <v>13</v>
      </c>
      <c r="F337" s="13" t="s">
        <v>328</v>
      </c>
      <c r="G337" s="13" t="s">
        <v>1489</v>
      </c>
      <c r="H337" s="13" t="s">
        <v>1490</v>
      </c>
      <c r="I337" s="13">
        <v>2024</v>
      </c>
      <c r="J337" s="13" t="s">
        <v>1584</v>
      </c>
      <c r="K337" s="13">
        <v>4</v>
      </c>
      <c r="L337" s="13">
        <v>37</v>
      </c>
      <c r="M337" s="13" t="s">
        <v>1585</v>
      </c>
    </row>
    <row r="338" spans="2:13" ht="15.75" hidden="1" outlineLevel="1" x14ac:dyDescent="0.3">
      <c r="B338" s="13" t="s">
        <v>221</v>
      </c>
      <c r="C338" s="13" t="s">
        <v>1583</v>
      </c>
      <c r="D338" s="13" t="s">
        <v>165</v>
      </c>
      <c r="E338" s="13" t="s">
        <v>13</v>
      </c>
      <c r="F338" s="13" t="s">
        <v>223</v>
      </c>
      <c r="G338" s="13" t="s">
        <v>1489</v>
      </c>
      <c r="H338" s="13" t="s">
        <v>1490</v>
      </c>
      <c r="I338" s="13">
        <v>2025</v>
      </c>
      <c r="J338" s="13" t="s">
        <v>1584</v>
      </c>
      <c r="K338" s="13">
        <v>3</v>
      </c>
      <c r="L338" s="13">
        <v>37</v>
      </c>
      <c r="M338" s="13" t="s">
        <v>1586</v>
      </c>
    </row>
    <row r="339" spans="2:13" ht="15.75" hidden="1" outlineLevel="1" x14ac:dyDescent="0.3">
      <c r="B339" s="13" t="s">
        <v>224</v>
      </c>
      <c r="C339" s="13" t="s">
        <v>1587</v>
      </c>
      <c r="D339" s="13" t="s">
        <v>165</v>
      </c>
      <c r="E339" s="13" t="s">
        <v>13</v>
      </c>
      <c r="F339" s="13" t="s">
        <v>226</v>
      </c>
      <c r="G339" s="13" t="s">
        <v>1489</v>
      </c>
      <c r="H339" s="13" t="s">
        <v>1490</v>
      </c>
      <c r="I339" s="13">
        <v>2025</v>
      </c>
      <c r="J339" s="13" t="s">
        <v>1588</v>
      </c>
      <c r="K339" s="13">
        <v>3</v>
      </c>
      <c r="L339" s="13">
        <v>38</v>
      </c>
      <c r="M339" s="13" t="s">
        <v>1589</v>
      </c>
    </row>
    <row r="340" spans="2:13" ht="15.75" hidden="1" outlineLevel="1" x14ac:dyDescent="0.3">
      <c r="B340" s="13" t="s">
        <v>329</v>
      </c>
      <c r="C340" s="13" t="s">
        <v>1587</v>
      </c>
      <c r="D340" s="13" t="s">
        <v>290</v>
      </c>
      <c r="E340" s="13" t="s">
        <v>13</v>
      </c>
      <c r="F340" s="13" t="s">
        <v>330</v>
      </c>
      <c r="G340" s="13" t="s">
        <v>1489</v>
      </c>
      <c r="H340" s="13" t="s">
        <v>1490</v>
      </c>
      <c r="I340" s="13">
        <v>2024</v>
      </c>
      <c r="J340" s="13" t="s">
        <v>1588</v>
      </c>
      <c r="K340" s="13">
        <v>4</v>
      </c>
      <c r="L340" s="13">
        <v>38</v>
      </c>
      <c r="M340" s="13" t="s">
        <v>1590</v>
      </c>
    </row>
    <row r="341" spans="2:13" ht="15.75" hidden="1" outlineLevel="1" x14ac:dyDescent="0.3">
      <c r="B341" s="13" t="s">
        <v>331</v>
      </c>
      <c r="C341" s="13" t="s">
        <v>1591</v>
      </c>
      <c r="D341" s="13" t="s">
        <v>290</v>
      </c>
      <c r="E341" s="13" t="s">
        <v>13</v>
      </c>
      <c r="F341" s="13" t="s">
        <v>332</v>
      </c>
      <c r="G341" s="13" t="s">
        <v>1489</v>
      </c>
      <c r="H341" s="13" t="s">
        <v>1490</v>
      </c>
      <c r="I341" s="13">
        <v>2024</v>
      </c>
      <c r="J341" s="13" t="s">
        <v>1592</v>
      </c>
      <c r="K341" s="13">
        <v>4</v>
      </c>
      <c r="L341" s="13">
        <v>39</v>
      </c>
      <c r="M341" s="13" t="s">
        <v>1593</v>
      </c>
    </row>
    <row r="342" spans="2:13" ht="15.75" hidden="1" outlineLevel="1" x14ac:dyDescent="0.3">
      <c r="B342" s="13" t="s">
        <v>227</v>
      </c>
      <c r="C342" s="13" t="s">
        <v>1591</v>
      </c>
      <c r="D342" s="13" t="s">
        <v>165</v>
      </c>
      <c r="E342" s="13" t="s">
        <v>13</v>
      </c>
      <c r="F342" s="13" t="s">
        <v>229</v>
      </c>
      <c r="G342" s="13" t="s">
        <v>1489</v>
      </c>
      <c r="H342" s="13" t="s">
        <v>1490</v>
      </c>
      <c r="I342" s="13">
        <v>2025</v>
      </c>
      <c r="J342" s="13" t="s">
        <v>1592</v>
      </c>
      <c r="K342" s="13">
        <v>3</v>
      </c>
      <c r="L342" s="13">
        <v>39</v>
      </c>
      <c r="M342" s="13" t="s">
        <v>1594</v>
      </c>
    </row>
    <row r="343" spans="2:13" ht="15.75" hidden="1" outlineLevel="1" x14ac:dyDescent="0.3">
      <c r="B343" s="13" t="s">
        <v>333</v>
      </c>
      <c r="C343" s="13" t="s">
        <v>1595</v>
      </c>
      <c r="D343" s="13" t="s">
        <v>290</v>
      </c>
      <c r="E343" s="13" t="s">
        <v>13</v>
      </c>
      <c r="F343" s="13" t="s">
        <v>334</v>
      </c>
      <c r="G343" s="13" t="s">
        <v>1489</v>
      </c>
      <c r="H343" s="13" t="s">
        <v>1490</v>
      </c>
      <c r="I343" s="13">
        <v>2024</v>
      </c>
      <c r="J343" s="13" t="s">
        <v>1596</v>
      </c>
      <c r="K343" s="13">
        <v>4</v>
      </c>
      <c r="L343" s="13">
        <v>40</v>
      </c>
      <c r="M343" s="13" t="s">
        <v>1597</v>
      </c>
    </row>
    <row r="344" spans="2:13" ht="15.75" hidden="1" outlineLevel="1" x14ac:dyDescent="0.3">
      <c r="B344" s="13" t="s">
        <v>230</v>
      </c>
      <c r="C344" s="13" t="s">
        <v>1595</v>
      </c>
      <c r="D344" s="13" t="s">
        <v>165</v>
      </c>
      <c r="E344" s="13" t="s">
        <v>13</v>
      </c>
      <c r="F344" s="13" t="s">
        <v>232</v>
      </c>
      <c r="G344" s="13" t="s">
        <v>1489</v>
      </c>
      <c r="H344" s="13" t="s">
        <v>1490</v>
      </c>
      <c r="I344" s="13">
        <v>2025</v>
      </c>
      <c r="J344" s="13" t="s">
        <v>1596</v>
      </c>
      <c r="K344" s="13">
        <v>3</v>
      </c>
      <c r="L344" s="13">
        <v>40</v>
      </c>
      <c r="M344" s="13" t="s">
        <v>1598</v>
      </c>
    </row>
    <row r="345" spans="2:13" ht="15.75" hidden="1" outlineLevel="1" x14ac:dyDescent="0.3">
      <c r="B345" s="13" t="s">
        <v>233</v>
      </c>
      <c r="C345" s="13" t="s">
        <v>1599</v>
      </c>
      <c r="D345" s="13" t="s">
        <v>165</v>
      </c>
      <c r="E345" s="13" t="s">
        <v>13</v>
      </c>
      <c r="F345" s="13" t="s">
        <v>235</v>
      </c>
      <c r="G345" s="13" t="s">
        <v>1489</v>
      </c>
      <c r="H345" s="13" t="s">
        <v>1490</v>
      </c>
      <c r="I345" s="13">
        <v>2025</v>
      </c>
      <c r="J345" s="13" t="s">
        <v>1600</v>
      </c>
      <c r="K345" s="13">
        <v>3</v>
      </c>
      <c r="L345" s="13">
        <v>41</v>
      </c>
      <c r="M345" s="13" t="s">
        <v>1601</v>
      </c>
    </row>
    <row r="346" spans="2:13" ht="15.75" hidden="1" outlineLevel="1" x14ac:dyDescent="0.3">
      <c r="B346" s="13" t="s">
        <v>335</v>
      </c>
      <c r="C346" s="13" t="s">
        <v>1599</v>
      </c>
      <c r="D346" s="13" t="s">
        <v>290</v>
      </c>
      <c r="E346" s="13" t="s">
        <v>13</v>
      </c>
      <c r="F346" s="13" t="s">
        <v>336</v>
      </c>
      <c r="G346" s="13" t="s">
        <v>1489</v>
      </c>
      <c r="H346" s="13" t="s">
        <v>1490</v>
      </c>
      <c r="I346" s="13">
        <v>2024</v>
      </c>
      <c r="J346" s="13" t="s">
        <v>1600</v>
      </c>
      <c r="K346" s="13">
        <v>4</v>
      </c>
      <c r="L346" s="13">
        <v>41</v>
      </c>
      <c r="M346" s="13" t="s">
        <v>1602</v>
      </c>
    </row>
    <row r="347" spans="2:13" ht="15.75" hidden="1" outlineLevel="1" x14ac:dyDescent="0.3">
      <c r="B347" s="13" t="s">
        <v>337</v>
      </c>
      <c r="C347" s="13" t="s">
        <v>1603</v>
      </c>
      <c r="D347" s="13" t="s">
        <v>290</v>
      </c>
      <c r="E347" s="13" t="s">
        <v>13</v>
      </c>
      <c r="F347" s="13" t="s">
        <v>338</v>
      </c>
      <c r="G347" s="13" t="s">
        <v>1489</v>
      </c>
      <c r="H347" s="13" t="s">
        <v>1490</v>
      </c>
      <c r="I347" s="13">
        <v>2024</v>
      </c>
      <c r="J347" s="13" t="s">
        <v>1604</v>
      </c>
      <c r="K347" s="13">
        <v>4</v>
      </c>
      <c r="L347" s="13">
        <v>42</v>
      </c>
      <c r="M347" s="13" t="s">
        <v>1605</v>
      </c>
    </row>
    <row r="348" spans="2:13" ht="15.75" hidden="1" outlineLevel="1" x14ac:dyDescent="0.3">
      <c r="B348" s="13" t="s">
        <v>236</v>
      </c>
      <c r="C348" s="13" t="s">
        <v>1603</v>
      </c>
      <c r="D348" s="13" t="s">
        <v>165</v>
      </c>
      <c r="E348" s="13" t="s">
        <v>13</v>
      </c>
      <c r="F348" s="13" t="s">
        <v>238</v>
      </c>
      <c r="G348" s="13" t="s">
        <v>1489</v>
      </c>
      <c r="H348" s="13" t="s">
        <v>1490</v>
      </c>
      <c r="I348" s="13">
        <v>2025</v>
      </c>
      <c r="J348" s="13" t="s">
        <v>1604</v>
      </c>
      <c r="K348" s="13">
        <v>3</v>
      </c>
      <c r="L348" s="13">
        <v>42</v>
      </c>
      <c r="M348" s="13" t="s">
        <v>1606</v>
      </c>
    </row>
    <row r="349" spans="2:13" ht="15.75" hidden="1" outlineLevel="1" x14ac:dyDescent="0.3">
      <c r="B349" s="13" t="s">
        <v>239</v>
      </c>
      <c r="C349" s="13" t="s">
        <v>1607</v>
      </c>
      <c r="D349" s="13" t="s">
        <v>165</v>
      </c>
      <c r="E349" s="13" t="s">
        <v>13</v>
      </c>
      <c r="F349" s="13" t="s">
        <v>241</v>
      </c>
      <c r="G349" s="13" t="s">
        <v>1489</v>
      </c>
      <c r="H349" s="13" t="s">
        <v>1490</v>
      </c>
      <c r="I349" s="13">
        <v>2025</v>
      </c>
      <c r="J349" s="13" t="s">
        <v>1608</v>
      </c>
      <c r="K349" s="13">
        <v>3</v>
      </c>
      <c r="L349" s="13">
        <v>43</v>
      </c>
      <c r="M349" s="13" t="s">
        <v>1609</v>
      </c>
    </row>
    <row r="350" spans="2:13" ht="15.75" hidden="1" outlineLevel="1" x14ac:dyDescent="0.3">
      <c r="B350" s="13" t="s">
        <v>339</v>
      </c>
      <c r="C350" s="13" t="s">
        <v>1607</v>
      </c>
      <c r="D350" s="13" t="s">
        <v>290</v>
      </c>
      <c r="E350" s="13" t="s">
        <v>13</v>
      </c>
      <c r="F350" s="13" t="s">
        <v>340</v>
      </c>
      <c r="G350" s="13" t="s">
        <v>1489</v>
      </c>
      <c r="H350" s="13" t="s">
        <v>1490</v>
      </c>
      <c r="I350" s="13">
        <v>2024</v>
      </c>
      <c r="J350" s="13" t="s">
        <v>1608</v>
      </c>
      <c r="K350" s="13">
        <v>4</v>
      </c>
      <c r="L350" s="13">
        <v>43</v>
      </c>
      <c r="M350" s="13" t="s">
        <v>1610</v>
      </c>
    </row>
    <row r="351" spans="2:13" ht="15.75" hidden="1" outlineLevel="1" x14ac:dyDescent="0.3">
      <c r="B351" s="13" t="s">
        <v>242</v>
      </c>
      <c r="C351" s="13" t="s">
        <v>1611</v>
      </c>
      <c r="D351" s="13" t="s">
        <v>165</v>
      </c>
      <c r="E351" s="13" t="s">
        <v>13</v>
      </c>
      <c r="F351" s="13" t="s">
        <v>244</v>
      </c>
      <c r="G351" s="13" t="s">
        <v>1489</v>
      </c>
      <c r="H351" s="13" t="s">
        <v>1490</v>
      </c>
      <c r="I351" s="13">
        <v>2025</v>
      </c>
      <c r="J351" s="13" t="s">
        <v>1612</v>
      </c>
      <c r="K351" s="13">
        <v>3</v>
      </c>
      <c r="L351" s="13">
        <v>46</v>
      </c>
      <c r="M351" s="13" t="s">
        <v>1613</v>
      </c>
    </row>
    <row r="352" spans="2:13" ht="15.75" hidden="1" outlineLevel="1" x14ac:dyDescent="0.3">
      <c r="B352" s="13" t="s">
        <v>341</v>
      </c>
      <c r="C352" s="13" t="s">
        <v>1611</v>
      </c>
      <c r="D352" s="13" t="s">
        <v>290</v>
      </c>
      <c r="E352" s="13" t="s">
        <v>13</v>
      </c>
      <c r="F352" s="13" t="s">
        <v>342</v>
      </c>
      <c r="G352" s="13" t="s">
        <v>1489</v>
      </c>
      <c r="H352" s="13" t="s">
        <v>1490</v>
      </c>
      <c r="I352" s="13">
        <v>2024</v>
      </c>
      <c r="J352" s="13" t="s">
        <v>1612</v>
      </c>
      <c r="K352" s="13">
        <v>4</v>
      </c>
      <c r="L352" s="13">
        <v>46</v>
      </c>
      <c r="M352" s="13" t="s">
        <v>1614</v>
      </c>
    </row>
    <row r="353" spans="2:13" ht="15.75" hidden="1" outlineLevel="1" x14ac:dyDescent="0.3">
      <c r="B353" s="13" t="s">
        <v>245</v>
      </c>
      <c r="C353" s="13" t="s">
        <v>1615</v>
      </c>
      <c r="D353" s="13" t="s">
        <v>165</v>
      </c>
      <c r="E353" s="13" t="s">
        <v>13</v>
      </c>
      <c r="F353" s="13" t="s">
        <v>247</v>
      </c>
      <c r="G353" s="13" t="s">
        <v>1489</v>
      </c>
      <c r="H353" s="13" t="s">
        <v>1490</v>
      </c>
      <c r="I353" s="13">
        <v>2025</v>
      </c>
      <c r="J353" s="13" t="s">
        <v>1616</v>
      </c>
      <c r="K353" s="13">
        <v>3</v>
      </c>
      <c r="L353" s="13">
        <v>47</v>
      </c>
      <c r="M353" s="13" t="s">
        <v>1617</v>
      </c>
    </row>
    <row r="354" spans="2:13" ht="15.75" hidden="1" outlineLevel="1" x14ac:dyDescent="0.3">
      <c r="B354" s="13" t="s">
        <v>343</v>
      </c>
      <c r="C354" s="13" t="s">
        <v>1615</v>
      </c>
      <c r="D354" s="13" t="s">
        <v>290</v>
      </c>
      <c r="E354" s="13" t="s">
        <v>13</v>
      </c>
      <c r="F354" s="13" t="s">
        <v>344</v>
      </c>
      <c r="G354" s="13" t="s">
        <v>1489</v>
      </c>
      <c r="H354" s="13" t="s">
        <v>1490</v>
      </c>
      <c r="I354" s="13">
        <v>2024</v>
      </c>
      <c r="J354" s="13" t="s">
        <v>1616</v>
      </c>
      <c r="K354" s="13">
        <v>4</v>
      </c>
      <c r="L354" s="13">
        <v>47</v>
      </c>
      <c r="M354" s="13" t="s">
        <v>1618</v>
      </c>
    </row>
    <row r="355" spans="2:13" ht="15.75" hidden="1" outlineLevel="1" x14ac:dyDescent="0.3">
      <c r="B355" s="13" t="s">
        <v>345</v>
      </c>
      <c r="C355" s="13" t="s">
        <v>1619</v>
      </c>
      <c r="D355" s="13" t="s">
        <v>290</v>
      </c>
      <c r="E355" s="13" t="s">
        <v>13</v>
      </c>
      <c r="F355" s="13" t="s">
        <v>346</v>
      </c>
      <c r="G355" s="13" t="s">
        <v>1489</v>
      </c>
      <c r="H355" s="13" t="s">
        <v>1490</v>
      </c>
      <c r="I355" s="13">
        <v>2024</v>
      </c>
      <c r="J355" s="13" t="s">
        <v>1620</v>
      </c>
      <c r="K355" s="13">
        <v>4</v>
      </c>
      <c r="L355" s="13">
        <v>48</v>
      </c>
      <c r="M355" s="13" t="s">
        <v>1621</v>
      </c>
    </row>
    <row r="356" spans="2:13" ht="15.75" hidden="1" outlineLevel="1" x14ac:dyDescent="0.3">
      <c r="B356" s="13" t="s">
        <v>248</v>
      </c>
      <c r="C356" s="13" t="s">
        <v>1619</v>
      </c>
      <c r="D356" s="13" t="s">
        <v>165</v>
      </c>
      <c r="E356" s="13" t="s">
        <v>13</v>
      </c>
      <c r="F356" s="13" t="s">
        <v>250</v>
      </c>
      <c r="G356" s="13" t="s">
        <v>1489</v>
      </c>
      <c r="H356" s="13" t="s">
        <v>1490</v>
      </c>
      <c r="I356" s="13">
        <v>2025</v>
      </c>
      <c r="J356" s="13" t="s">
        <v>1620</v>
      </c>
      <c r="K356" s="13">
        <v>3</v>
      </c>
      <c r="L356" s="13">
        <v>48</v>
      </c>
      <c r="M356" s="13" t="s">
        <v>1622</v>
      </c>
    </row>
    <row r="357" spans="2:13" ht="15.75" hidden="1" outlineLevel="1" x14ac:dyDescent="0.3">
      <c r="B357" s="13" t="s">
        <v>347</v>
      </c>
      <c r="C357" s="13" t="s">
        <v>1623</v>
      </c>
      <c r="D357" s="13" t="s">
        <v>290</v>
      </c>
      <c r="E357" s="13" t="s">
        <v>13</v>
      </c>
      <c r="F357" s="13" t="s">
        <v>348</v>
      </c>
      <c r="G357" s="13" t="s">
        <v>1489</v>
      </c>
      <c r="H357" s="13" t="s">
        <v>1490</v>
      </c>
      <c r="I357" s="13">
        <v>2024</v>
      </c>
      <c r="J357" s="13" t="s">
        <v>1624</v>
      </c>
      <c r="K357" s="13">
        <v>4</v>
      </c>
      <c r="L357" s="13">
        <v>49</v>
      </c>
      <c r="M357" s="13" t="s">
        <v>1625</v>
      </c>
    </row>
    <row r="358" spans="2:13" ht="15.75" hidden="1" outlineLevel="1" x14ac:dyDescent="0.3">
      <c r="B358" s="13" t="s">
        <v>251</v>
      </c>
      <c r="C358" s="13" t="s">
        <v>1623</v>
      </c>
      <c r="D358" s="13" t="s">
        <v>165</v>
      </c>
      <c r="E358" s="13" t="s">
        <v>13</v>
      </c>
      <c r="F358" s="13" t="s">
        <v>253</v>
      </c>
      <c r="G358" s="13" t="s">
        <v>1489</v>
      </c>
      <c r="H358" s="13" t="s">
        <v>1490</v>
      </c>
      <c r="I358" s="13">
        <v>2025</v>
      </c>
      <c r="J358" s="13" t="s">
        <v>1624</v>
      </c>
      <c r="K358" s="13">
        <v>3</v>
      </c>
      <c r="L358" s="13">
        <v>49</v>
      </c>
      <c r="M358" s="13" t="s">
        <v>1626</v>
      </c>
    </row>
    <row r="359" spans="2:13" ht="15.75" hidden="1" outlineLevel="1" x14ac:dyDescent="0.3">
      <c r="B359" s="13" t="s">
        <v>257</v>
      </c>
      <c r="C359" s="13" t="s">
        <v>1627</v>
      </c>
      <c r="D359" s="13" t="s">
        <v>165</v>
      </c>
      <c r="E359" s="13" t="s">
        <v>13</v>
      </c>
      <c r="F359" s="13" t="s">
        <v>259</v>
      </c>
      <c r="G359" s="13" t="s">
        <v>1489</v>
      </c>
      <c r="H359" s="13" t="s">
        <v>1490</v>
      </c>
      <c r="I359" s="13">
        <v>2025</v>
      </c>
      <c r="J359" s="13" t="s">
        <v>1628</v>
      </c>
      <c r="K359" s="13">
        <v>3</v>
      </c>
      <c r="L359" s="13">
        <v>50</v>
      </c>
      <c r="M359" s="13" t="s">
        <v>1629</v>
      </c>
    </row>
    <row r="360" spans="2:13" ht="15.75" hidden="1" outlineLevel="1" x14ac:dyDescent="0.3">
      <c r="B360" s="13" t="s">
        <v>351</v>
      </c>
      <c r="C360" s="13" t="s">
        <v>1627</v>
      </c>
      <c r="D360" s="13" t="s">
        <v>290</v>
      </c>
      <c r="E360" s="13" t="s">
        <v>13</v>
      </c>
      <c r="F360" s="13" t="s">
        <v>352</v>
      </c>
      <c r="G360" s="13" t="s">
        <v>1489</v>
      </c>
      <c r="H360" s="13" t="s">
        <v>1490</v>
      </c>
      <c r="I360" s="13">
        <v>2024</v>
      </c>
      <c r="J360" s="13" t="s">
        <v>1628</v>
      </c>
      <c r="K360" s="13">
        <v>4</v>
      </c>
      <c r="L360" s="13">
        <v>50</v>
      </c>
      <c r="M360" s="13" t="s">
        <v>1630</v>
      </c>
    </row>
    <row r="361" spans="2:13" ht="15.75" hidden="1" outlineLevel="1" x14ac:dyDescent="0.3">
      <c r="B361" s="13" t="s">
        <v>353</v>
      </c>
      <c r="C361" s="13" t="s">
        <v>1631</v>
      </c>
      <c r="D361" s="13" t="s">
        <v>290</v>
      </c>
      <c r="E361" s="13" t="s">
        <v>13</v>
      </c>
      <c r="F361" s="13" t="s">
        <v>354</v>
      </c>
      <c r="G361" s="13" t="s">
        <v>1489</v>
      </c>
      <c r="H361" s="13" t="s">
        <v>1490</v>
      </c>
      <c r="I361" s="13">
        <v>2024</v>
      </c>
      <c r="J361" s="13" t="s">
        <v>1632</v>
      </c>
      <c r="K361" s="13">
        <v>4</v>
      </c>
      <c r="L361" s="13">
        <v>51</v>
      </c>
      <c r="M361" s="13" t="s">
        <v>1633</v>
      </c>
    </row>
    <row r="362" spans="2:13" ht="15.75" hidden="1" outlineLevel="1" x14ac:dyDescent="0.3">
      <c r="B362" s="13" t="s">
        <v>260</v>
      </c>
      <c r="C362" s="13" t="s">
        <v>1631</v>
      </c>
      <c r="D362" s="13" t="s">
        <v>165</v>
      </c>
      <c r="E362" s="13" t="s">
        <v>13</v>
      </c>
      <c r="F362" s="13" t="s">
        <v>262</v>
      </c>
      <c r="G362" s="13" t="s">
        <v>1489</v>
      </c>
      <c r="H362" s="13" t="s">
        <v>1490</v>
      </c>
      <c r="I362" s="13">
        <v>2025</v>
      </c>
      <c r="J362" s="13" t="s">
        <v>1632</v>
      </c>
      <c r="K362" s="13">
        <v>3</v>
      </c>
      <c r="L362" s="13">
        <v>51</v>
      </c>
      <c r="M362" s="13" t="s">
        <v>1634</v>
      </c>
    </row>
    <row r="363" spans="2:13" ht="15.75" hidden="1" outlineLevel="1" x14ac:dyDescent="0.3">
      <c r="B363" s="13" t="s">
        <v>355</v>
      </c>
      <c r="C363" s="13" t="s">
        <v>1635</v>
      </c>
      <c r="D363" s="13" t="s">
        <v>290</v>
      </c>
      <c r="E363" s="13" t="s">
        <v>13</v>
      </c>
      <c r="F363" s="13" t="s">
        <v>356</v>
      </c>
      <c r="G363" s="13" t="s">
        <v>1489</v>
      </c>
      <c r="H363" s="13" t="s">
        <v>1490</v>
      </c>
      <c r="I363" s="13">
        <v>2024</v>
      </c>
      <c r="J363" s="13" t="s">
        <v>1636</v>
      </c>
      <c r="K363" s="13">
        <v>4</v>
      </c>
      <c r="L363" s="13">
        <v>52</v>
      </c>
      <c r="M363" s="13" t="s">
        <v>1637</v>
      </c>
    </row>
    <row r="364" spans="2:13" ht="15.75" hidden="1" outlineLevel="1" x14ac:dyDescent="0.3">
      <c r="B364" s="13" t="s">
        <v>263</v>
      </c>
      <c r="C364" s="13" t="s">
        <v>1635</v>
      </c>
      <c r="D364" s="13" t="s">
        <v>165</v>
      </c>
      <c r="E364" s="13" t="s">
        <v>13</v>
      </c>
      <c r="F364" s="13" t="s">
        <v>265</v>
      </c>
      <c r="G364" s="13" t="s">
        <v>1489</v>
      </c>
      <c r="H364" s="13" t="s">
        <v>1490</v>
      </c>
      <c r="I364" s="13">
        <v>2025</v>
      </c>
      <c r="J364" s="13" t="s">
        <v>1636</v>
      </c>
      <c r="K364" s="13">
        <v>3</v>
      </c>
      <c r="L364" s="13">
        <v>52</v>
      </c>
      <c r="M364" s="13" t="s">
        <v>1638</v>
      </c>
    </row>
    <row r="365" spans="2:13" ht="15.75" hidden="1" outlineLevel="1" x14ac:dyDescent="0.3">
      <c r="B365" s="13" t="s">
        <v>357</v>
      </c>
      <c r="C365" s="13" t="s">
        <v>1639</v>
      </c>
      <c r="D365" s="13" t="s">
        <v>290</v>
      </c>
      <c r="E365" s="13" t="s">
        <v>13</v>
      </c>
      <c r="F365" s="13" t="s">
        <v>358</v>
      </c>
      <c r="G365" s="13" t="s">
        <v>1489</v>
      </c>
      <c r="H365" s="13" t="s">
        <v>1490</v>
      </c>
      <c r="I365" s="13">
        <v>2024</v>
      </c>
      <c r="J365" s="13" t="s">
        <v>1640</v>
      </c>
      <c r="K365" s="13">
        <v>4</v>
      </c>
      <c r="L365" s="13">
        <v>53</v>
      </c>
      <c r="M365" s="13" t="s">
        <v>1641</v>
      </c>
    </row>
    <row r="366" spans="2:13" ht="15.75" hidden="1" outlineLevel="1" x14ac:dyDescent="0.3">
      <c r="B366" s="13" t="s">
        <v>266</v>
      </c>
      <c r="C366" s="13" t="s">
        <v>1639</v>
      </c>
      <c r="D366" s="13" t="s">
        <v>165</v>
      </c>
      <c r="E366" s="13" t="s">
        <v>13</v>
      </c>
      <c r="F366" s="13" t="s">
        <v>268</v>
      </c>
      <c r="G366" s="13" t="s">
        <v>1489</v>
      </c>
      <c r="H366" s="13" t="s">
        <v>1490</v>
      </c>
      <c r="I366" s="13">
        <v>2025</v>
      </c>
      <c r="J366" s="13" t="s">
        <v>1640</v>
      </c>
      <c r="K366" s="13">
        <v>3</v>
      </c>
      <c r="L366" s="13">
        <v>53</v>
      </c>
      <c r="M366" s="13" t="s">
        <v>1642</v>
      </c>
    </row>
    <row r="367" spans="2:13" ht="15.75" hidden="1" outlineLevel="1" x14ac:dyDescent="0.3">
      <c r="B367" s="13" t="s">
        <v>359</v>
      </c>
      <c r="C367" s="13" t="s">
        <v>1643</v>
      </c>
      <c r="D367" s="13" t="s">
        <v>290</v>
      </c>
      <c r="E367" s="13" t="s">
        <v>13</v>
      </c>
      <c r="F367" s="13" t="s">
        <v>360</v>
      </c>
      <c r="G367" s="13" t="s">
        <v>1489</v>
      </c>
      <c r="H367" s="13" t="s">
        <v>1490</v>
      </c>
      <c r="I367" s="13">
        <v>2024</v>
      </c>
      <c r="J367" s="13" t="s">
        <v>1644</v>
      </c>
      <c r="K367" s="13">
        <v>4</v>
      </c>
      <c r="L367" s="13">
        <v>54</v>
      </c>
      <c r="M367" s="13" t="s">
        <v>1645</v>
      </c>
    </row>
    <row r="368" spans="2:13" ht="15.75" hidden="1" outlineLevel="1" x14ac:dyDescent="0.3">
      <c r="B368" s="13" t="s">
        <v>269</v>
      </c>
      <c r="C368" s="13" t="s">
        <v>1643</v>
      </c>
      <c r="D368" s="13" t="s">
        <v>165</v>
      </c>
      <c r="E368" s="13" t="s">
        <v>13</v>
      </c>
      <c r="F368" s="13" t="s">
        <v>271</v>
      </c>
      <c r="G368" s="13" t="s">
        <v>1489</v>
      </c>
      <c r="H368" s="13" t="s">
        <v>1490</v>
      </c>
      <c r="I368" s="13">
        <v>2025</v>
      </c>
      <c r="J368" s="13" t="s">
        <v>1644</v>
      </c>
      <c r="K368" s="13">
        <v>3</v>
      </c>
      <c r="L368" s="13">
        <v>54</v>
      </c>
      <c r="M368" s="13" t="s">
        <v>1646</v>
      </c>
    </row>
    <row r="369" spans="2:13" ht="15.75" hidden="1" outlineLevel="1" x14ac:dyDescent="0.3">
      <c r="B369" s="13" t="s">
        <v>272</v>
      </c>
      <c r="C369" s="13" t="s">
        <v>1647</v>
      </c>
      <c r="D369" s="13" t="s">
        <v>165</v>
      </c>
      <c r="E369" s="13" t="s">
        <v>13</v>
      </c>
      <c r="F369" s="13" t="s">
        <v>274</v>
      </c>
      <c r="G369" s="13" t="s">
        <v>1489</v>
      </c>
      <c r="H369" s="13" t="s">
        <v>1490</v>
      </c>
      <c r="I369" s="13">
        <v>2025</v>
      </c>
      <c r="J369" s="13" t="s">
        <v>1648</v>
      </c>
      <c r="K369" s="13">
        <v>3</v>
      </c>
      <c r="L369" s="13">
        <v>55</v>
      </c>
      <c r="M369" s="13" t="s">
        <v>1649</v>
      </c>
    </row>
    <row r="370" spans="2:13" ht="15.75" hidden="1" outlineLevel="1" x14ac:dyDescent="0.3">
      <c r="B370" s="13" t="s">
        <v>361</v>
      </c>
      <c r="C370" s="13" t="s">
        <v>1647</v>
      </c>
      <c r="D370" s="13" t="s">
        <v>290</v>
      </c>
      <c r="E370" s="13" t="s">
        <v>13</v>
      </c>
      <c r="F370" s="13" t="s">
        <v>362</v>
      </c>
      <c r="G370" s="13" t="s">
        <v>1489</v>
      </c>
      <c r="H370" s="13" t="s">
        <v>1490</v>
      </c>
      <c r="I370" s="13">
        <v>2024</v>
      </c>
      <c r="J370" s="13" t="s">
        <v>1648</v>
      </c>
      <c r="K370" s="13">
        <v>4</v>
      </c>
      <c r="L370" s="13">
        <v>55</v>
      </c>
      <c r="M370" s="13" t="s">
        <v>1650</v>
      </c>
    </row>
    <row r="371" spans="2:13" ht="15.75" hidden="1" outlineLevel="1" x14ac:dyDescent="0.3">
      <c r="B371" s="13" t="s">
        <v>275</v>
      </c>
      <c r="C371" s="13" t="s">
        <v>1651</v>
      </c>
      <c r="D371" s="13" t="s">
        <v>165</v>
      </c>
      <c r="E371" s="13" t="s">
        <v>13</v>
      </c>
      <c r="F371" s="13" t="s">
        <v>202</v>
      </c>
      <c r="G371" s="13" t="s">
        <v>1489</v>
      </c>
      <c r="H371" s="13" t="s">
        <v>1490</v>
      </c>
      <c r="I371" s="13">
        <v>2025</v>
      </c>
      <c r="J371" s="13" t="s">
        <v>1652</v>
      </c>
      <c r="K371" s="13">
        <v>3</v>
      </c>
      <c r="L371" s="13">
        <v>58</v>
      </c>
      <c r="M371" s="13" t="s">
        <v>1653</v>
      </c>
    </row>
    <row r="372" spans="2:13" ht="15.75" hidden="1" outlineLevel="1" x14ac:dyDescent="0.3">
      <c r="B372" s="13" t="s">
        <v>363</v>
      </c>
      <c r="C372" s="13" t="s">
        <v>1651</v>
      </c>
      <c r="D372" s="13" t="s">
        <v>290</v>
      </c>
      <c r="E372" s="13" t="s">
        <v>13</v>
      </c>
      <c r="F372" s="13" t="s">
        <v>314</v>
      </c>
      <c r="G372" s="13" t="s">
        <v>1489</v>
      </c>
      <c r="H372" s="13" t="s">
        <v>1490</v>
      </c>
      <c r="I372" s="13">
        <v>2024</v>
      </c>
      <c r="J372" s="13" t="s">
        <v>1652</v>
      </c>
      <c r="K372" s="13">
        <v>4</v>
      </c>
      <c r="L372" s="13">
        <v>58</v>
      </c>
      <c r="M372" s="13" t="s">
        <v>1654</v>
      </c>
    </row>
    <row r="373" spans="2:13" ht="15.75" hidden="1" outlineLevel="1" x14ac:dyDescent="0.3">
      <c r="B373" s="13" t="s">
        <v>587</v>
      </c>
      <c r="C373" s="13" t="s">
        <v>1568</v>
      </c>
      <c r="D373" s="13" t="s">
        <v>420</v>
      </c>
      <c r="E373" s="13" t="s">
        <v>556</v>
      </c>
      <c r="F373" s="13" t="s">
        <v>569</v>
      </c>
      <c r="G373" s="13" t="s">
        <v>1655</v>
      </c>
      <c r="H373" s="13" t="s">
        <v>1656</v>
      </c>
      <c r="I373" s="13">
        <v>2023</v>
      </c>
      <c r="J373" s="13" t="s">
        <v>1568</v>
      </c>
      <c r="K373" s="13">
        <v>5</v>
      </c>
      <c r="L373" s="13">
        <v>5</v>
      </c>
      <c r="M373" s="13" t="s">
        <v>1657</v>
      </c>
    </row>
    <row r="374" spans="2:13" ht="15.75" hidden="1" outlineLevel="1" x14ac:dyDescent="0.3">
      <c r="B374" s="13" t="s">
        <v>471</v>
      </c>
      <c r="C374" s="13" t="s">
        <v>1568</v>
      </c>
      <c r="D374" s="13" t="s">
        <v>420</v>
      </c>
      <c r="E374" s="13" t="s">
        <v>13</v>
      </c>
      <c r="F374" s="13" t="s">
        <v>472</v>
      </c>
      <c r="G374" s="13" t="s">
        <v>1655</v>
      </c>
      <c r="H374" s="13" t="s">
        <v>1656</v>
      </c>
      <c r="I374" s="13">
        <v>2023</v>
      </c>
      <c r="J374" s="13" t="s">
        <v>1568</v>
      </c>
      <c r="K374" s="13">
        <v>11</v>
      </c>
      <c r="L374" s="13">
        <v>5</v>
      </c>
      <c r="M374" s="13" t="s">
        <v>1658</v>
      </c>
    </row>
    <row r="375" spans="2:13" ht="15.75" hidden="1" outlineLevel="1" x14ac:dyDescent="0.3">
      <c r="B375" s="13" t="s">
        <v>674</v>
      </c>
      <c r="C375" s="13" t="s">
        <v>1568</v>
      </c>
      <c r="D375" s="13" t="s">
        <v>420</v>
      </c>
      <c r="E375" s="13" t="s">
        <v>638</v>
      </c>
      <c r="F375" s="13" t="s">
        <v>675</v>
      </c>
      <c r="G375" s="13" t="s">
        <v>1655</v>
      </c>
      <c r="H375" s="13" t="s">
        <v>1656</v>
      </c>
      <c r="I375" s="13">
        <v>2023</v>
      </c>
      <c r="J375" s="13" t="s">
        <v>1568</v>
      </c>
      <c r="K375" s="13">
        <v>7</v>
      </c>
      <c r="L375" s="13">
        <v>5</v>
      </c>
      <c r="M375" s="13" t="s">
        <v>1659</v>
      </c>
    </row>
    <row r="376" spans="2:13" ht="15.75" hidden="1" outlineLevel="1" x14ac:dyDescent="0.3">
      <c r="B376" s="13" t="s">
        <v>512</v>
      </c>
      <c r="C376" s="13" t="s">
        <v>1568</v>
      </c>
      <c r="D376" s="13" t="s">
        <v>420</v>
      </c>
      <c r="E376" s="13" t="s">
        <v>478</v>
      </c>
      <c r="F376" s="13" t="s">
        <v>492</v>
      </c>
      <c r="G376" s="13" t="s">
        <v>1655</v>
      </c>
      <c r="H376" s="13" t="s">
        <v>1656</v>
      </c>
      <c r="I376" s="13">
        <v>2023</v>
      </c>
      <c r="J376" s="13" t="s">
        <v>1568</v>
      </c>
      <c r="K376" s="13">
        <v>3</v>
      </c>
      <c r="L376" s="13">
        <v>5</v>
      </c>
      <c r="M376" s="13" t="s">
        <v>1569</v>
      </c>
    </row>
    <row r="377" spans="2:13" ht="15.75" hidden="1" outlineLevel="1" x14ac:dyDescent="0.3">
      <c r="B377" s="13" t="s">
        <v>550</v>
      </c>
      <c r="C377" s="13" t="s">
        <v>1568</v>
      </c>
      <c r="D377" s="13" t="s">
        <v>420</v>
      </c>
      <c r="E377" s="13" t="s">
        <v>519</v>
      </c>
      <c r="F377" s="13" t="s">
        <v>532</v>
      </c>
      <c r="G377" s="13" t="s">
        <v>1655</v>
      </c>
      <c r="H377" s="13" t="s">
        <v>1656</v>
      </c>
      <c r="I377" s="13">
        <v>2023</v>
      </c>
      <c r="J377" s="13" t="s">
        <v>1568</v>
      </c>
      <c r="K377" s="13">
        <v>4</v>
      </c>
      <c r="L377" s="13">
        <v>5</v>
      </c>
      <c r="M377" s="13" t="s">
        <v>1570</v>
      </c>
    </row>
    <row r="378" spans="2:13" ht="15.75" hidden="1" outlineLevel="1" x14ac:dyDescent="0.3">
      <c r="B378" s="13" t="s">
        <v>630</v>
      </c>
      <c r="C378" s="13" t="s">
        <v>1568</v>
      </c>
      <c r="D378" s="13" t="s">
        <v>420</v>
      </c>
      <c r="E378" s="13" t="s">
        <v>593</v>
      </c>
      <c r="F378" s="13" t="s">
        <v>631</v>
      </c>
      <c r="G378" s="13" t="s">
        <v>1655</v>
      </c>
      <c r="H378" s="13" t="s">
        <v>1656</v>
      </c>
      <c r="I378" s="13">
        <v>2023</v>
      </c>
      <c r="J378" s="13" t="s">
        <v>1568</v>
      </c>
      <c r="K378" s="13">
        <v>6</v>
      </c>
      <c r="L378" s="13">
        <v>5</v>
      </c>
      <c r="M378" s="13" t="s">
        <v>1660</v>
      </c>
    </row>
    <row r="379" spans="2:13" ht="15.75" hidden="1" outlineLevel="1" x14ac:dyDescent="0.3">
      <c r="B379" s="13" t="s">
        <v>761</v>
      </c>
      <c r="C379" s="13" t="s">
        <v>1568</v>
      </c>
      <c r="D379" s="13" t="s">
        <v>420</v>
      </c>
      <c r="E379" s="13" t="s">
        <v>729</v>
      </c>
      <c r="F379" s="13" t="s">
        <v>762</v>
      </c>
      <c r="G379" s="13" t="s">
        <v>1655</v>
      </c>
      <c r="H379" s="13" t="s">
        <v>1656</v>
      </c>
      <c r="I379" s="13">
        <v>2023</v>
      </c>
      <c r="J379" s="13" t="s">
        <v>1568</v>
      </c>
      <c r="K379" s="13">
        <v>9</v>
      </c>
      <c r="L379" s="13">
        <v>5</v>
      </c>
      <c r="M379" s="13" t="s">
        <v>1661</v>
      </c>
    </row>
    <row r="380" spans="2:13" ht="15.75" hidden="1" outlineLevel="1" x14ac:dyDescent="0.3">
      <c r="B380" s="13" t="s">
        <v>419</v>
      </c>
      <c r="C380" s="13" t="s">
        <v>1568</v>
      </c>
      <c r="D380" s="13" t="s">
        <v>420</v>
      </c>
      <c r="E380" s="13" t="s">
        <v>373</v>
      </c>
      <c r="F380" s="13" t="s">
        <v>421</v>
      </c>
      <c r="G380" s="13" t="s">
        <v>1655</v>
      </c>
      <c r="H380" s="13" t="s">
        <v>1656</v>
      </c>
      <c r="I380" s="13">
        <v>2023</v>
      </c>
      <c r="J380" s="13" t="s">
        <v>1568</v>
      </c>
      <c r="K380" s="13">
        <v>10</v>
      </c>
      <c r="L380" s="13">
        <v>5</v>
      </c>
      <c r="M380" s="13" t="s">
        <v>1662</v>
      </c>
    </row>
    <row r="381" spans="2:13" ht="15.75" hidden="1" outlineLevel="1" x14ac:dyDescent="0.3">
      <c r="B381" s="13" t="s">
        <v>722</v>
      </c>
      <c r="C381" s="13" t="s">
        <v>1568</v>
      </c>
      <c r="D381" s="13" t="s">
        <v>420</v>
      </c>
      <c r="E381" s="13" t="s">
        <v>681</v>
      </c>
      <c r="F381" s="13" t="s">
        <v>723</v>
      </c>
      <c r="G381" s="13" t="s">
        <v>1655</v>
      </c>
      <c r="H381" s="13" t="s">
        <v>1656</v>
      </c>
      <c r="I381" s="13">
        <v>2023</v>
      </c>
      <c r="J381" s="13" t="s">
        <v>1568</v>
      </c>
      <c r="K381" s="13">
        <v>8</v>
      </c>
      <c r="L381" s="13">
        <v>5</v>
      </c>
      <c r="M381" s="13" t="s">
        <v>1663</v>
      </c>
    </row>
    <row r="382" spans="2:13" ht="15.75" hidden="1" outlineLevel="1" x14ac:dyDescent="0.3">
      <c r="B382" s="13" t="s">
        <v>676</v>
      </c>
      <c r="C382" s="13" t="s">
        <v>1427</v>
      </c>
      <c r="D382" s="13" t="s">
        <v>71</v>
      </c>
      <c r="E382" s="13" t="s">
        <v>638</v>
      </c>
      <c r="F382" s="13" t="s">
        <v>308</v>
      </c>
      <c r="G382" s="13" t="s">
        <v>1655</v>
      </c>
      <c r="H382" s="13" t="s">
        <v>1656</v>
      </c>
      <c r="I382" s="13">
        <v>2024</v>
      </c>
      <c r="J382" s="13" t="s">
        <v>1428</v>
      </c>
      <c r="K382" s="13">
        <v>7</v>
      </c>
      <c r="L382" s="13">
        <v>6</v>
      </c>
      <c r="M382" s="13" t="s">
        <v>1664</v>
      </c>
    </row>
    <row r="383" spans="2:13" ht="15.75" hidden="1" outlineLevel="1" x14ac:dyDescent="0.3">
      <c r="B383" s="13" t="s">
        <v>473</v>
      </c>
      <c r="C383" s="13" t="s">
        <v>1427</v>
      </c>
      <c r="D383" s="13" t="s">
        <v>71</v>
      </c>
      <c r="E383" s="13" t="s">
        <v>13</v>
      </c>
      <c r="F383" s="13" t="s">
        <v>90</v>
      </c>
      <c r="G383" s="13" t="s">
        <v>1655</v>
      </c>
      <c r="H383" s="13" t="s">
        <v>1656</v>
      </c>
      <c r="I383" s="13">
        <v>2024</v>
      </c>
      <c r="J383" s="13" t="s">
        <v>1428</v>
      </c>
      <c r="K383" s="13">
        <v>11</v>
      </c>
      <c r="L383" s="13">
        <v>6</v>
      </c>
      <c r="M383" s="13" t="s">
        <v>1665</v>
      </c>
    </row>
    <row r="384" spans="2:13" ht="15.75" hidden="1" outlineLevel="1" x14ac:dyDescent="0.3">
      <c r="B384" s="13" t="s">
        <v>763</v>
      </c>
      <c r="C384" s="13" t="s">
        <v>1427</v>
      </c>
      <c r="D384" s="13" t="s">
        <v>71</v>
      </c>
      <c r="E384" s="13" t="s">
        <v>729</v>
      </c>
      <c r="F384" s="13" t="s">
        <v>92</v>
      </c>
      <c r="G384" s="13" t="s">
        <v>1655</v>
      </c>
      <c r="H384" s="13" t="s">
        <v>1656</v>
      </c>
      <c r="I384" s="13">
        <v>2024</v>
      </c>
      <c r="J384" s="13" t="s">
        <v>1428</v>
      </c>
      <c r="K384" s="13">
        <v>9</v>
      </c>
      <c r="L384" s="13">
        <v>6</v>
      </c>
      <c r="M384" s="13" t="s">
        <v>1666</v>
      </c>
    </row>
    <row r="385" spans="2:13" ht="15.75" hidden="1" outlineLevel="1" x14ac:dyDescent="0.3">
      <c r="B385" s="13" t="s">
        <v>422</v>
      </c>
      <c r="C385" s="13" t="s">
        <v>1427</v>
      </c>
      <c r="D385" s="13" t="s">
        <v>71</v>
      </c>
      <c r="E385" s="13" t="s">
        <v>373</v>
      </c>
      <c r="F385" s="13" t="s">
        <v>94</v>
      </c>
      <c r="G385" s="13" t="s">
        <v>1655</v>
      </c>
      <c r="H385" s="13" t="s">
        <v>1656</v>
      </c>
      <c r="I385" s="13">
        <v>2024</v>
      </c>
      <c r="J385" s="13" t="s">
        <v>1428</v>
      </c>
      <c r="K385" s="13">
        <v>10</v>
      </c>
      <c r="L385" s="13">
        <v>6</v>
      </c>
      <c r="M385" s="13" t="s">
        <v>1667</v>
      </c>
    </row>
    <row r="386" spans="2:13" ht="15.75" hidden="1" outlineLevel="1" x14ac:dyDescent="0.3">
      <c r="B386" s="13" t="s">
        <v>724</v>
      </c>
      <c r="C386" s="13" t="s">
        <v>1427</v>
      </c>
      <c r="D386" s="13" t="s">
        <v>71</v>
      </c>
      <c r="E386" s="13" t="s">
        <v>681</v>
      </c>
      <c r="F386" s="13" t="s">
        <v>92</v>
      </c>
      <c r="G386" s="13" t="s">
        <v>1655</v>
      </c>
      <c r="H386" s="13" t="s">
        <v>1656</v>
      </c>
      <c r="I386" s="13">
        <v>2024</v>
      </c>
      <c r="J386" s="13" t="s">
        <v>1428</v>
      </c>
      <c r="K386" s="13">
        <v>8</v>
      </c>
      <c r="L386" s="13">
        <v>6</v>
      </c>
      <c r="M386" s="13" t="s">
        <v>1668</v>
      </c>
    </row>
    <row r="387" spans="2:13" ht="15.75" hidden="1" outlineLevel="1" x14ac:dyDescent="0.3">
      <c r="B387" s="13" t="s">
        <v>588</v>
      </c>
      <c r="C387" s="13" t="s">
        <v>1427</v>
      </c>
      <c r="D387" s="13" t="s">
        <v>71</v>
      </c>
      <c r="E387" s="13" t="s">
        <v>556</v>
      </c>
      <c r="F387" s="13" t="s">
        <v>308</v>
      </c>
      <c r="G387" s="13" t="s">
        <v>1655</v>
      </c>
      <c r="H387" s="13" t="s">
        <v>1656</v>
      </c>
      <c r="I387" s="13">
        <v>2024</v>
      </c>
      <c r="J387" s="13" t="s">
        <v>1428</v>
      </c>
      <c r="K387" s="13">
        <v>5</v>
      </c>
      <c r="L387" s="13">
        <v>6</v>
      </c>
      <c r="M387" s="13" t="s">
        <v>1669</v>
      </c>
    </row>
    <row r="388" spans="2:13" ht="15.75" hidden="1" outlineLevel="1" x14ac:dyDescent="0.3">
      <c r="B388" s="13" t="s">
        <v>514</v>
      </c>
      <c r="C388" s="13" t="s">
        <v>1427</v>
      </c>
      <c r="D388" s="13" t="s">
        <v>71</v>
      </c>
      <c r="E388" s="13" t="s">
        <v>478</v>
      </c>
      <c r="F388" s="13" t="s">
        <v>308</v>
      </c>
      <c r="G388" s="13" t="s">
        <v>1655</v>
      </c>
      <c r="H388" s="13" t="s">
        <v>1656</v>
      </c>
      <c r="I388" s="13">
        <v>2024</v>
      </c>
      <c r="J388" s="13" t="s">
        <v>1428</v>
      </c>
      <c r="K388" s="13">
        <v>3</v>
      </c>
      <c r="L388" s="13">
        <v>6</v>
      </c>
      <c r="M388" s="13" t="s">
        <v>1429</v>
      </c>
    </row>
    <row r="389" spans="2:13" ht="15.75" hidden="1" outlineLevel="1" x14ac:dyDescent="0.3">
      <c r="B389" s="13" t="s">
        <v>632</v>
      </c>
      <c r="C389" s="13" t="s">
        <v>1427</v>
      </c>
      <c r="D389" s="13" t="s">
        <v>71</v>
      </c>
      <c r="E389" s="13" t="s">
        <v>593</v>
      </c>
      <c r="F389" s="13" t="s">
        <v>308</v>
      </c>
      <c r="G389" s="13" t="s">
        <v>1655</v>
      </c>
      <c r="H389" s="13" t="s">
        <v>1656</v>
      </c>
      <c r="I389" s="13">
        <v>2024</v>
      </c>
      <c r="J389" s="13" t="s">
        <v>1428</v>
      </c>
      <c r="K389" s="13">
        <v>6</v>
      </c>
      <c r="L389" s="13">
        <v>6</v>
      </c>
      <c r="M389" s="13" t="s">
        <v>1670</v>
      </c>
    </row>
    <row r="390" spans="2:13" ht="15.75" hidden="1" outlineLevel="1" x14ac:dyDescent="0.3">
      <c r="B390" s="13" t="s">
        <v>551</v>
      </c>
      <c r="C390" s="13" t="s">
        <v>1427</v>
      </c>
      <c r="D390" s="13" t="s">
        <v>71</v>
      </c>
      <c r="E390" s="13" t="s">
        <v>519</v>
      </c>
      <c r="F390" s="13" t="s">
        <v>308</v>
      </c>
      <c r="G390" s="13" t="s">
        <v>1655</v>
      </c>
      <c r="H390" s="13" t="s">
        <v>1656</v>
      </c>
      <c r="I390" s="13">
        <v>2024</v>
      </c>
      <c r="J390" s="13" t="s">
        <v>1428</v>
      </c>
      <c r="K390" s="13">
        <v>4</v>
      </c>
      <c r="L390" s="13">
        <v>6</v>
      </c>
      <c r="M390" s="13" t="s">
        <v>1430</v>
      </c>
    </row>
    <row r="391" spans="2:13" ht="15.75" hidden="1" outlineLevel="1" x14ac:dyDescent="0.3">
      <c r="B391" s="13" t="s">
        <v>677</v>
      </c>
      <c r="C391" s="13" t="s">
        <v>1449</v>
      </c>
      <c r="D391" s="13" t="s">
        <v>71</v>
      </c>
      <c r="E391" s="13" t="s">
        <v>638</v>
      </c>
      <c r="F391" s="13" t="s">
        <v>308</v>
      </c>
      <c r="G391" s="13" t="s">
        <v>1655</v>
      </c>
      <c r="H391" s="13" t="s">
        <v>1656</v>
      </c>
      <c r="I391" s="13">
        <v>2024</v>
      </c>
      <c r="J391" s="13" t="s">
        <v>1450</v>
      </c>
      <c r="K391" s="13">
        <v>7</v>
      </c>
      <c r="L391" s="13">
        <v>7</v>
      </c>
      <c r="M391" s="13" t="s">
        <v>1671</v>
      </c>
    </row>
    <row r="392" spans="2:13" ht="15.75" hidden="1" outlineLevel="1" x14ac:dyDescent="0.3">
      <c r="B392" s="13" t="s">
        <v>423</v>
      </c>
      <c r="C392" s="13" t="s">
        <v>1449</v>
      </c>
      <c r="D392" s="13" t="s">
        <v>71</v>
      </c>
      <c r="E392" s="13" t="s">
        <v>373</v>
      </c>
      <c r="F392" s="13" t="s">
        <v>308</v>
      </c>
      <c r="G392" s="13" t="s">
        <v>1655</v>
      </c>
      <c r="H392" s="13" t="s">
        <v>1656</v>
      </c>
      <c r="I392" s="13">
        <v>2024</v>
      </c>
      <c r="J392" s="13" t="s">
        <v>1450</v>
      </c>
      <c r="K392" s="13">
        <v>10</v>
      </c>
      <c r="L392" s="13">
        <v>7</v>
      </c>
      <c r="M392" s="13" t="s">
        <v>1672</v>
      </c>
    </row>
    <row r="393" spans="2:13" ht="15.75" hidden="1" outlineLevel="1" x14ac:dyDescent="0.3">
      <c r="B393" s="13" t="s">
        <v>633</v>
      </c>
      <c r="C393" s="13" t="s">
        <v>1449</v>
      </c>
      <c r="D393" s="13" t="s">
        <v>71</v>
      </c>
      <c r="E393" s="13" t="s">
        <v>593</v>
      </c>
      <c r="F393" s="13" t="s">
        <v>308</v>
      </c>
      <c r="G393" s="13" t="s">
        <v>1655</v>
      </c>
      <c r="H393" s="13" t="s">
        <v>1656</v>
      </c>
      <c r="I393" s="13">
        <v>2024</v>
      </c>
      <c r="J393" s="13" t="s">
        <v>1450</v>
      </c>
      <c r="K393" s="13">
        <v>6</v>
      </c>
      <c r="L393" s="13">
        <v>7</v>
      </c>
      <c r="M393" s="13" t="s">
        <v>1673</v>
      </c>
    </row>
    <row r="394" spans="2:13" ht="15.75" hidden="1" outlineLevel="1" x14ac:dyDescent="0.3">
      <c r="B394" s="13" t="s">
        <v>515</v>
      </c>
      <c r="C394" s="13" t="s">
        <v>1449</v>
      </c>
      <c r="D394" s="13" t="s">
        <v>71</v>
      </c>
      <c r="E394" s="13" t="s">
        <v>478</v>
      </c>
      <c r="F394" s="13" t="s">
        <v>308</v>
      </c>
      <c r="G394" s="13" t="s">
        <v>1655</v>
      </c>
      <c r="H394" s="13" t="s">
        <v>1656</v>
      </c>
      <c r="I394" s="13">
        <v>2024</v>
      </c>
      <c r="J394" s="13" t="s">
        <v>1450</v>
      </c>
      <c r="K394" s="13">
        <v>3</v>
      </c>
      <c r="L394" s="13">
        <v>7</v>
      </c>
      <c r="M394" s="13" t="s">
        <v>1452</v>
      </c>
    </row>
    <row r="395" spans="2:13" ht="15.75" hidden="1" outlineLevel="1" x14ac:dyDescent="0.3">
      <c r="B395" s="13" t="s">
        <v>764</v>
      </c>
      <c r="C395" s="13" t="s">
        <v>1449</v>
      </c>
      <c r="D395" s="13" t="s">
        <v>71</v>
      </c>
      <c r="E395" s="13" t="s">
        <v>729</v>
      </c>
      <c r="F395" s="13" t="s">
        <v>156</v>
      </c>
      <c r="G395" s="13" t="s">
        <v>1655</v>
      </c>
      <c r="H395" s="13" t="s">
        <v>1656</v>
      </c>
      <c r="I395" s="13">
        <v>2024</v>
      </c>
      <c r="J395" s="13" t="s">
        <v>1450</v>
      </c>
      <c r="K395" s="13">
        <v>9</v>
      </c>
      <c r="L395" s="13">
        <v>7</v>
      </c>
      <c r="M395" s="13" t="s">
        <v>1674</v>
      </c>
    </row>
    <row r="396" spans="2:13" ht="15.75" hidden="1" outlineLevel="1" x14ac:dyDescent="0.3">
      <c r="B396" s="13" t="s">
        <v>474</v>
      </c>
      <c r="C396" s="13" t="s">
        <v>1449</v>
      </c>
      <c r="D396" s="13" t="s">
        <v>71</v>
      </c>
      <c r="E396" s="13" t="s">
        <v>13</v>
      </c>
      <c r="F396" s="13" t="s">
        <v>156</v>
      </c>
      <c r="G396" s="13" t="s">
        <v>1655</v>
      </c>
      <c r="H396" s="13" t="s">
        <v>1656</v>
      </c>
      <c r="I396" s="13">
        <v>2024</v>
      </c>
      <c r="J396" s="13" t="s">
        <v>1450</v>
      </c>
      <c r="K396" s="13">
        <v>11</v>
      </c>
      <c r="L396" s="13">
        <v>7</v>
      </c>
      <c r="M396" s="13" t="s">
        <v>1675</v>
      </c>
    </row>
    <row r="397" spans="2:13" ht="15.75" hidden="1" outlineLevel="1" x14ac:dyDescent="0.3">
      <c r="B397" s="13" t="s">
        <v>589</v>
      </c>
      <c r="C397" s="13" t="s">
        <v>1449</v>
      </c>
      <c r="D397" s="13" t="s">
        <v>71</v>
      </c>
      <c r="E397" s="13" t="s">
        <v>556</v>
      </c>
      <c r="F397" s="13" t="s">
        <v>308</v>
      </c>
      <c r="G397" s="13" t="s">
        <v>1655</v>
      </c>
      <c r="H397" s="13" t="s">
        <v>1656</v>
      </c>
      <c r="I397" s="13">
        <v>2024</v>
      </c>
      <c r="J397" s="13" t="s">
        <v>1450</v>
      </c>
      <c r="K397" s="13">
        <v>5</v>
      </c>
      <c r="L397" s="13">
        <v>7</v>
      </c>
      <c r="M397" s="13" t="s">
        <v>1676</v>
      </c>
    </row>
    <row r="398" spans="2:13" ht="15.75" hidden="1" outlineLevel="1" x14ac:dyDescent="0.3">
      <c r="B398" s="13" t="s">
        <v>552</v>
      </c>
      <c r="C398" s="13" t="s">
        <v>1449</v>
      </c>
      <c r="D398" s="13" t="s">
        <v>71</v>
      </c>
      <c r="E398" s="13" t="s">
        <v>519</v>
      </c>
      <c r="F398" s="13" t="s">
        <v>308</v>
      </c>
      <c r="G398" s="13" t="s">
        <v>1655</v>
      </c>
      <c r="H398" s="13" t="s">
        <v>1656</v>
      </c>
      <c r="I398" s="13">
        <v>2024</v>
      </c>
      <c r="J398" s="13" t="s">
        <v>1450</v>
      </c>
      <c r="K398" s="13">
        <v>4</v>
      </c>
      <c r="L398" s="13">
        <v>7</v>
      </c>
      <c r="M398" s="13" t="s">
        <v>1451</v>
      </c>
    </row>
    <row r="399" spans="2:13" ht="15.75" hidden="1" outlineLevel="1" x14ac:dyDescent="0.3">
      <c r="B399" s="13" t="s">
        <v>725</v>
      </c>
      <c r="C399" s="13" t="s">
        <v>1449</v>
      </c>
      <c r="D399" s="13" t="s">
        <v>71</v>
      </c>
      <c r="E399" s="13" t="s">
        <v>681</v>
      </c>
      <c r="F399" s="13" t="s">
        <v>156</v>
      </c>
      <c r="G399" s="13" t="s">
        <v>1655</v>
      </c>
      <c r="H399" s="13" t="s">
        <v>1656</v>
      </c>
      <c r="I399" s="13">
        <v>2024</v>
      </c>
      <c r="J399" s="13" t="s">
        <v>1450</v>
      </c>
      <c r="K399" s="13">
        <v>8</v>
      </c>
      <c r="L399" s="13">
        <v>7</v>
      </c>
      <c r="M399" s="13" t="s">
        <v>1677</v>
      </c>
    </row>
    <row r="400" spans="2:13" ht="15.75" hidden="1" outlineLevel="1" x14ac:dyDescent="0.3">
      <c r="B400" s="13" t="s">
        <v>634</v>
      </c>
      <c r="C400" s="13" t="s">
        <v>1457</v>
      </c>
      <c r="D400" s="13" t="s">
        <v>71</v>
      </c>
      <c r="E400" s="13" t="s">
        <v>593</v>
      </c>
      <c r="F400" s="13" t="s">
        <v>635</v>
      </c>
      <c r="G400" s="13" t="s">
        <v>1655</v>
      </c>
      <c r="H400" s="13" t="s">
        <v>1656</v>
      </c>
      <c r="I400" s="13">
        <v>2024</v>
      </c>
      <c r="J400" s="13" t="s">
        <v>1458</v>
      </c>
      <c r="K400" s="13">
        <v>6</v>
      </c>
      <c r="L400" s="13">
        <v>8</v>
      </c>
      <c r="M400" s="13" t="s">
        <v>1678</v>
      </c>
    </row>
    <row r="401" spans="2:13" ht="15.75" hidden="1" outlineLevel="1" x14ac:dyDescent="0.3">
      <c r="B401" s="13" t="s">
        <v>678</v>
      </c>
      <c r="C401" s="13" t="s">
        <v>1457</v>
      </c>
      <c r="D401" s="13" t="s">
        <v>71</v>
      </c>
      <c r="E401" s="13" t="s">
        <v>638</v>
      </c>
      <c r="F401" s="13" t="s">
        <v>308</v>
      </c>
      <c r="G401" s="13" t="s">
        <v>1655</v>
      </c>
      <c r="H401" s="13" t="s">
        <v>1656</v>
      </c>
      <c r="I401" s="13">
        <v>2024</v>
      </c>
      <c r="J401" s="13" t="s">
        <v>1458</v>
      </c>
      <c r="K401" s="13">
        <v>7</v>
      </c>
      <c r="L401" s="13">
        <v>8</v>
      </c>
      <c r="M401" s="13" t="s">
        <v>1679</v>
      </c>
    </row>
    <row r="402" spans="2:13" ht="15.75" hidden="1" outlineLevel="1" x14ac:dyDescent="0.3">
      <c r="B402" s="13" t="s">
        <v>424</v>
      </c>
      <c r="C402" s="13" t="s">
        <v>1457</v>
      </c>
      <c r="D402" s="13" t="s">
        <v>71</v>
      </c>
      <c r="E402" s="13" t="s">
        <v>373</v>
      </c>
      <c r="F402" s="13" t="s">
        <v>377</v>
      </c>
      <c r="G402" s="13" t="s">
        <v>1655</v>
      </c>
      <c r="H402" s="13" t="s">
        <v>1656</v>
      </c>
      <c r="I402" s="13">
        <v>2024</v>
      </c>
      <c r="J402" s="13" t="s">
        <v>1458</v>
      </c>
      <c r="K402" s="13">
        <v>10</v>
      </c>
      <c r="L402" s="13">
        <v>8</v>
      </c>
      <c r="M402" s="13" t="s">
        <v>1680</v>
      </c>
    </row>
    <row r="403" spans="2:13" ht="15.75" hidden="1" outlineLevel="1" x14ac:dyDescent="0.3">
      <c r="B403" s="13" t="s">
        <v>475</v>
      </c>
      <c r="C403" s="13" t="s">
        <v>1457</v>
      </c>
      <c r="D403" s="13" t="s">
        <v>71</v>
      </c>
      <c r="E403" s="13" t="s">
        <v>13</v>
      </c>
      <c r="F403" s="13" t="s">
        <v>160</v>
      </c>
      <c r="G403" s="13" t="s">
        <v>1655</v>
      </c>
      <c r="H403" s="13" t="s">
        <v>1656</v>
      </c>
      <c r="I403" s="13">
        <v>2024</v>
      </c>
      <c r="J403" s="13" t="s">
        <v>1458</v>
      </c>
      <c r="K403" s="13">
        <v>11</v>
      </c>
      <c r="L403" s="13">
        <v>8</v>
      </c>
      <c r="M403" s="13" t="s">
        <v>1681</v>
      </c>
    </row>
    <row r="404" spans="2:13" ht="15.75" hidden="1" outlineLevel="1" x14ac:dyDescent="0.3">
      <c r="B404" s="13" t="s">
        <v>726</v>
      </c>
      <c r="C404" s="13" t="s">
        <v>1457</v>
      </c>
      <c r="D404" s="13" t="s">
        <v>71</v>
      </c>
      <c r="E404" s="13" t="s">
        <v>681</v>
      </c>
      <c r="F404" s="13" t="s">
        <v>308</v>
      </c>
      <c r="G404" s="13" t="s">
        <v>1655</v>
      </c>
      <c r="H404" s="13" t="s">
        <v>1656</v>
      </c>
      <c r="I404" s="13">
        <v>2024</v>
      </c>
      <c r="J404" s="13" t="s">
        <v>1458</v>
      </c>
      <c r="K404" s="13">
        <v>8</v>
      </c>
      <c r="L404" s="13">
        <v>8</v>
      </c>
      <c r="M404" s="13" t="s">
        <v>1682</v>
      </c>
    </row>
    <row r="405" spans="2:13" ht="15.75" hidden="1" outlineLevel="1" x14ac:dyDescent="0.3">
      <c r="B405" s="13" t="s">
        <v>516</v>
      </c>
      <c r="C405" s="13" t="s">
        <v>1457</v>
      </c>
      <c r="D405" s="13" t="s">
        <v>71</v>
      </c>
      <c r="E405" s="13" t="s">
        <v>478</v>
      </c>
      <c r="F405" s="13" t="s">
        <v>308</v>
      </c>
      <c r="G405" s="13" t="s">
        <v>1655</v>
      </c>
      <c r="H405" s="13" t="s">
        <v>1656</v>
      </c>
      <c r="I405" s="13">
        <v>2024</v>
      </c>
      <c r="J405" s="13" t="s">
        <v>1458</v>
      </c>
      <c r="K405" s="13">
        <v>3</v>
      </c>
      <c r="L405" s="13">
        <v>8</v>
      </c>
      <c r="M405" s="13" t="s">
        <v>1460</v>
      </c>
    </row>
    <row r="406" spans="2:13" ht="15.75" hidden="1" outlineLevel="1" x14ac:dyDescent="0.3">
      <c r="B406" s="13" t="s">
        <v>553</v>
      </c>
      <c r="C406" s="13" t="s">
        <v>1457</v>
      </c>
      <c r="D406" s="13" t="s">
        <v>71</v>
      </c>
      <c r="E406" s="13" t="s">
        <v>519</v>
      </c>
      <c r="F406" s="13" t="s">
        <v>308</v>
      </c>
      <c r="G406" s="13" t="s">
        <v>1655</v>
      </c>
      <c r="H406" s="13" t="s">
        <v>1656</v>
      </c>
      <c r="I406" s="13">
        <v>2024</v>
      </c>
      <c r="J406" s="13" t="s">
        <v>1458</v>
      </c>
      <c r="K406" s="13">
        <v>4</v>
      </c>
      <c r="L406" s="13">
        <v>8</v>
      </c>
      <c r="M406" s="13" t="s">
        <v>1459</v>
      </c>
    </row>
    <row r="407" spans="2:13" ht="15.75" hidden="1" outlineLevel="1" x14ac:dyDescent="0.3">
      <c r="B407" s="13" t="s">
        <v>590</v>
      </c>
      <c r="C407" s="13" t="s">
        <v>1457</v>
      </c>
      <c r="D407" s="13" t="s">
        <v>71</v>
      </c>
      <c r="E407" s="13" t="s">
        <v>556</v>
      </c>
      <c r="F407" s="13" t="s">
        <v>308</v>
      </c>
      <c r="G407" s="13" t="s">
        <v>1655</v>
      </c>
      <c r="H407" s="13" t="s">
        <v>1656</v>
      </c>
      <c r="I407" s="13">
        <v>2024</v>
      </c>
      <c r="J407" s="13" t="s">
        <v>1458</v>
      </c>
      <c r="K407" s="13">
        <v>5</v>
      </c>
      <c r="L407" s="13">
        <v>8</v>
      </c>
      <c r="M407" s="13" t="s">
        <v>1683</v>
      </c>
    </row>
    <row r="408" spans="2:13" ht="15.75" hidden="1" outlineLevel="1" x14ac:dyDescent="0.3">
      <c r="B408" s="13" t="s">
        <v>765</v>
      </c>
      <c r="C408" s="13" t="s">
        <v>1457</v>
      </c>
      <c r="D408" s="13" t="s">
        <v>71</v>
      </c>
      <c r="E408" s="13" t="s">
        <v>729</v>
      </c>
      <c r="F408" s="13" t="s">
        <v>635</v>
      </c>
      <c r="G408" s="13" t="s">
        <v>1655</v>
      </c>
      <c r="H408" s="13" t="s">
        <v>1656</v>
      </c>
      <c r="I408" s="13">
        <v>2024</v>
      </c>
      <c r="J408" s="13" t="s">
        <v>1458</v>
      </c>
      <c r="K408" s="13">
        <v>9</v>
      </c>
      <c r="L408" s="13">
        <v>8</v>
      </c>
      <c r="M408" s="13" t="s">
        <v>1684</v>
      </c>
    </row>
    <row r="409" spans="2:13" ht="15.75" hidden="1" outlineLevel="1" x14ac:dyDescent="0.3">
      <c r="B409" s="13" t="s">
        <v>476</v>
      </c>
      <c r="C409" s="13" t="s">
        <v>1461</v>
      </c>
      <c r="D409" s="13" t="s">
        <v>71</v>
      </c>
      <c r="E409" s="13" t="s">
        <v>13</v>
      </c>
      <c r="F409" s="13" t="s">
        <v>162</v>
      </c>
      <c r="G409" s="13" t="s">
        <v>1655</v>
      </c>
      <c r="H409" s="13" t="s">
        <v>1656</v>
      </c>
      <c r="I409" s="13">
        <v>2024</v>
      </c>
      <c r="J409" s="13" t="s">
        <v>1462</v>
      </c>
      <c r="K409" s="13">
        <v>11</v>
      </c>
      <c r="L409" s="13">
        <v>9</v>
      </c>
      <c r="M409" s="13" t="s">
        <v>1685</v>
      </c>
    </row>
    <row r="410" spans="2:13" ht="15.75" hidden="1" outlineLevel="1" x14ac:dyDescent="0.3">
      <c r="B410" s="13" t="s">
        <v>727</v>
      </c>
      <c r="C410" s="13" t="s">
        <v>1461</v>
      </c>
      <c r="D410" s="13" t="s">
        <v>71</v>
      </c>
      <c r="E410" s="13" t="s">
        <v>681</v>
      </c>
      <c r="F410" s="13" t="s">
        <v>308</v>
      </c>
      <c r="G410" s="13" t="s">
        <v>1655</v>
      </c>
      <c r="H410" s="13" t="s">
        <v>1656</v>
      </c>
      <c r="I410" s="13">
        <v>2024</v>
      </c>
      <c r="J410" s="13" t="s">
        <v>1462</v>
      </c>
      <c r="K410" s="13">
        <v>8</v>
      </c>
      <c r="L410" s="13">
        <v>9</v>
      </c>
      <c r="M410" s="13" t="s">
        <v>1686</v>
      </c>
    </row>
    <row r="411" spans="2:13" ht="15.75" hidden="1" outlineLevel="1" x14ac:dyDescent="0.3">
      <c r="B411" s="13" t="s">
        <v>517</v>
      </c>
      <c r="C411" s="13" t="s">
        <v>1461</v>
      </c>
      <c r="D411" s="13" t="s">
        <v>71</v>
      </c>
      <c r="E411" s="13" t="s">
        <v>478</v>
      </c>
      <c r="F411" s="13" t="s">
        <v>308</v>
      </c>
      <c r="G411" s="13" t="s">
        <v>1655</v>
      </c>
      <c r="H411" s="13" t="s">
        <v>1656</v>
      </c>
      <c r="I411" s="13">
        <v>2024</v>
      </c>
      <c r="J411" s="13" t="s">
        <v>1462</v>
      </c>
      <c r="K411" s="13">
        <v>3</v>
      </c>
      <c r="L411" s="13">
        <v>9</v>
      </c>
      <c r="M411" s="13" t="s">
        <v>1464</v>
      </c>
    </row>
    <row r="412" spans="2:13" ht="15.75" hidden="1" outlineLevel="1" x14ac:dyDescent="0.3">
      <c r="B412" s="13" t="s">
        <v>554</v>
      </c>
      <c r="C412" s="13" t="s">
        <v>1461</v>
      </c>
      <c r="D412" s="13" t="s">
        <v>71</v>
      </c>
      <c r="E412" s="13" t="s">
        <v>519</v>
      </c>
      <c r="F412" s="13" t="s">
        <v>308</v>
      </c>
      <c r="G412" s="13" t="s">
        <v>1655</v>
      </c>
      <c r="H412" s="13" t="s">
        <v>1656</v>
      </c>
      <c r="I412" s="13">
        <v>2024</v>
      </c>
      <c r="J412" s="13" t="s">
        <v>1462</v>
      </c>
      <c r="K412" s="13">
        <v>4</v>
      </c>
      <c r="L412" s="13">
        <v>9</v>
      </c>
      <c r="M412" s="13" t="s">
        <v>1463</v>
      </c>
    </row>
    <row r="413" spans="2:13" ht="15.75" hidden="1" outlineLevel="1" x14ac:dyDescent="0.3">
      <c r="B413" s="13" t="s">
        <v>679</v>
      </c>
      <c r="C413" s="13" t="s">
        <v>1461</v>
      </c>
      <c r="D413" s="13" t="s">
        <v>71</v>
      </c>
      <c r="E413" s="13" t="s">
        <v>638</v>
      </c>
      <c r="F413" s="13" t="s">
        <v>308</v>
      </c>
      <c r="G413" s="13" t="s">
        <v>1655</v>
      </c>
      <c r="H413" s="13" t="s">
        <v>1656</v>
      </c>
      <c r="I413" s="13">
        <v>2024</v>
      </c>
      <c r="J413" s="13" t="s">
        <v>1462</v>
      </c>
      <c r="K413" s="13">
        <v>7</v>
      </c>
      <c r="L413" s="13">
        <v>9</v>
      </c>
      <c r="M413" s="13" t="s">
        <v>1687</v>
      </c>
    </row>
    <row r="414" spans="2:13" ht="15.75" hidden="1" outlineLevel="1" x14ac:dyDescent="0.3">
      <c r="B414" s="13" t="s">
        <v>636</v>
      </c>
      <c r="C414" s="13" t="s">
        <v>1461</v>
      </c>
      <c r="D414" s="13" t="s">
        <v>71</v>
      </c>
      <c r="E414" s="13" t="s">
        <v>593</v>
      </c>
      <c r="F414" s="13" t="s">
        <v>162</v>
      </c>
      <c r="G414" s="13" t="s">
        <v>1655</v>
      </c>
      <c r="H414" s="13" t="s">
        <v>1656</v>
      </c>
      <c r="I414" s="13">
        <v>2024</v>
      </c>
      <c r="J414" s="13" t="s">
        <v>1462</v>
      </c>
      <c r="K414" s="13">
        <v>6</v>
      </c>
      <c r="L414" s="13">
        <v>9</v>
      </c>
      <c r="M414" s="13" t="s">
        <v>1688</v>
      </c>
    </row>
    <row r="415" spans="2:13" ht="15.75" hidden="1" outlineLevel="1" x14ac:dyDescent="0.3">
      <c r="B415" s="13" t="s">
        <v>591</v>
      </c>
      <c r="C415" s="13" t="s">
        <v>1461</v>
      </c>
      <c r="D415" s="13" t="s">
        <v>71</v>
      </c>
      <c r="E415" s="13" t="s">
        <v>556</v>
      </c>
      <c r="F415" s="13" t="s">
        <v>308</v>
      </c>
      <c r="G415" s="13" t="s">
        <v>1655</v>
      </c>
      <c r="H415" s="13" t="s">
        <v>1656</v>
      </c>
      <c r="I415" s="13">
        <v>2024</v>
      </c>
      <c r="J415" s="13" t="s">
        <v>1462</v>
      </c>
      <c r="K415" s="13">
        <v>5</v>
      </c>
      <c r="L415" s="13">
        <v>9</v>
      </c>
      <c r="M415" s="13" t="s">
        <v>1689</v>
      </c>
    </row>
    <row r="416" spans="2:13" ht="15.75" hidden="1" outlineLevel="1" x14ac:dyDescent="0.3">
      <c r="B416" s="13" t="s">
        <v>766</v>
      </c>
      <c r="C416" s="13" t="s">
        <v>1461</v>
      </c>
      <c r="D416" s="13" t="s">
        <v>71</v>
      </c>
      <c r="E416" s="13" t="s">
        <v>729</v>
      </c>
      <c r="F416" s="13" t="s">
        <v>162</v>
      </c>
      <c r="G416" s="13" t="s">
        <v>1655</v>
      </c>
      <c r="H416" s="13" t="s">
        <v>1656</v>
      </c>
      <c r="I416" s="13">
        <v>2024</v>
      </c>
      <c r="J416" s="13" t="s">
        <v>1462</v>
      </c>
      <c r="K416" s="13">
        <v>9</v>
      </c>
      <c r="L416" s="13">
        <v>9</v>
      </c>
      <c r="M416" s="13" t="s">
        <v>1690</v>
      </c>
    </row>
    <row r="417" spans="2:13" ht="15.75" hidden="1" outlineLevel="1" x14ac:dyDescent="0.3">
      <c r="B417" s="13" t="s">
        <v>425</v>
      </c>
      <c r="C417" s="13" t="s">
        <v>1461</v>
      </c>
      <c r="D417" s="13" t="s">
        <v>71</v>
      </c>
      <c r="E417" s="13" t="s">
        <v>373</v>
      </c>
      <c r="F417" s="13" t="s">
        <v>308</v>
      </c>
      <c r="G417" s="13" t="s">
        <v>1655</v>
      </c>
      <c r="H417" s="13" t="s">
        <v>1656</v>
      </c>
      <c r="I417" s="13">
        <v>2024</v>
      </c>
      <c r="J417" s="13" t="s">
        <v>1462</v>
      </c>
      <c r="K417" s="13">
        <v>10</v>
      </c>
      <c r="L417" s="13">
        <v>9</v>
      </c>
      <c r="M417" s="13" t="s">
        <v>1691</v>
      </c>
    </row>
    <row r="418" spans="2:13" ht="15.75" hidden="1" outlineLevel="1" x14ac:dyDescent="0.3">
      <c r="B418" s="13" t="s">
        <v>518</v>
      </c>
      <c r="C418" s="13" t="s">
        <v>1465</v>
      </c>
      <c r="D418" s="13" t="s">
        <v>71</v>
      </c>
      <c r="E418" s="13" t="s">
        <v>519</v>
      </c>
      <c r="F418" s="13" t="s">
        <v>308</v>
      </c>
      <c r="G418" s="13" t="s">
        <v>1655</v>
      </c>
      <c r="H418" s="13" t="s">
        <v>1656</v>
      </c>
      <c r="I418" s="13">
        <v>2024</v>
      </c>
      <c r="J418" s="13" t="s">
        <v>1466</v>
      </c>
      <c r="K418" s="13">
        <v>4</v>
      </c>
      <c r="L418" s="13">
        <v>10</v>
      </c>
      <c r="M418" s="13" t="s">
        <v>1467</v>
      </c>
    </row>
    <row r="419" spans="2:13" ht="15.75" hidden="1" outlineLevel="1" x14ac:dyDescent="0.3">
      <c r="B419" s="13" t="s">
        <v>555</v>
      </c>
      <c r="C419" s="13" t="s">
        <v>1465</v>
      </c>
      <c r="D419" s="13" t="s">
        <v>71</v>
      </c>
      <c r="E419" s="13" t="s">
        <v>556</v>
      </c>
      <c r="F419" s="13" t="s">
        <v>308</v>
      </c>
      <c r="G419" s="13" t="s">
        <v>1655</v>
      </c>
      <c r="H419" s="13" t="s">
        <v>1656</v>
      </c>
      <c r="I419" s="13">
        <v>2024</v>
      </c>
      <c r="J419" s="13" t="s">
        <v>1466</v>
      </c>
      <c r="K419" s="13">
        <v>5</v>
      </c>
      <c r="L419" s="13">
        <v>10</v>
      </c>
      <c r="M419" s="13" t="s">
        <v>1692</v>
      </c>
    </row>
    <row r="420" spans="2:13" ht="15.75" hidden="1" outlineLevel="1" x14ac:dyDescent="0.3">
      <c r="B420" s="13" t="s">
        <v>372</v>
      </c>
      <c r="C420" s="13" t="s">
        <v>1465</v>
      </c>
      <c r="D420" s="13" t="s">
        <v>71</v>
      </c>
      <c r="E420" s="13" t="s">
        <v>373</v>
      </c>
      <c r="F420" s="13" t="s">
        <v>308</v>
      </c>
      <c r="G420" s="13" t="s">
        <v>1655</v>
      </c>
      <c r="H420" s="13" t="s">
        <v>1656</v>
      </c>
      <c r="I420" s="13">
        <v>2024</v>
      </c>
      <c r="J420" s="13" t="s">
        <v>1466</v>
      </c>
      <c r="K420" s="13">
        <v>10</v>
      </c>
      <c r="L420" s="13">
        <v>10</v>
      </c>
      <c r="M420" s="13" t="s">
        <v>1693</v>
      </c>
    </row>
    <row r="421" spans="2:13" ht="15.75" hidden="1" outlineLevel="1" x14ac:dyDescent="0.3">
      <c r="B421" s="13" t="s">
        <v>592</v>
      </c>
      <c r="C421" s="13" t="s">
        <v>1465</v>
      </c>
      <c r="D421" s="13" t="s">
        <v>71</v>
      </c>
      <c r="E421" s="13" t="s">
        <v>593</v>
      </c>
      <c r="F421" s="13" t="s">
        <v>308</v>
      </c>
      <c r="G421" s="13" t="s">
        <v>1655</v>
      </c>
      <c r="H421" s="13" t="s">
        <v>1656</v>
      </c>
      <c r="I421" s="13">
        <v>2024</v>
      </c>
      <c r="J421" s="13" t="s">
        <v>1466</v>
      </c>
      <c r="K421" s="13">
        <v>6</v>
      </c>
      <c r="L421" s="13">
        <v>10</v>
      </c>
      <c r="M421" s="13" t="s">
        <v>1694</v>
      </c>
    </row>
    <row r="422" spans="2:13" ht="15.75" hidden="1" outlineLevel="1" x14ac:dyDescent="0.3">
      <c r="B422" s="13" t="s">
        <v>637</v>
      </c>
      <c r="C422" s="13" t="s">
        <v>1465</v>
      </c>
      <c r="D422" s="13" t="s">
        <v>71</v>
      </c>
      <c r="E422" s="13" t="s">
        <v>638</v>
      </c>
      <c r="F422" s="13" t="s">
        <v>142</v>
      </c>
      <c r="G422" s="13" t="s">
        <v>1655</v>
      </c>
      <c r="H422" s="13" t="s">
        <v>1656</v>
      </c>
      <c r="I422" s="13">
        <v>2024</v>
      </c>
      <c r="J422" s="13" t="s">
        <v>1466</v>
      </c>
      <c r="K422" s="13">
        <v>7</v>
      </c>
      <c r="L422" s="13">
        <v>10</v>
      </c>
      <c r="M422" s="13" t="s">
        <v>1695</v>
      </c>
    </row>
    <row r="423" spans="2:13" ht="15.75" hidden="1" outlineLevel="1" x14ac:dyDescent="0.3">
      <c r="B423" s="13" t="s">
        <v>426</v>
      </c>
      <c r="C423" s="13" t="s">
        <v>1465</v>
      </c>
      <c r="D423" s="13" t="s">
        <v>71</v>
      </c>
      <c r="E423" s="13" t="s">
        <v>13</v>
      </c>
      <c r="F423" s="13" t="s">
        <v>142</v>
      </c>
      <c r="G423" s="13" t="s">
        <v>1655</v>
      </c>
      <c r="H423" s="13" t="s">
        <v>1656</v>
      </c>
      <c r="I423" s="13">
        <v>2024</v>
      </c>
      <c r="J423" s="13" t="s">
        <v>1466</v>
      </c>
      <c r="K423" s="13">
        <v>11</v>
      </c>
      <c r="L423" s="13">
        <v>10</v>
      </c>
      <c r="M423" s="13" t="s">
        <v>1696</v>
      </c>
    </row>
    <row r="424" spans="2:13" ht="15.75" hidden="1" outlineLevel="1" x14ac:dyDescent="0.3">
      <c r="B424" s="13" t="s">
        <v>680</v>
      </c>
      <c r="C424" s="13" t="s">
        <v>1465</v>
      </c>
      <c r="D424" s="13" t="s">
        <v>71</v>
      </c>
      <c r="E424" s="13" t="s">
        <v>681</v>
      </c>
      <c r="F424" s="13" t="s">
        <v>308</v>
      </c>
      <c r="G424" s="13" t="s">
        <v>1655</v>
      </c>
      <c r="H424" s="13" t="s">
        <v>1656</v>
      </c>
      <c r="I424" s="13">
        <v>2024</v>
      </c>
      <c r="J424" s="13" t="s">
        <v>1466</v>
      </c>
      <c r="K424" s="13">
        <v>8</v>
      </c>
      <c r="L424" s="13">
        <v>10</v>
      </c>
      <c r="M424" s="13" t="s">
        <v>1697</v>
      </c>
    </row>
    <row r="425" spans="2:13" ht="15.75" hidden="1" outlineLevel="1" x14ac:dyDescent="0.3">
      <c r="B425" s="13" t="s">
        <v>477</v>
      </c>
      <c r="C425" s="13" t="s">
        <v>1465</v>
      </c>
      <c r="D425" s="13" t="s">
        <v>71</v>
      </c>
      <c r="E425" s="13" t="s">
        <v>478</v>
      </c>
      <c r="F425" s="13" t="s">
        <v>308</v>
      </c>
      <c r="G425" s="13" t="s">
        <v>1655</v>
      </c>
      <c r="H425" s="13" t="s">
        <v>1656</v>
      </c>
      <c r="I425" s="13">
        <v>2024</v>
      </c>
      <c r="J425" s="13" t="s">
        <v>1466</v>
      </c>
      <c r="K425" s="13">
        <v>3</v>
      </c>
      <c r="L425" s="13">
        <v>10</v>
      </c>
      <c r="M425" s="13" t="s">
        <v>1468</v>
      </c>
    </row>
    <row r="426" spans="2:13" ht="15.75" hidden="1" outlineLevel="1" x14ac:dyDescent="0.3">
      <c r="B426" s="13" t="s">
        <v>728</v>
      </c>
      <c r="C426" s="13" t="s">
        <v>1465</v>
      </c>
      <c r="D426" s="13" t="s">
        <v>71</v>
      </c>
      <c r="E426" s="13" t="s">
        <v>729</v>
      </c>
      <c r="F426" s="13" t="s">
        <v>142</v>
      </c>
      <c r="G426" s="13" t="s">
        <v>1655</v>
      </c>
      <c r="H426" s="13" t="s">
        <v>1656</v>
      </c>
      <c r="I426" s="13">
        <v>2024</v>
      </c>
      <c r="J426" s="13" t="s">
        <v>1466</v>
      </c>
      <c r="K426" s="13">
        <v>9</v>
      </c>
      <c r="L426" s="13">
        <v>10</v>
      </c>
      <c r="M426" s="13" t="s">
        <v>1698</v>
      </c>
    </row>
    <row r="427" spans="2:13" ht="15.75" hidden="1" outlineLevel="1" x14ac:dyDescent="0.3">
      <c r="B427" s="13" t="s">
        <v>594</v>
      </c>
      <c r="C427" s="13" t="s">
        <v>1699</v>
      </c>
      <c r="D427" s="13" t="s">
        <v>71</v>
      </c>
      <c r="E427" s="13" t="s">
        <v>593</v>
      </c>
      <c r="F427" s="13" t="s">
        <v>595</v>
      </c>
      <c r="G427" s="13" t="s">
        <v>1655</v>
      </c>
      <c r="H427" s="13" t="s">
        <v>1656</v>
      </c>
      <c r="I427" s="13">
        <v>2024</v>
      </c>
      <c r="J427" s="13" t="s">
        <v>1700</v>
      </c>
      <c r="K427" s="13">
        <v>6</v>
      </c>
      <c r="L427" s="13">
        <v>11</v>
      </c>
      <c r="M427" s="13" t="s">
        <v>1701</v>
      </c>
    </row>
    <row r="428" spans="2:13" ht="15.75" hidden="1" outlineLevel="1" x14ac:dyDescent="0.3">
      <c r="B428" s="13" t="s">
        <v>639</v>
      </c>
      <c r="C428" s="13" t="s">
        <v>1699</v>
      </c>
      <c r="D428" s="13" t="s">
        <v>71</v>
      </c>
      <c r="E428" s="13" t="s">
        <v>638</v>
      </c>
      <c r="F428" s="13" t="s">
        <v>640</v>
      </c>
      <c r="G428" s="13" t="s">
        <v>1655</v>
      </c>
      <c r="H428" s="13" t="s">
        <v>1656</v>
      </c>
      <c r="I428" s="13">
        <v>2024</v>
      </c>
      <c r="J428" s="13" t="s">
        <v>1700</v>
      </c>
      <c r="K428" s="13">
        <v>7</v>
      </c>
      <c r="L428" s="13">
        <v>11</v>
      </c>
      <c r="M428" s="13" t="s">
        <v>1702</v>
      </c>
    </row>
    <row r="429" spans="2:13" ht="15.75" hidden="1" outlineLevel="1" x14ac:dyDescent="0.3">
      <c r="B429" s="13" t="s">
        <v>520</v>
      </c>
      <c r="C429" s="13" t="s">
        <v>1699</v>
      </c>
      <c r="D429" s="13" t="s">
        <v>71</v>
      </c>
      <c r="E429" s="13" t="s">
        <v>519</v>
      </c>
      <c r="F429" s="13" t="s">
        <v>308</v>
      </c>
      <c r="G429" s="13" t="s">
        <v>1655</v>
      </c>
      <c r="H429" s="13" t="s">
        <v>1656</v>
      </c>
      <c r="I429" s="13">
        <v>2024</v>
      </c>
      <c r="J429" s="13" t="s">
        <v>1700</v>
      </c>
      <c r="K429" s="13">
        <v>4</v>
      </c>
      <c r="L429" s="13">
        <v>11</v>
      </c>
      <c r="M429" s="13" t="s">
        <v>1703</v>
      </c>
    </row>
    <row r="430" spans="2:13" ht="15.75" hidden="1" outlineLevel="1" x14ac:dyDescent="0.3">
      <c r="B430" s="13" t="s">
        <v>557</v>
      </c>
      <c r="C430" s="13" t="s">
        <v>1699</v>
      </c>
      <c r="D430" s="13" t="s">
        <v>71</v>
      </c>
      <c r="E430" s="13" t="s">
        <v>556</v>
      </c>
      <c r="F430" s="13" t="s">
        <v>308</v>
      </c>
      <c r="G430" s="13" t="s">
        <v>1655</v>
      </c>
      <c r="H430" s="13" t="s">
        <v>1656</v>
      </c>
      <c r="I430" s="13">
        <v>2024</v>
      </c>
      <c r="J430" s="13" t="s">
        <v>1700</v>
      </c>
      <c r="K430" s="13">
        <v>5</v>
      </c>
      <c r="L430" s="13">
        <v>11</v>
      </c>
      <c r="M430" s="13" t="s">
        <v>1704</v>
      </c>
    </row>
    <row r="431" spans="2:13" ht="15.75" hidden="1" outlineLevel="1" x14ac:dyDescent="0.3">
      <c r="B431" s="13" t="s">
        <v>374</v>
      </c>
      <c r="C431" s="13" t="s">
        <v>1699</v>
      </c>
      <c r="D431" s="13" t="s">
        <v>71</v>
      </c>
      <c r="E431" s="13" t="s">
        <v>373</v>
      </c>
      <c r="F431" s="13" t="s">
        <v>308</v>
      </c>
      <c r="G431" s="13" t="s">
        <v>1655</v>
      </c>
      <c r="H431" s="13" t="s">
        <v>1656</v>
      </c>
      <c r="I431" s="13">
        <v>2024</v>
      </c>
      <c r="J431" s="13" t="s">
        <v>1700</v>
      </c>
      <c r="K431" s="13">
        <v>10</v>
      </c>
      <c r="L431" s="13">
        <v>11</v>
      </c>
      <c r="M431" s="13" t="s">
        <v>1705</v>
      </c>
    </row>
    <row r="432" spans="2:13" ht="15.75" hidden="1" outlineLevel="1" x14ac:dyDescent="0.3">
      <c r="B432" s="13" t="s">
        <v>479</v>
      </c>
      <c r="C432" s="13" t="s">
        <v>1699</v>
      </c>
      <c r="D432" s="13" t="s">
        <v>71</v>
      </c>
      <c r="E432" s="13" t="s">
        <v>478</v>
      </c>
      <c r="F432" s="13" t="s">
        <v>308</v>
      </c>
      <c r="G432" s="13" t="s">
        <v>1655</v>
      </c>
      <c r="H432" s="13" t="s">
        <v>1656</v>
      </c>
      <c r="I432" s="13">
        <v>2024</v>
      </c>
      <c r="J432" s="13" t="s">
        <v>1700</v>
      </c>
      <c r="K432" s="13">
        <v>3</v>
      </c>
      <c r="L432" s="13">
        <v>11</v>
      </c>
      <c r="M432" s="13" t="s">
        <v>1706</v>
      </c>
    </row>
    <row r="433" spans="2:13" ht="15.75" hidden="1" outlineLevel="1" x14ac:dyDescent="0.3">
      <c r="B433" s="13" t="s">
        <v>730</v>
      </c>
      <c r="C433" s="13" t="s">
        <v>1699</v>
      </c>
      <c r="D433" s="13" t="s">
        <v>71</v>
      </c>
      <c r="E433" s="13" t="s">
        <v>729</v>
      </c>
      <c r="F433" s="13" t="s">
        <v>428</v>
      </c>
      <c r="G433" s="13" t="s">
        <v>1655</v>
      </c>
      <c r="H433" s="13" t="s">
        <v>1656</v>
      </c>
      <c r="I433" s="13">
        <v>2024</v>
      </c>
      <c r="J433" s="13" t="s">
        <v>1700</v>
      </c>
      <c r="K433" s="13">
        <v>9</v>
      </c>
      <c r="L433" s="13">
        <v>11</v>
      </c>
      <c r="M433" s="13" t="s">
        <v>1707</v>
      </c>
    </row>
    <row r="434" spans="2:13" ht="15.75" hidden="1" outlineLevel="1" x14ac:dyDescent="0.3">
      <c r="B434" s="13" t="s">
        <v>427</v>
      </c>
      <c r="C434" s="13" t="s">
        <v>1699</v>
      </c>
      <c r="D434" s="13" t="s">
        <v>71</v>
      </c>
      <c r="E434" s="13" t="s">
        <v>13</v>
      </c>
      <c r="F434" s="13" t="s">
        <v>428</v>
      </c>
      <c r="G434" s="13" t="s">
        <v>1655</v>
      </c>
      <c r="H434" s="13" t="s">
        <v>1656</v>
      </c>
      <c r="I434" s="13">
        <v>2024</v>
      </c>
      <c r="J434" s="13" t="s">
        <v>1700</v>
      </c>
      <c r="K434" s="13">
        <v>11</v>
      </c>
      <c r="L434" s="13">
        <v>11</v>
      </c>
      <c r="M434" s="13" t="s">
        <v>1708</v>
      </c>
    </row>
    <row r="435" spans="2:13" ht="15.75" hidden="1" outlineLevel="1" x14ac:dyDescent="0.3">
      <c r="B435" s="13" t="s">
        <v>682</v>
      </c>
      <c r="C435" s="13" t="s">
        <v>1699</v>
      </c>
      <c r="D435" s="13" t="s">
        <v>71</v>
      </c>
      <c r="E435" s="13" t="s">
        <v>681</v>
      </c>
      <c r="F435" s="13" t="s">
        <v>158</v>
      </c>
      <c r="G435" s="13" t="s">
        <v>1655</v>
      </c>
      <c r="H435" s="13" t="s">
        <v>1656</v>
      </c>
      <c r="I435" s="13">
        <v>2024</v>
      </c>
      <c r="J435" s="13" t="s">
        <v>1700</v>
      </c>
      <c r="K435" s="13">
        <v>8</v>
      </c>
      <c r="L435" s="13">
        <v>11</v>
      </c>
      <c r="M435" s="13" t="s">
        <v>1709</v>
      </c>
    </row>
    <row r="436" spans="2:13" ht="15.75" hidden="1" outlineLevel="1" x14ac:dyDescent="0.3">
      <c r="B436" s="13" t="s">
        <v>558</v>
      </c>
      <c r="C436" s="13" t="s">
        <v>1473</v>
      </c>
      <c r="D436" s="13" t="s">
        <v>71</v>
      </c>
      <c r="E436" s="13" t="s">
        <v>556</v>
      </c>
      <c r="F436" s="13" t="s">
        <v>308</v>
      </c>
      <c r="G436" s="13" t="s">
        <v>1655</v>
      </c>
      <c r="H436" s="13" t="s">
        <v>1656</v>
      </c>
      <c r="I436" s="13">
        <v>2024</v>
      </c>
      <c r="J436" s="13" t="s">
        <v>1474</v>
      </c>
      <c r="K436" s="13">
        <v>5</v>
      </c>
      <c r="L436" s="13">
        <v>12</v>
      </c>
      <c r="M436" s="13" t="s">
        <v>1710</v>
      </c>
    </row>
    <row r="437" spans="2:13" ht="15.75" hidden="1" outlineLevel="1" x14ac:dyDescent="0.3">
      <c r="B437" s="13" t="s">
        <v>376</v>
      </c>
      <c r="C437" s="13" t="s">
        <v>1473</v>
      </c>
      <c r="D437" s="13" t="s">
        <v>71</v>
      </c>
      <c r="E437" s="13" t="s">
        <v>373</v>
      </c>
      <c r="F437" s="13" t="s">
        <v>377</v>
      </c>
      <c r="G437" s="13" t="s">
        <v>1655</v>
      </c>
      <c r="H437" s="13" t="s">
        <v>1656</v>
      </c>
      <c r="I437" s="13">
        <v>2024</v>
      </c>
      <c r="J437" s="13" t="s">
        <v>1474</v>
      </c>
      <c r="K437" s="13">
        <v>10</v>
      </c>
      <c r="L437" s="13">
        <v>12</v>
      </c>
      <c r="M437" s="13" t="s">
        <v>1711</v>
      </c>
    </row>
    <row r="438" spans="2:13" ht="15.75" hidden="1" outlineLevel="1" x14ac:dyDescent="0.3">
      <c r="B438" s="13" t="s">
        <v>429</v>
      </c>
      <c r="C438" s="13" t="s">
        <v>1473</v>
      </c>
      <c r="D438" s="13" t="s">
        <v>71</v>
      </c>
      <c r="E438" s="13" t="s">
        <v>13</v>
      </c>
      <c r="F438" s="13" t="s">
        <v>146</v>
      </c>
      <c r="G438" s="13" t="s">
        <v>1655</v>
      </c>
      <c r="H438" s="13" t="s">
        <v>1656</v>
      </c>
      <c r="I438" s="13">
        <v>2024</v>
      </c>
      <c r="J438" s="13" t="s">
        <v>1474</v>
      </c>
      <c r="K438" s="13">
        <v>11</v>
      </c>
      <c r="L438" s="13">
        <v>12</v>
      </c>
      <c r="M438" s="13" t="s">
        <v>1712</v>
      </c>
    </row>
    <row r="439" spans="2:13" ht="15.75" hidden="1" outlineLevel="1" x14ac:dyDescent="0.3">
      <c r="B439" s="13" t="s">
        <v>521</v>
      </c>
      <c r="C439" s="13" t="s">
        <v>1473</v>
      </c>
      <c r="D439" s="13" t="s">
        <v>71</v>
      </c>
      <c r="E439" s="13" t="s">
        <v>519</v>
      </c>
      <c r="F439" s="13" t="s">
        <v>308</v>
      </c>
      <c r="G439" s="13" t="s">
        <v>1655</v>
      </c>
      <c r="H439" s="13" t="s">
        <v>1656</v>
      </c>
      <c r="I439" s="13">
        <v>2024</v>
      </c>
      <c r="J439" s="13" t="s">
        <v>1474</v>
      </c>
      <c r="K439" s="13">
        <v>4</v>
      </c>
      <c r="L439" s="13">
        <v>12</v>
      </c>
      <c r="M439" s="13" t="s">
        <v>1475</v>
      </c>
    </row>
    <row r="440" spans="2:13" ht="15.75" hidden="1" outlineLevel="1" x14ac:dyDescent="0.3">
      <c r="B440" s="13" t="s">
        <v>641</v>
      </c>
      <c r="C440" s="13" t="s">
        <v>1473</v>
      </c>
      <c r="D440" s="13" t="s">
        <v>71</v>
      </c>
      <c r="E440" s="13" t="s">
        <v>638</v>
      </c>
      <c r="F440" s="13" t="s">
        <v>642</v>
      </c>
      <c r="G440" s="13" t="s">
        <v>1655</v>
      </c>
      <c r="H440" s="13" t="s">
        <v>1656</v>
      </c>
      <c r="I440" s="13">
        <v>2024</v>
      </c>
      <c r="J440" s="13" t="s">
        <v>1474</v>
      </c>
      <c r="K440" s="13">
        <v>7</v>
      </c>
      <c r="L440" s="13">
        <v>12</v>
      </c>
      <c r="M440" s="13" t="s">
        <v>1713</v>
      </c>
    </row>
    <row r="441" spans="2:13" ht="15.75" hidden="1" outlineLevel="1" x14ac:dyDescent="0.3">
      <c r="B441" s="13" t="s">
        <v>596</v>
      </c>
      <c r="C441" s="13" t="s">
        <v>1473</v>
      </c>
      <c r="D441" s="13" t="s">
        <v>71</v>
      </c>
      <c r="E441" s="13" t="s">
        <v>593</v>
      </c>
      <c r="F441" s="13" t="s">
        <v>597</v>
      </c>
      <c r="G441" s="13" t="s">
        <v>1655</v>
      </c>
      <c r="H441" s="13" t="s">
        <v>1656</v>
      </c>
      <c r="I441" s="13">
        <v>2024</v>
      </c>
      <c r="J441" s="13" t="s">
        <v>1474</v>
      </c>
      <c r="K441" s="13">
        <v>6</v>
      </c>
      <c r="L441" s="13">
        <v>12</v>
      </c>
      <c r="M441" s="13" t="s">
        <v>1714</v>
      </c>
    </row>
    <row r="442" spans="2:13" ht="15.75" hidden="1" outlineLevel="1" x14ac:dyDescent="0.3">
      <c r="B442" s="13" t="s">
        <v>683</v>
      </c>
      <c r="C442" s="13" t="s">
        <v>1473</v>
      </c>
      <c r="D442" s="13" t="s">
        <v>71</v>
      </c>
      <c r="E442" s="13" t="s">
        <v>681</v>
      </c>
      <c r="F442" s="13" t="s">
        <v>684</v>
      </c>
      <c r="G442" s="13" t="s">
        <v>1655</v>
      </c>
      <c r="H442" s="13" t="s">
        <v>1656</v>
      </c>
      <c r="I442" s="13">
        <v>2024</v>
      </c>
      <c r="J442" s="13" t="s">
        <v>1474</v>
      </c>
      <c r="K442" s="13">
        <v>8</v>
      </c>
      <c r="L442" s="13">
        <v>12</v>
      </c>
      <c r="M442" s="13" t="s">
        <v>1715</v>
      </c>
    </row>
    <row r="443" spans="2:13" ht="15.75" hidden="1" outlineLevel="1" x14ac:dyDescent="0.3">
      <c r="B443" s="13" t="s">
        <v>731</v>
      </c>
      <c r="C443" s="13" t="s">
        <v>1473</v>
      </c>
      <c r="D443" s="13" t="s">
        <v>71</v>
      </c>
      <c r="E443" s="13" t="s">
        <v>729</v>
      </c>
      <c r="F443" s="13" t="s">
        <v>732</v>
      </c>
      <c r="G443" s="13" t="s">
        <v>1655</v>
      </c>
      <c r="H443" s="13" t="s">
        <v>1656</v>
      </c>
      <c r="I443" s="13">
        <v>2024</v>
      </c>
      <c r="J443" s="13" t="s">
        <v>1474</v>
      </c>
      <c r="K443" s="13">
        <v>9</v>
      </c>
      <c r="L443" s="13">
        <v>12</v>
      </c>
      <c r="M443" s="13" t="s">
        <v>1716</v>
      </c>
    </row>
    <row r="444" spans="2:13" ht="15.75" hidden="1" outlineLevel="1" x14ac:dyDescent="0.3">
      <c r="B444" s="13" t="s">
        <v>480</v>
      </c>
      <c r="C444" s="13" t="s">
        <v>1473</v>
      </c>
      <c r="D444" s="13" t="s">
        <v>71</v>
      </c>
      <c r="E444" s="13" t="s">
        <v>478</v>
      </c>
      <c r="F444" s="13" t="s">
        <v>308</v>
      </c>
      <c r="G444" s="13" t="s">
        <v>1655</v>
      </c>
      <c r="H444" s="13" t="s">
        <v>1656</v>
      </c>
      <c r="I444" s="13">
        <v>2024</v>
      </c>
      <c r="J444" s="13" t="s">
        <v>1474</v>
      </c>
      <c r="K444" s="13">
        <v>3</v>
      </c>
      <c r="L444" s="13">
        <v>12</v>
      </c>
      <c r="M444" s="13" t="s">
        <v>1476</v>
      </c>
    </row>
    <row r="445" spans="2:13" ht="15.75" hidden="1" outlineLevel="1" x14ac:dyDescent="0.3">
      <c r="B445" s="13" t="s">
        <v>559</v>
      </c>
      <c r="C445" s="13" t="s">
        <v>1477</v>
      </c>
      <c r="D445" s="13" t="s">
        <v>71</v>
      </c>
      <c r="E445" s="13" t="s">
        <v>556</v>
      </c>
      <c r="F445" s="13" t="s">
        <v>308</v>
      </c>
      <c r="G445" s="13" t="s">
        <v>1655</v>
      </c>
      <c r="H445" s="13" t="s">
        <v>1656</v>
      </c>
      <c r="I445" s="13">
        <v>2024</v>
      </c>
      <c r="J445" s="13" t="s">
        <v>1448</v>
      </c>
      <c r="K445" s="13">
        <v>5</v>
      </c>
      <c r="L445" s="13">
        <v>13</v>
      </c>
      <c r="M445" s="13" t="s">
        <v>1717</v>
      </c>
    </row>
    <row r="446" spans="2:13" ht="15.75" hidden="1" outlineLevel="1" x14ac:dyDescent="0.3">
      <c r="B446" s="13" t="s">
        <v>685</v>
      </c>
      <c r="C446" s="13" t="s">
        <v>1477</v>
      </c>
      <c r="D446" s="13" t="s">
        <v>71</v>
      </c>
      <c r="E446" s="13" t="s">
        <v>681</v>
      </c>
      <c r="F446" s="13" t="s">
        <v>686</v>
      </c>
      <c r="G446" s="13" t="s">
        <v>1655</v>
      </c>
      <c r="H446" s="13" t="s">
        <v>1656</v>
      </c>
      <c r="I446" s="13">
        <v>2024</v>
      </c>
      <c r="J446" s="13" t="s">
        <v>1448</v>
      </c>
      <c r="K446" s="13">
        <v>8</v>
      </c>
      <c r="L446" s="13">
        <v>13</v>
      </c>
      <c r="M446" s="13" t="s">
        <v>1718</v>
      </c>
    </row>
    <row r="447" spans="2:13" ht="15.75" hidden="1" outlineLevel="1" x14ac:dyDescent="0.3">
      <c r="B447" s="13" t="s">
        <v>598</v>
      </c>
      <c r="C447" s="13" t="s">
        <v>1477</v>
      </c>
      <c r="D447" s="13" t="s">
        <v>71</v>
      </c>
      <c r="E447" s="13" t="s">
        <v>593</v>
      </c>
      <c r="F447" s="13" t="s">
        <v>597</v>
      </c>
      <c r="G447" s="13" t="s">
        <v>1655</v>
      </c>
      <c r="H447" s="13" t="s">
        <v>1656</v>
      </c>
      <c r="I447" s="13">
        <v>2024</v>
      </c>
      <c r="J447" s="13" t="s">
        <v>1448</v>
      </c>
      <c r="K447" s="13">
        <v>6</v>
      </c>
      <c r="L447" s="13">
        <v>13</v>
      </c>
      <c r="M447" s="13" t="s">
        <v>1719</v>
      </c>
    </row>
    <row r="448" spans="2:13" ht="15.75" hidden="1" outlineLevel="1" x14ac:dyDescent="0.3">
      <c r="B448" s="13" t="s">
        <v>522</v>
      </c>
      <c r="C448" s="13" t="s">
        <v>1477</v>
      </c>
      <c r="D448" s="13" t="s">
        <v>71</v>
      </c>
      <c r="E448" s="13" t="s">
        <v>519</v>
      </c>
      <c r="F448" s="13" t="s">
        <v>308</v>
      </c>
      <c r="G448" s="13" t="s">
        <v>1655</v>
      </c>
      <c r="H448" s="13" t="s">
        <v>1656</v>
      </c>
      <c r="I448" s="13">
        <v>2024</v>
      </c>
      <c r="J448" s="13" t="s">
        <v>1448</v>
      </c>
      <c r="K448" s="13">
        <v>4</v>
      </c>
      <c r="L448" s="13">
        <v>13</v>
      </c>
      <c r="M448" s="13" t="s">
        <v>1478</v>
      </c>
    </row>
    <row r="449" spans="2:13" ht="15.75" hidden="1" outlineLevel="1" x14ac:dyDescent="0.3">
      <c r="B449" s="13" t="s">
        <v>430</v>
      </c>
      <c r="C449" s="13" t="s">
        <v>1477</v>
      </c>
      <c r="D449" s="13" t="s">
        <v>71</v>
      </c>
      <c r="E449" s="13" t="s">
        <v>13</v>
      </c>
      <c r="F449" s="13" t="s">
        <v>148</v>
      </c>
      <c r="G449" s="13" t="s">
        <v>1655</v>
      </c>
      <c r="H449" s="13" t="s">
        <v>1656</v>
      </c>
      <c r="I449" s="13">
        <v>2024</v>
      </c>
      <c r="J449" s="13" t="s">
        <v>1448</v>
      </c>
      <c r="K449" s="13">
        <v>11</v>
      </c>
      <c r="L449" s="13">
        <v>13</v>
      </c>
      <c r="M449" s="13" t="s">
        <v>1720</v>
      </c>
    </row>
    <row r="450" spans="2:13" ht="15.75" hidden="1" outlineLevel="1" x14ac:dyDescent="0.3">
      <c r="B450" s="13" t="s">
        <v>643</v>
      </c>
      <c r="C450" s="13" t="s">
        <v>1477</v>
      </c>
      <c r="D450" s="13" t="s">
        <v>71</v>
      </c>
      <c r="E450" s="13" t="s">
        <v>638</v>
      </c>
      <c r="F450" s="13" t="s">
        <v>642</v>
      </c>
      <c r="G450" s="13" t="s">
        <v>1655</v>
      </c>
      <c r="H450" s="13" t="s">
        <v>1656</v>
      </c>
      <c r="I450" s="13">
        <v>2024</v>
      </c>
      <c r="J450" s="13" t="s">
        <v>1448</v>
      </c>
      <c r="K450" s="13">
        <v>7</v>
      </c>
      <c r="L450" s="13">
        <v>13</v>
      </c>
      <c r="M450" s="13" t="s">
        <v>1721</v>
      </c>
    </row>
    <row r="451" spans="2:13" ht="15.75" hidden="1" outlineLevel="1" x14ac:dyDescent="0.3">
      <c r="B451" s="13" t="s">
        <v>733</v>
      </c>
      <c r="C451" s="13" t="s">
        <v>1477</v>
      </c>
      <c r="D451" s="13" t="s">
        <v>71</v>
      </c>
      <c r="E451" s="13" t="s">
        <v>729</v>
      </c>
      <c r="F451" s="13" t="s">
        <v>150</v>
      </c>
      <c r="G451" s="13" t="s">
        <v>1655</v>
      </c>
      <c r="H451" s="13" t="s">
        <v>1656</v>
      </c>
      <c r="I451" s="13">
        <v>2024</v>
      </c>
      <c r="J451" s="13" t="s">
        <v>1448</v>
      </c>
      <c r="K451" s="13">
        <v>9</v>
      </c>
      <c r="L451" s="13">
        <v>13</v>
      </c>
      <c r="M451" s="13" t="s">
        <v>1722</v>
      </c>
    </row>
    <row r="452" spans="2:13" ht="15.75" hidden="1" outlineLevel="1" x14ac:dyDescent="0.3">
      <c r="B452" s="13" t="s">
        <v>378</v>
      </c>
      <c r="C452" s="13" t="s">
        <v>1477</v>
      </c>
      <c r="D452" s="13" t="s">
        <v>71</v>
      </c>
      <c r="E452" s="13" t="s">
        <v>373</v>
      </c>
      <c r="F452" s="13" t="s">
        <v>152</v>
      </c>
      <c r="G452" s="13" t="s">
        <v>1655</v>
      </c>
      <c r="H452" s="13" t="s">
        <v>1656</v>
      </c>
      <c r="I452" s="13">
        <v>2024</v>
      </c>
      <c r="J452" s="13" t="s">
        <v>1448</v>
      </c>
      <c r="K452" s="13">
        <v>10</v>
      </c>
      <c r="L452" s="13">
        <v>13</v>
      </c>
      <c r="M452" s="13" t="s">
        <v>1723</v>
      </c>
    </row>
    <row r="453" spans="2:13" ht="15.75" hidden="1" outlineLevel="1" x14ac:dyDescent="0.3">
      <c r="B453" s="13" t="s">
        <v>481</v>
      </c>
      <c r="C453" s="13" t="s">
        <v>1477</v>
      </c>
      <c r="D453" s="13" t="s">
        <v>71</v>
      </c>
      <c r="E453" s="13" t="s">
        <v>478</v>
      </c>
      <c r="F453" s="13" t="s">
        <v>308</v>
      </c>
      <c r="G453" s="13" t="s">
        <v>1655</v>
      </c>
      <c r="H453" s="13" t="s">
        <v>1656</v>
      </c>
      <c r="I453" s="13">
        <v>2024</v>
      </c>
      <c r="J453" s="13" t="s">
        <v>1448</v>
      </c>
      <c r="K453" s="13">
        <v>3</v>
      </c>
      <c r="L453" s="13">
        <v>13</v>
      </c>
      <c r="M453" s="13" t="s">
        <v>1479</v>
      </c>
    </row>
    <row r="454" spans="2:13" ht="15.75" hidden="1" outlineLevel="1" x14ac:dyDescent="0.3">
      <c r="B454" s="13" t="s">
        <v>560</v>
      </c>
      <c r="C454" s="13" t="s">
        <v>1724</v>
      </c>
      <c r="D454" s="13" t="s">
        <v>71</v>
      </c>
      <c r="E454" s="13" t="s">
        <v>556</v>
      </c>
      <c r="F454" s="13" t="s">
        <v>308</v>
      </c>
      <c r="G454" s="13" t="s">
        <v>1655</v>
      </c>
      <c r="H454" s="13" t="s">
        <v>1656</v>
      </c>
      <c r="I454" s="13">
        <v>2024</v>
      </c>
      <c r="J454" s="13" t="s">
        <v>1725</v>
      </c>
      <c r="K454" s="13">
        <v>5</v>
      </c>
      <c r="L454" s="13">
        <v>14</v>
      </c>
      <c r="M454" s="13" t="s">
        <v>1726</v>
      </c>
    </row>
    <row r="455" spans="2:13" ht="15.75" hidden="1" outlineLevel="1" x14ac:dyDescent="0.3">
      <c r="B455" s="13" t="s">
        <v>523</v>
      </c>
      <c r="C455" s="13" t="s">
        <v>1724</v>
      </c>
      <c r="D455" s="13" t="s">
        <v>71</v>
      </c>
      <c r="E455" s="13" t="s">
        <v>519</v>
      </c>
      <c r="F455" s="13" t="s">
        <v>308</v>
      </c>
      <c r="G455" s="13" t="s">
        <v>1655</v>
      </c>
      <c r="H455" s="13" t="s">
        <v>1656</v>
      </c>
      <c r="I455" s="13">
        <v>2024</v>
      </c>
      <c r="J455" s="13" t="s">
        <v>1725</v>
      </c>
      <c r="K455" s="13">
        <v>4</v>
      </c>
      <c r="L455" s="13">
        <v>14</v>
      </c>
      <c r="M455" s="13" t="s">
        <v>1727</v>
      </c>
    </row>
    <row r="456" spans="2:13" ht="15.75" hidden="1" outlineLevel="1" x14ac:dyDescent="0.3">
      <c r="B456" s="13" t="s">
        <v>431</v>
      </c>
      <c r="C456" s="13" t="s">
        <v>1724</v>
      </c>
      <c r="D456" s="13" t="s">
        <v>71</v>
      </c>
      <c r="E456" s="13" t="s">
        <v>13</v>
      </c>
      <c r="F456" s="13" t="s">
        <v>381</v>
      </c>
      <c r="G456" s="13" t="s">
        <v>1655</v>
      </c>
      <c r="H456" s="13" t="s">
        <v>1656</v>
      </c>
      <c r="I456" s="13">
        <v>2024</v>
      </c>
      <c r="J456" s="13" t="s">
        <v>1725</v>
      </c>
      <c r="K456" s="13">
        <v>11</v>
      </c>
      <c r="L456" s="13">
        <v>14</v>
      </c>
      <c r="M456" s="13" t="s">
        <v>1728</v>
      </c>
    </row>
    <row r="457" spans="2:13" ht="15.75" hidden="1" outlineLevel="1" x14ac:dyDescent="0.3">
      <c r="B457" s="13" t="s">
        <v>734</v>
      </c>
      <c r="C457" s="13" t="s">
        <v>1724</v>
      </c>
      <c r="D457" s="13" t="s">
        <v>71</v>
      </c>
      <c r="E457" s="13" t="s">
        <v>729</v>
      </c>
      <c r="F457" s="13" t="s">
        <v>308</v>
      </c>
      <c r="G457" s="13" t="s">
        <v>1655</v>
      </c>
      <c r="H457" s="13" t="s">
        <v>1656</v>
      </c>
      <c r="I457" s="13">
        <v>2024</v>
      </c>
      <c r="J457" s="13" t="s">
        <v>1725</v>
      </c>
      <c r="K457" s="13">
        <v>9</v>
      </c>
      <c r="L457" s="13">
        <v>14</v>
      </c>
      <c r="M457" s="13" t="s">
        <v>1729</v>
      </c>
    </row>
    <row r="458" spans="2:13" ht="15.75" hidden="1" outlineLevel="1" x14ac:dyDescent="0.3">
      <c r="B458" s="13" t="s">
        <v>599</v>
      </c>
      <c r="C458" s="13" t="s">
        <v>1724</v>
      </c>
      <c r="D458" s="13" t="s">
        <v>71</v>
      </c>
      <c r="E458" s="13" t="s">
        <v>593</v>
      </c>
      <c r="F458" s="13" t="s">
        <v>308</v>
      </c>
      <c r="G458" s="13" t="s">
        <v>1655</v>
      </c>
      <c r="H458" s="13" t="s">
        <v>1656</v>
      </c>
      <c r="I458" s="13">
        <v>2024</v>
      </c>
      <c r="J458" s="13" t="s">
        <v>1725</v>
      </c>
      <c r="K458" s="13">
        <v>6</v>
      </c>
      <c r="L458" s="13">
        <v>14</v>
      </c>
      <c r="M458" s="13" t="s">
        <v>1730</v>
      </c>
    </row>
    <row r="459" spans="2:13" ht="15.75" hidden="1" outlineLevel="1" x14ac:dyDescent="0.3">
      <c r="B459" s="13" t="s">
        <v>644</v>
      </c>
      <c r="C459" s="13" t="s">
        <v>1724</v>
      </c>
      <c r="D459" s="13" t="s">
        <v>71</v>
      </c>
      <c r="E459" s="13" t="s">
        <v>638</v>
      </c>
      <c r="F459" s="13" t="s">
        <v>308</v>
      </c>
      <c r="G459" s="13" t="s">
        <v>1655</v>
      </c>
      <c r="H459" s="13" t="s">
        <v>1656</v>
      </c>
      <c r="I459" s="13">
        <v>2024</v>
      </c>
      <c r="J459" s="13" t="s">
        <v>1725</v>
      </c>
      <c r="K459" s="13">
        <v>7</v>
      </c>
      <c r="L459" s="13">
        <v>14</v>
      </c>
      <c r="M459" s="13" t="s">
        <v>1731</v>
      </c>
    </row>
    <row r="460" spans="2:13" ht="15.75" hidden="1" outlineLevel="1" x14ac:dyDescent="0.3">
      <c r="B460" s="13" t="s">
        <v>379</v>
      </c>
      <c r="C460" s="13" t="s">
        <v>1724</v>
      </c>
      <c r="D460" s="13" t="s">
        <v>71</v>
      </c>
      <c r="E460" s="13" t="s">
        <v>373</v>
      </c>
      <c r="F460" s="13" t="s">
        <v>381</v>
      </c>
      <c r="G460" s="13" t="s">
        <v>1655</v>
      </c>
      <c r="H460" s="13" t="s">
        <v>1656</v>
      </c>
      <c r="I460" s="13">
        <v>2024</v>
      </c>
      <c r="J460" s="13" t="s">
        <v>1725</v>
      </c>
      <c r="K460" s="13">
        <v>10</v>
      </c>
      <c r="L460" s="13">
        <v>14</v>
      </c>
      <c r="M460" s="13" t="s">
        <v>1732</v>
      </c>
    </row>
    <row r="461" spans="2:13" ht="15.75" hidden="1" outlineLevel="1" x14ac:dyDescent="0.3">
      <c r="B461" s="13" t="s">
        <v>687</v>
      </c>
      <c r="C461" s="13" t="s">
        <v>1724</v>
      </c>
      <c r="D461" s="13" t="s">
        <v>71</v>
      </c>
      <c r="E461" s="13" t="s">
        <v>681</v>
      </c>
      <c r="F461" s="13" t="s">
        <v>308</v>
      </c>
      <c r="G461" s="13" t="s">
        <v>1655</v>
      </c>
      <c r="H461" s="13" t="s">
        <v>1656</v>
      </c>
      <c r="I461" s="13">
        <v>2024</v>
      </c>
      <c r="J461" s="13" t="s">
        <v>1725</v>
      </c>
      <c r="K461" s="13">
        <v>8</v>
      </c>
      <c r="L461" s="13">
        <v>14</v>
      </c>
      <c r="M461" s="13" t="s">
        <v>1733</v>
      </c>
    </row>
    <row r="462" spans="2:13" ht="15.75" hidden="1" outlineLevel="1" x14ac:dyDescent="0.3">
      <c r="B462" s="13" t="s">
        <v>482</v>
      </c>
      <c r="C462" s="13" t="s">
        <v>1724</v>
      </c>
      <c r="D462" s="13" t="s">
        <v>71</v>
      </c>
      <c r="E462" s="13" t="s">
        <v>478</v>
      </c>
      <c r="F462" s="13" t="s">
        <v>308</v>
      </c>
      <c r="G462" s="13" t="s">
        <v>1655</v>
      </c>
      <c r="H462" s="13" t="s">
        <v>1656</v>
      </c>
      <c r="I462" s="13">
        <v>2024</v>
      </c>
      <c r="J462" s="13" t="s">
        <v>1725</v>
      </c>
      <c r="K462" s="13">
        <v>3</v>
      </c>
      <c r="L462" s="13">
        <v>14</v>
      </c>
      <c r="M462" s="13" t="s">
        <v>1734</v>
      </c>
    </row>
    <row r="463" spans="2:13" ht="15.75" hidden="1" outlineLevel="1" x14ac:dyDescent="0.3">
      <c r="B463" s="13" t="s">
        <v>432</v>
      </c>
      <c r="C463" s="13" t="s">
        <v>1735</v>
      </c>
      <c r="D463" s="13" t="s">
        <v>71</v>
      </c>
      <c r="E463" s="13" t="s">
        <v>13</v>
      </c>
      <c r="F463" s="13" t="s">
        <v>433</v>
      </c>
      <c r="G463" s="13" t="s">
        <v>1655</v>
      </c>
      <c r="H463" s="13" t="s">
        <v>1656</v>
      </c>
      <c r="I463" s="13">
        <v>2024</v>
      </c>
      <c r="J463" s="13" t="s">
        <v>1736</v>
      </c>
      <c r="K463" s="13">
        <v>11</v>
      </c>
      <c r="L463" s="13">
        <v>15</v>
      </c>
      <c r="M463" s="13" t="s">
        <v>1737</v>
      </c>
    </row>
    <row r="464" spans="2:13" ht="15.75" hidden="1" outlineLevel="1" x14ac:dyDescent="0.3">
      <c r="B464" s="13" t="s">
        <v>688</v>
      </c>
      <c r="C464" s="13" t="s">
        <v>1735</v>
      </c>
      <c r="D464" s="13" t="s">
        <v>71</v>
      </c>
      <c r="E464" s="13" t="s">
        <v>681</v>
      </c>
      <c r="F464" s="13" t="s">
        <v>193</v>
      </c>
      <c r="G464" s="13" t="s">
        <v>1655</v>
      </c>
      <c r="H464" s="13" t="s">
        <v>1656</v>
      </c>
      <c r="I464" s="13">
        <v>2024</v>
      </c>
      <c r="J464" s="13" t="s">
        <v>1736</v>
      </c>
      <c r="K464" s="13">
        <v>8</v>
      </c>
      <c r="L464" s="13">
        <v>15</v>
      </c>
      <c r="M464" s="13" t="s">
        <v>1738</v>
      </c>
    </row>
    <row r="465" spans="2:13" ht="15.75" hidden="1" outlineLevel="1" x14ac:dyDescent="0.3">
      <c r="B465" s="13" t="s">
        <v>645</v>
      </c>
      <c r="C465" s="13" t="s">
        <v>1735</v>
      </c>
      <c r="D465" s="13" t="s">
        <v>71</v>
      </c>
      <c r="E465" s="13" t="s">
        <v>638</v>
      </c>
      <c r="F465" s="13" t="s">
        <v>308</v>
      </c>
      <c r="G465" s="13" t="s">
        <v>1655</v>
      </c>
      <c r="H465" s="13" t="s">
        <v>1656</v>
      </c>
      <c r="I465" s="13">
        <v>2024</v>
      </c>
      <c r="J465" s="13" t="s">
        <v>1736</v>
      </c>
      <c r="K465" s="13">
        <v>7</v>
      </c>
      <c r="L465" s="13">
        <v>15</v>
      </c>
      <c r="M465" s="13" t="s">
        <v>1739</v>
      </c>
    </row>
    <row r="466" spans="2:13" ht="15.75" hidden="1" outlineLevel="1" x14ac:dyDescent="0.3">
      <c r="B466" s="13" t="s">
        <v>483</v>
      </c>
      <c r="C466" s="13" t="s">
        <v>1735</v>
      </c>
      <c r="D466" s="13" t="s">
        <v>71</v>
      </c>
      <c r="E466" s="13" t="s">
        <v>478</v>
      </c>
      <c r="F466" s="13" t="s">
        <v>308</v>
      </c>
      <c r="G466" s="13" t="s">
        <v>1655</v>
      </c>
      <c r="H466" s="13" t="s">
        <v>1656</v>
      </c>
      <c r="I466" s="13">
        <v>2024</v>
      </c>
      <c r="J466" s="13" t="s">
        <v>1736</v>
      </c>
      <c r="K466" s="13">
        <v>3</v>
      </c>
      <c r="L466" s="13">
        <v>15</v>
      </c>
      <c r="M466" s="13" t="s">
        <v>1740</v>
      </c>
    </row>
    <row r="467" spans="2:13" ht="15.75" hidden="1" outlineLevel="1" x14ac:dyDescent="0.3">
      <c r="B467" s="13" t="s">
        <v>735</v>
      </c>
      <c r="C467" s="13" t="s">
        <v>1735</v>
      </c>
      <c r="D467" s="13" t="s">
        <v>71</v>
      </c>
      <c r="E467" s="13" t="s">
        <v>729</v>
      </c>
      <c r="F467" s="13" t="s">
        <v>193</v>
      </c>
      <c r="G467" s="13" t="s">
        <v>1655</v>
      </c>
      <c r="H467" s="13" t="s">
        <v>1656</v>
      </c>
      <c r="I467" s="13">
        <v>2024</v>
      </c>
      <c r="J467" s="13" t="s">
        <v>1736</v>
      </c>
      <c r="K467" s="13">
        <v>9</v>
      </c>
      <c r="L467" s="13">
        <v>15</v>
      </c>
      <c r="M467" s="13" t="s">
        <v>1741</v>
      </c>
    </row>
    <row r="468" spans="2:13" ht="15.75" hidden="1" outlineLevel="1" x14ac:dyDescent="0.3">
      <c r="B468" s="13" t="s">
        <v>561</v>
      </c>
      <c r="C468" s="13" t="s">
        <v>1735</v>
      </c>
      <c r="D468" s="13" t="s">
        <v>71</v>
      </c>
      <c r="E468" s="13" t="s">
        <v>556</v>
      </c>
      <c r="F468" s="13" t="s">
        <v>308</v>
      </c>
      <c r="G468" s="13" t="s">
        <v>1655</v>
      </c>
      <c r="H468" s="13" t="s">
        <v>1656</v>
      </c>
      <c r="I468" s="13">
        <v>2024</v>
      </c>
      <c r="J468" s="13" t="s">
        <v>1736</v>
      </c>
      <c r="K468" s="13">
        <v>5</v>
      </c>
      <c r="L468" s="13">
        <v>15</v>
      </c>
      <c r="M468" s="13" t="s">
        <v>1742</v>
      </c>
    </row>
    <row r="469" spans="2:13" ht="15.75" hidden="1" outlineLevel="1" x14ac:dyDescent="0.3">
      <c r="B469" s="13" t="s">
        <v>600</v>
      </c>
      <c r="C469" s="13" t="s">
        <v>1735</v>
      </c>
      <c r="D469" s="13" t="s">
        <v>71</v>
      </c>
      <c r="E469" s="13" t="s">
        <v>593</v>
      </c>
      <c r="F469" s="13" t="s">
        <v>308</v>
      </c>
      <c r="G469" s="13" t="s">
        <v>1655</v>
      </c>
      <c r="H469" s="13" t="s">
        <v>1656</v>
      </c>
      <c r="I469" s="13">
        <v>2024</v>
      </c>
      <c r="J469" s="13" t="s">
        <v>1736</v>
      </c>
      <c r="K469" s="13">
        <v>6</v>
      </c>
      <c r="L469" s="13">
        <v>15</v>
      </c>
      <c r="M469" s="13" t="s">
        <v>1743</v>
      </c>
    </row>
    <row r="470" spans="2:13" ht="15.75" hidden="1" outlineLevel="1" x14ac:dyDescent="0.3">
      <c r="B470" s="13" t="s">
        <v>524</v>
      </c>
      <c r="C470" s="13" t="s">
        <v>1735</v>
      </c>
      <c r="D470" s="13" t="s">
        <v>71</v>
      </c>
      <c r="E470" s="13" t="s">
        <v>519</v>
      </c>
      <c r="F470" s="13" t="s">
        <v>308</v>
      </c>
      <c r="G470" s="13" t="s">
        <v>1655</v>
      </c>
      <c r="H470" s="13" t="s">
        <v>1656</v>
      </c>
      <c r="I470" s="13">
        <v>2024</v>
      </c>
      <c r="J470" s="13" t="s">
        <v>1736</v>
      </c>
      <c r="K470" s="13">
        <v>4</v>
      </c>
      <c r="L470" s="13">
        <v>15</v>
      </c>
      <c r="M470" s="13" t="s">
        <v>1744</v>
      </c>
    </row>
    <row r="471" spans="2:13" ht="15.75" hidden="1" outlineLevel="1" x14ac:dyDescent="0.3">
      <c r="B471" s="13" t="s">
        <v>382</v>
      </c>
      <c r="C471" s="13" t="s">
        <v>1735</v>
      </c>
      <c r="D471" s="13" t="s">
        <v>71</v>
      </c>
      <c r="E471" s="13" t="s">
        <v>373</v>
      </c>
      <c r="F471" s="13" t="s">
        <v>384</v>
      </c>
      <c r="G471" s="13" t="s">
        <v>1655</v>
      </c>
      <c r="H471" s="13" t="s">
        <v>1656</v>
      </c>
      <c r="I471" s="13">
        <v>2024</v>
      </c>
      <c r="J471" s="13" t="s">
        <v>1736</v>
      </c>
      <c r="K471" s="13">
        <v>10</v>
      </c>
      <c r="L471" s="13">
        <v>15</v>
      </c>
      <c r="M471" s="13" t="s">
        <v>1745</v>
      </c>
    </row>
    <row r="472" spans="2:13" ht="15.75" hidden="1" outlineLevel="1" x14ac:dyDescent="0.3">
      <c r="B472" s="13" t="s">
        <v>736</v>
      </c>
      <c r="C472" s="13" t="s">
        <v>1746</v>
      </c>
      <c r="D472" s="13" t="s">
        <v>71</v>
      </c>
      <c r="E472" s="13" t="s">
        <v>729</v>
      </c>
      <c r="F472" s="13" t="s">
        <v>435</v>
      </c>
      <c r="G472" s="13" t="s">
        <v>1655</v>
      </c>
      <c r="H472" s="13" t="s">
        <v>1656</v>
      </c>
      <c r="I472" s="13">
        <v>2024</v>
      </c>
      <c r="J472" s="13" t="s">
        <v>1747</v>
      </c>
      <c r="K472" s="13">
        <v>9</v>
      </c>
      <c r="L472" s="13">
        <v>16</v>
      </c>
      <c r="M472" s="13" t="s">
        <v>1748</v>
      </c>
    </row>
    <row r="473" spans="2:13" ht="15.75" hidden="1" outlineLevel="1" x14ac:dyDescent="0.3">
      <c r="B473" s="13" t="s">
        <v>525</v>
      </c>
      <c r="C473" s="13" t="s">
        <v>1746</v>
      </c>
      <c r="D473" s="13" t="s">
        <v>71</v>
      </c>
      <c r="E473" s="13" t="s">
        <v>519</v>
      </c>
      <c r="F473" s="13" t="s">
        <v>308</v>
      </c>
      <c r="G473" s="13" t="s">
        <v>1655</v>
      </c>
      <c r="H473" s="13" t="s">
        <v>1656</v>
      </c>
      <c r="I473" s="13">
        <v>2024</v>
      </c>
      <c r="J473" s="13" t="s">
        <v>1747</v>
      </c>
      <c r="K473" s="13">
        <v>4</v>
      </c>
      <c r="L473" s="13">
        <v>16</v>
      </c>
      <c r="M473" s="13" t="s">
        <v>1749</v>
      </c>
    </row>
    <row r="474" spans="2:13" ht="15.75" hidden="1" outlineLevel="1" x14ac:dyDescent="0.3">
      <c r="B474" s="13" t="s">
        <v>434</v>
      </c>
      <c r="C474" s="13" t="s">
        <v>1746</v>
      </c>
      <c r="D474" s="13" t="s">
        <v>71</v>
      </c>
      <c r="E474" s="13" t="s">
        <v>13</v>
      </c>
      <c r="F474" s="13" t="s">
        <v>435</v>
      </c>
      <c r="G474" s="13" t="s">
        <v>1655</v>
      </c>
      <c r="H474" s="13" t="s">
        <v>1656</v>
      </c>
      <c r="I474" s="13">
        <v>2024</v>
      </c>
      <c r="J474" s="13" t="s">
        <v>1747</v>
      </c>
      <c r="K474" s="13">
        <v>11</v>
      </c>
      <c r="L474" s="13">
        <v>16</v>
      </c>
      <c r="M474" s="13" t="s">
        <v>1750</v>
      </c>
    </row>
    <row r="475" spans="2:13" ht="15.75" hidden="1" outlineLevel="1" x14ac:dyDescent="0.3">
      <c r="B475" s="13" t="s">
        <v>484</v>
      </c>
      <c r="C475" s="13" t="s">
        <v>1746</v>
      </c>
      <c r="D475" s="13" t="s">
        <v>71</v>
      </c>
      <c r="E475" s="13" t="s">
        <v>478</v>
      </c>
      <c r="F475" s="13" t="s">
        <v>485</v>
      </c>
      <c r="G475" s="13" t="s">
        <v>1655</v>
      </c>
      <c r="H475" s="13" t="s">
        <v>1656</v>
      </c>
      <c r="I475" s="13">
        <v>2024</v>
      </c>
      <c r="J475" s="13" t="s">
        <v>1747</v>
      </c>
      <c r="K475" s="13">
        <v>3</v>
      </c>
      <c r="L475" s="13">
        <v>16</v>
      </c>
      <c r="M475" s="13" t="s">
        <v>1751</v>
      </c>
    </row>
    <row r="476" spans="2:13" ht="15.75" hidden="1" outlineLevel="1" x14ac:dyDescent="0.3">
      <c r="B476" s="13" t="s">
        <v>385</v>
      </c>
      <c r="C476" s="13" t="s">
        <v>1746</v>
      </c>
      <c r="D476" s="13" t="s">
        <v>71</v>
      </c>
      <c r="E476" s="13" t="s">
        <v>373</v>
      </c>
      <c r="F476" s="13" t="s">
        <v>308</v>
      </c>
      <c r="G476" s="13" t="s">
        <v>1655</v>
      </c>
      <c r="H476" s="13" t="s">
        <v>1656</v>
      </c>
      <c r="I476" s="13">
        <v>2024</v>
      </c>
      <c r="J476" s="13" t="s">
        <v>1747</v>
      </c>
      <c r="K476" s="13">
        <v>10</v>
      </c>
      <c r="L476" s="13">
        <v>16</v>
      </c>
      <c r="M476" s="13" t="s">
        <v>1752</v>
      </c>
    </row>
    <row r="477" spans="2:13" ht="15.75" hidden="1" outlineLevel="1" x14ac:dyDescent="0.3">
      <c r="B477" s="13" t="s">
        <v>689</v>
      </c>
      <c r="C477" s="13" t="s">
        <v>1746</v>
      </c>
      <c r="D477" s="13" t="s">
        <v>71</v>
      </c>
      <c r="E477" s="13" t="s">
        <v>681</v>
      </c>
      <c r="F477" s="13" t="s">
        <v>690</v>
      </c>
      <c r="G477" s="13" t="s">
        <v>1655</v>
      </c>
      <c r="H477" s="13" t="s">
        <v>1656</v>
      </c>
      <c r="I477" s="13">
        <v>2024</v>
      </c>
      <c r="J477" s="13" t="s">
        <v>1747</v>
      </c>
      <c r="K477" s="13">
        <v>8</v>
      </c>
      <c r="L477" s="13">
        <v>16</v>
      </c>
      <c r="M477" s="13" t="s">
        <v>1753</v>
      </c>
    </row>
    <row r="478" spans="2:13" ht="15.75" hidden="1" outlineLevel="1" x14ac:dyDescent="0.3">
      <c r="B478" s="13" t="s">
        <v>646</v>
      </c>
      <c r="C478" s="13" t="s">
        <v>1746</v>
      </c>
      <c r="D478" s="13" t="s">
        <v>71</v>
      </c>
      <c r="E478" s="13" t="s">
        <v>638</v>
      </c>
      <c r="F478" s="13" t="s">
        <v>308</v>
      </c>
      <c r="G478" s="13" t="s">
        <v>1655</v>
      </c>
      <c r="H478" s="13" t="s">
        <v>1656</v>
      </c>
      <c r="I478" s="13">
        <v>2024</v>
      </c>
      <c r="J478" s="13" t="s">
        <v>1747</v>
      </c>
      <c r="K478" s="13">
        <v>7</v>
      </c>
      <c r="L478" s="13">
        <v>16</v>
      </c>
      <c r="M478" s="13" t="s">
        <v>1754</v>
      </c>
    </row>
    <row r="479" spans="2:13" ht="15.75" hidden="1" outlineLevel="1" x14ac:dyDescent="0.3">
      <c r="B479" s="13" t="s">
        <v>601</v>
      </c>
      <c r="C479" s="13" t="s">
        <v>1746</v>
      </c>
      <c r="D479" s="13" t="s">
        <v>71</v>
      </c>
      <c r="E479" s="13" t="s">
        <v>593</v>
      </c>
      <c r="F479" s="13" t="s">
        <v>308</v>
      </c>
      <c r="G479" s="13" t="s">
        <v>1655</v>
      </c>
      <c r="H479" s="13" t="s">
        <v>1656</v>
      </c>
      <c r="I479" s="13">
        <v>2024</v>
      </c>
      <c r="J479" s="13" t="s">
        <v>1747</v>
      </c>
      <c r="K479" s="13">
        <v>6</v>
      </c>
      <c r="L479" s="13">
        <v>16</v>
      </c>
      <c r="M479" s="13" t="s">
        <v>1755</v>
      </c>
    </row>
    <row r="480" spans="2:13" ht="15.75" hidden="1" outlineLevel="1" x14ac:dyDescent="0.3">
      <c r="B480" s="13" t="s">
        <v>562</v>
      </c>
      <c r="C480" s="13" t="s">
        <v>1746</v>
      </c>
      <c r="D480" s="13" t="s">
        <v>71</v>
      </c>
      <c r="E480" s="13" t="s">
        <v>556</v>
      </c>
      <c r="F480" s="13" t="s">
        <v>308</v>
      </c>
      <c r="G480" s="13" t="s">
        <v>1655</v>
      </c>
      <c r="H480" s="13" t="s">
        <v>1656</v>
      </c>
      <c r="I480" s="13">
        <v>2024</v>
      </c>
      <c r="J480" s="13" t="s">
        <v>1747</v>
      </c>
      <c r="K480" s="13">
        <v>5</v>
      </c>
      <c r="L480" s="13">
        <v>16</v>
      </c>
      <c r="M480" s="13" t="s">
        <v>1756</v>
      </c>
    </row>
    <row r="481" spans="2:13" ht="15.75" hidden="1" outlineLevel="1" x14ac:dyDescent="0.3">
      <c r="B481" s="13" t="s">
        <v>387</v>
      </c>
      <c r="C481" s="13" t="s">
        <v>1757</v>
      </c>
      <c r="D481" s="13" t="s">
        <v>71</v>
      </c>
      <c r="E481" s="13" t="s">
        <v>373</v>
      </c>
      <c r="F481" s="13" t="s">
        <v>308</v>
      </c>
      <c r="G481" s="13" t="s">
        <v>1655</v>
      </c>
      <c r="H481" s="13" t="s">
        <v>1656</v>
      </c>
      <c r="I481" s="13">
        <v>2024</v>
      </c>
      <c r="J481" s="13" t="s">
        <v>1758</v>
      </c>
      <c r="K481" s="13">
        <v>10</v>
      </c>
      <c r="L481" s="13">
        <v>17</v>
      </c>
      <c r="M481" s="13" t="s">
        <v>1759</v>
      </c>
    </row>
    <row r="482" spans="2:13" ht="15.75" hidden="1" outlineLevel="1" x14ac:dyDescent="0.3">
      <c r="B482" s="13" t="s">
        <v>526</v>
      </c>
      <c r="C482" s="13" t="s">
        <v>1757</v>
      </c>
      <c r="D482" s="13" t="s">
        <v>71</v>
      </c>
      <c r="E482" s="13" t="s">
        <v>519</v>
      </c>
      <c r="F482" s="13" t="s">
        <v>308</v>
      </c>
      <c r="G482" s="13" t="s">
        <v>1655</v>
      </c>
      <c r="H482" s="13" t="s">
        <v>1656</v>
      </c>
      <c r="I482" s="13">
        <v>2024</v>
      </c>
      <c r="J482" s="13" t="s">
        <v>1758</v>
      </c>
      <c r="K482" s="13">
        <v>4</v>
      </c>
      <c r="L482" s="13">
        <v>17</v>
      </c>
      <c r="M482" s="13" t="s">
        <v>1760</v>
      </c>
    </row>
    <row r="483" spans="2:13" ht="15.75" hidden="1" outlineLevel="1" x14ac:dyDescent="0.3">
      <c r="B483" s="13" t="s">
        <v>602</v>
      </c>
      <c r="C483" s="13" t="s">
        <v>1757</v>
      </c>
      <c r="D483" s="13" t="s">
        <v>71</v>
      </c>
      <c r="E483" s="13" t="s">
        <v>593</v>
      </c>
      <c r="F483" s="13" t="s">
        <v>308</v>
      </c>
      <c r="G483" s="13" t="s">
        <v>1655</v>
      </c>
      <c r="H483" s="13" t="s">
        <v>1656</v>
      </c>
      <c r="I483" s="13">
        <v>2024</v>
      </c>
      <c r="J483" s="13" t="s">
        <v>1758</v>
      </c>
      <c r="K483" s="13">
        <v>6</v>
      </c>
      <c r="L483" s="13">
        <v>17</v>
      </c>
      <c r="M483" s="13" t="s">
        <v>1761</v>
      </c>
    </row>
    <row r="484" spans="2:13" ht="15.75" hidden="1" outlineLevel="1" x14ac:dyDescent="0.3">
      <c r="B484" s="13" t="s">
        <v>563</v>
      </c>
      <c r="C484" s="13" t="s">
        <v>1757</v>
      </c>
      <c r="D484" s="13" t="s">
        <v>71</v>
      </c>
      <c r="E484" s="13" t="s">
        <v>556</v>
      </c>
      <c r="F484" s="13" t="s">
        <v>308</v>
      </c>
      <c r="G484" s="13" t="s">
        <v>1655</v>
      </c>
      <c r="H484" s="13" t="s">
        <v>1656</v>
      </c>
      <c r="I484" s="13">
        <v>2024</v>
      </c>
      <c r="J484" s="13" t="s">
        <v>1758</v>
      </c>
      <c r="K484" s="13">
        <v>5</v>
      </c>
      <c r="L484" s="13">
        <v>17</v>
      </c>
      <c r="M484" s="13" t="s">
        <v>1762</v>
      </c>
    </row>
    <row r="485" spans="2:13" ht="15.75" hidden="1" outlineLevel="1" x14ac:dyDescent="0.3">
      <c r="B485" s="13" t="s">
        <v>486</v>
      </c>
      <c r="C485" s="13" t="s">
        <v>1757</v>
      </c>
      <c r="D485" s="13" t="s">
        <v>71</v>
      </c>
      <c r="E485" s="13" t="s">
        <v>478</v>
      </c>
      <c r="F485" s="13" t="s">
        <v>485</v>
      </c>
      <c r="G485" s="13" t="s">
        <v>1655</v>
      </c>
      <c r="H485" s="13" t="s">
        <v>1656</v>
      </c>
      <c r="I485" s="13">
        <v>2024</v>
      </c>
      <c r="J485" s="13" t="s">
        <v>1758</v>
      </c>
      <c r="K485" s="13">
        <v>3</v>
      </c>
      <c r="L485" s="13">
        <v>17</v>
      </c>
      <c r="M485" s="13" t="s">
        <v>1763</v>
      </c>
    </row>
    <row r="486" spans="2:13" ht="15.75" hidden="1" outlineLevel="1" x14ac:dyDescent="0.3">
      <c r="B486" s="13" t="s">
        <v>691</v>
      </c>
      <c r="C486" s="13" t="s">
        <v>1757</v>
      </c>
      <c r="D486" s="13" t="s">
        <v>71</v>
      </c>
      <c r="E486" s="13" t="s">
        <v>681</v>
      </c>
      <c r="F486" s="13" t="s">
        <v>692</v>
      </c>
      <c r="G486" s="13" t="s">
        <v>1655</v>
      </c>
      <c r="H486" s="13" t="s">
        <v>1656</v>
      </c>
      <c r="I486" s="13">
        <v>2024</v>
      </c>
      <c r="J486" s="13" t="s">
        <v>1758</v>
      </c>
      <c r="K486" s="13">
        <v>8</v>
      </c>
      <c r="L486" s="13">
        <v>17</v>
      </c>
      <c r="M486" s="13" t="s">
        <v>1764</v>
      </c>
    </row>
    <row r="487" spans="2:13" ht="15.75" hidden="1" outlineLevel="1" x14ac:dyDescent="0.3">
      <c r="B487" s="13" t="s">
        <v>647</v>
      </c>
      <c r="C487" s="13" t="s">
        <v>1757</v>
      </c>
      <c r="D487" s="13" t="s">
        <v>71</v>
      </c>
      <c r="E487" s="13" t="s">
        <v>638</v>
      </c>
      <c r="F487" s="13" t="s">
        <v>308</v>
      </c>
      <c r="G487" s="13" t="s">
        <v>1655</v>
      </c>
      <c r="H487" s="13" t="s">
        <v>1656</v>
      </c>
      <c r="I487" s="13">
        <v>2024</v>
      </c>
      <c r="J487" s="13" t="s">
        <v>1758</v>
      </c>
      <c r="K487" s="13">
        <v>7</v>
      </c>
      <c r="L487" s="13">
        <v>17</v>
      </c>
      <c r="M487" s="13" t="s">
        <v>1765</v>
      </c>
    </row>
    <row r="488" spans="2:13" ht="15.75" hidden="1" outlineLevel="1" x14ac:dyDescent="0.3">
      <c r="B488" s="13" t="s">
        <v>436</v>
      </c>
      <c r="C488" s="13" t="s">
        <v>1757</v>
      </c>
      <c r="D488" s="13" t="s">
        <v>71</v>
      </c>
      <c r="E488" s="13" t="s">
        <v>13</v>
      </c>
      <c r="F488" s="13" t="s">
        <v>308</v>
      </c>
      <c r="G488" s="13" t="s">
        <v>1655</v>
      </c>
      <c r="H488" s="13" t="s">
        <v>1656</v>
      </c>
      <c r="I488" s="13">
        <v>2024</v>
      </c>
      <c r="J488" s="13" t="s">
        <v>1758</v>
      </c>
      <c r="K488" s="13">
        <v>11</v>
      </c>
      <c r="L488" s="13">
        <v>17</v>
      </c>
      <c r="M488" s="13" t="s">
        <v>1766</v>
      </c>
    </row>
    <row r="489" spans="2:13" ht="15.75" hidden="1" outlineLevel="1" x14ac:dyDescent="0.3">
      <c r="B489" s="13" t="s">
        <v>737</v>
      </c>
      <c r="C489" s="13" t="s">
        <v>1757</v>
      </c>
      <c r="D489" s="13" t="s">
        <v>71</v>
      </c>
      <c r="E489" s="13" t="s">
        <v>729</v>
      </c>
      <c r="F489" s="13" t="s">
        <v>308</v>
      </c>
      <c r="G489" s="13" t="s">
        <v>1655</v>
      </c>
      <c r="H489" s="13" t="s">
        <v>1656</v>
      </c>
      <c r="I489" s="13">
        <v>2024</v>
      </c>
      <c r="J489" s="13" t="s">
        <v>1758</v>
      </c>
      <c r="K489" s="13">
        <v>9</v>
      </c>
      <c r="L489" s="13">
        <v>17</v>
      </c>
      <c r="M489" s="13" t="s">
        <v>1767</v>
      </c>
    </row>
    <row r="490" spans="2:13" ht="15.75" hidden="1" outlineLevel="1" x14ac:dyDescent="0.3">
      <c r="B490" s="13" t="s">
        <v>437</v>
      </c>
      <c r="C490" s="13" t="s">
        <v>1768</v>
      </c>
      <c r="D490" s="13" t="s">
        <v>71</v>
      </c>
      <c r="E490" s="13" t="s">
        <v>13</v>
      </c>
      <c r="F490" s="13" t="s">
        <v>438</v>
      </c>
      <c r="G490" s="13" t="s">
        <v>1655</v>
      </c>
      <c r="H490" s="13" t="s">
        <v>1656</v>
      </c>
      <c r="I490" s="13">
        <v>2024</v>
      </c>
      <c r="J490" s="13" t="s">
        <v>1769</v>
      </c>
      <c r="K490" s="13">
        <v>11</v>
      </c>
      <c r="L490" s="13">
        <v>18</v>
      </c>
      <c r="M490" s="13" t="s">
        <v>1770</v>
      </c>
    </row>
    <row r="491" spans="2:13" ht="15.75" hidden="1" outlineLevel="1" x14ac:dyDescent="0.3">
      <c r="B491" s="13" t="s">
        <v>693</v>
      </c>
      <c r="C491" s="13" t="s">
        <v>1768</v>
      </c>
      <c r="D491" s="13" t="s">
        <v>71</v>
      </c>
      <c r="E491" s="13" t="s">
        <v>681</v>
      </c>
      <c r="F491" s="13" t="s">
        <v>438</v>
      </c>
      <c r="G491" s="13" t="s">
        <v>1655</v>
      </c>
      <c r="H491" s="13" t="s">
        <v>1656</v>
      </c>
      <c r="I491" s="13">
        <v>2024</v>
      </c>
      <c r="J491" s="13" t="s">
        <v>1769</v>
      </c>
      <c r="K491" s="13">
        <v>8</v>
      </c>
      <c r="L491" s="13">
        <v>18</v>
      </c>
      <c r="M491" s="13" t="s">
        <v>1771</v>
      </c>
    </row>
    <row r="492" spans="2:13" ht="15.75" hidden="1" outlineLevel="1" x14ac:dyDescent="0.3">
      <c r="B492" s="13" t="s">
        <v>527</v>
      </c>
      <c r="C492" s="13" t="s">
        <v>1768</v>
      </c>
      <c r="D492" s="13" t="s">
        <v>71</v>
      </c>
      <c r="E492" s="13" t="s">
        <v>519</v>
      </c>
      <c r="F492" s="13" t="s">
        <v>308</v>
      </c>
      <c r="G492" s="13" t="s">
        <v>1655</v>
      </c>
      <c r="H492" s="13" t="s">
        <v>1656</v>
      </c>
      <c r="I492" s="13">
        <v>2024</v>
      </c>
      <c r="J492" s="13" t="s">
        <v>1769</v>
      </c>
      <c r="K492" s="13">
        <v>4</v>
      </c>
      <c r="L492" s="13">
        <v>18</v>
      </c>
      <c r="M492" s="13" t="s">
        <v>1772</v>
      </c>
    </row>
    <row r="493" spans="2:13" ht="15.75" hidden="1" outlineLevel="1" x14ac:dyDescent="0.3">
      <c r="B493" s="13" t="s">
        <v>487</v>
      </c>
      <c r="C493" s="13" t="s">
        <v>1768</v>
      </c>
      <c r="D493" s="13" t="s">
        <v>71</v>
      </c>
      <c r="E493" s="13" t="s">
        <v>478</v>
      </c>
      <c r="F493" s="13" t="s">
        <v>308</v>
      </c>
      <c r="G493" s="13" t="s">
        <v>1655</v>
      </c>
      <c r="H493" s="13" t="s">
        <v>1656</v>
      </c>
      <c r="I493" s="13">
        <v>2024</v>
      </c>
      <c r="J493" s="13" t="s">
        <v>1769</v>
      </c>
      <c r="K493" s="13">
        <v>3</v>
      </c>
      <c r="L493" s="13">
        <v>18</v>
      </c>
      <c r="M493" s="13" t="s">
        <v>1773</v>
      </c>
    </row>
    <row r="494" spans="2:13" ht="15.75" hidden="1" outlineLevel="1" x14ac:dyDescent="0.3">
      <c r="B494" s="13" t="s">
        <v>648</v>
      </c>
      <c r="C494" s="13" t="s">
        <v>1768</v>
      </c>
      <c r="D494" s="13" t="s">
        <v>71</v>
      </c>
      <c r="E494" s="13" t="s">
        <v>638</v>
      </c>
      <c r="F494" s="13" t="s">
        <v>308</v>
      </c>
      <c r="G494" s="13" t="s">
        <v>1655</v>
      </c>
      <c r="H494" s="13" t="s">
        <v>1656</v>
      </c>
      <c r="I494" s="13">
        <v>2024</v>
      </c>
      <c r="J494" s="13" t="s">
        <v>1769</v>
      </c>
      <c r="K494" s="13">
        <v>7</v>
      </c>
      <c r="L494" s="13">
        <v>18</v>
      </c>
      <c r="M494" s="13" t="s">
        <v>1774</v>
      </c>
    </row>
    <row r="495" spans="2:13" ht="15.75" hidden="1" outlineLevel="1" x14ac:dyDescent="0.3">
      <c r="B495" s="13" t="s">
        <v>603</v>
      </c>
      <c r="C495" s="13" t="s">
        <v>1768</v>
      </c>
      <c r="D495" s="13" t="s">
        <v>71</v>
      </c>
      <c r="E495" s="13" t="s">
        <v>593</v>
      </c>
      <c r="F495" s="13" t="s">
        <v>308</v>
      </c>
      <c r="G495" s="13" t="s">
        <v>1655</v>
      </c>
      <c r="H495" s="13" t="s">
        <v>1656</v>
      </c>
      <c r="I495" s="13">
        <v>2024</v>
      </c>
      <c r="J495" s="13" t="s">
        <v>1769</v>
      </c>
      <c r="K495" s="13">
        <v>6</v>
      </c>
      <c r="L495" s="13">
        <v>18</v>
      </c>
      <c r="M495" s="13" t="s">
        <v>1775</v>
      </c>
    </row>
    <row r="496" spans="2:13" ht="15.75" hidden="1" outlineLevel="1" x14ac:dyDescent="0.3">
      <c r="B496" s="13" t="s">
        <v>389</v>
      </c>
      <c r="C496" s="13" t="s">
        <v>1768</v>
      </c>
      <c r="D496" s="13" t="s">
        <v>71</v>
      </c>
      <c r="E496" s="13" t="s">
        <v>373</v>
      </c>
      <c r="F496" s="13" t="s">
        <v>308</v>
      </c>
      <c r="G496" s="13" t="s">
        <v>1655</v>
      </c>
      <c r="H496" s="13" t="s">
        <v>1656</v>
      </c>
      <c r="I496" s="13">
        <v>2024</v>
      </c>
      <c r="J496" s="13" t="s">
        <v>1769</v>
      </c>
      <c r="K496" s="13">
        <v>10</v>
      </c>
      <c r="L496" s="13">
        <v>18</v>
      </c>
      <c r="M496" s="13" t="s">
        <v>1776</v>
      </c>
    </row>
    <row r="497" spans="2:13" ht="15.75" hidden="1" outlineLevel="1" x14ac:dyDescent="0.3">
      <c r="B497" s="13" t="s">
        <v>738</v>
      </c>
      <c r="C497" s="13" t="s">
        <v>1768</v>
      </c>
      <c r="D497" s="13" t="s">
        <v>71</v>
      </c>
      <c r="E497" s="13" t="s">
        <v>729</v>
      </c>
      <c r="F497" s="13" t="s">
        <v>438</v>
      </c>
      <c r="G497" s="13" t="s">
        <v>1655</v>
      </c>
      <c r="H497" s="13" t="s">
        <v>1656</v>
      </c>
      <c r="I497" s="13">
        <v>2024</v>
      </c>
      <c r="J497" s="13" t="s">
        <v>1769</v>
      </c>
      <c r="K497" s="13">
        <v>9</v>
      </c>
      <c r="L497" s="13">
        <v>18</v>
      </c>
      <c r="M497" s="13" t="s">
        <v>1777</v>
      </c>
    </row>
    <row r="498" spans="2:13" ht="15.75" hidden="1" outlineLevel="1" x14ac:dyDescent="0.3">
      <c r="B498" s="13" t="s">
        <v>564</v>
      </c>
      <c r="C498" s="13" t="s">
        <v>1768</v>
      </c>
      <c r="D498" s="13" t="s">
        <v>71</v>
      </c>
      <c r="E498" s="13" t="s">
        <v>556</v>
      </c>
      <c r="F498" s="13" t="s">
        <v>308</v>
      </c>
      <c r="G498" s="13" t="s">
        <v>1655</v>
      </c>
      <c r="H498" s="13" t="s">
        <v>1656</v>
      </c>
      <c r="I498" s="13">
        <v>2024</v>
      </c>
      <c r="J498" s="13" t="s">
        <v>1769</v>
      </c>
      <c r="K498" s="13">
        <v>5</v>
      </c>
      <c r="L498" s="13">
        <v>18</v>
      </c>
      <c r="M498" s="13" t="s">
        <v>1778</v>
      </c>
    </row>
    <row r="499" spans="2:13" ht="15.75" hidden="1" outlineLevel="1" x14ac:dyDescent="0.3">
      <c r="B499" s="13" t="s">
        <v>739</v>
      </c>
      <c r="C499" s="13" t="s">
        <v>1779</v>
      </c>
      <c r="D499" s="13" t="s">
        <v>71</v>
      </c>
      <c r="E499" s="13" t="s">
        <v>729</v>
      </c>
      <c r="F499" s="13" t="s">
        <v>440</v>
      </c>
      <c r="G499" s="13" t="s">
        <v>1655</v>
      </c>
      <c r="H499" s="13" t="s">
        <v>1656</v>
      </c>
      <c r="I499" s="13">
        <v>2024</v>
      </c>
      <c r="J499" s="13" t="s">
        <v>1780</v>
      </c>
      <c r="K499" s="13">
        <v>9</v>
      </c>
      <c r="L499" s="13">
        <v>19</v>
      </c>
      <c r="M499" s="13" t="s">
        <v>1781</v>
      </c>
    </row>
    <row r="500" spans="2:13" ht="15.75" hidden="1" outlineLevel="1" x14ac:dyDescent="0.3">
      <c r="B500" s="13" t="s">
        <v>565</v>
      </c>
      <c r="C500" s="13" t="s">
        <v>1779</v>
      </c>
      <c r="D500" s="13" t="s">
        <v>71</v>
      </c>
      <c r="E500" s="13" t="s">
        <v>556</v>
      </c>
      <c r="F500" s="13" t="s">
        <v>308</v>
      </c>
      <c r="G500" s="13" t="s">
        <v>1655</v>
      </c>
      <c r="H500" s="13" t="s">
        <v>1656</v>
      </c>
      <c r="I500" s="13">
        <v>2024</v>
      </c>
      <c r="J500" s="13" t="s">
        <v>1780</v>
      </c>
      <c r="K500" s="13">
        <v>5</v>
      </c>
      <c r="L500" s="13">
        <v>19</v>
      </c>
      <c r="M500" s="13" t="s">
        <v>1782</v>
      </c>
    </row>
    <row r="501" spans="2:13" ht="15.75" hidden="1" outlineLevel="1" x14ac:dyDescent="0.3">
      <c r="B501" s="13" t="s">
        <v>604</v>
      </c>
      <c r="C501" s="13" t="s">
        <v>1779</v>
      </c>
      <c r="D501" s="13" t="s">
        <v>71</v>
      </c>
      <c r="E501" s="13" t="s">
        <v>593</v>
      </c>
      <c r="F501" s="13" t="s">
        <v>308</v>
      </c>
      <c r="G501" s="13" t="s">
        <v>1655</v>
      </c>
      <c r="H501" s="13" t="s">
        <v>1656</v>
      </c>
      <c r="I501" s="13">
        <v>2024</v>
      </c>
      <c r="J501" s="13" t="s">
        <v>1780</v>
      </c>
      <c r="K501" s="13">
        <v>6</v>
      </c>
      <c r="L501" s="13">
        <v>19</v>
      </c>
      <c r="M501" s="13" t="s">
        <v>1783</v>
      </c>
    </row>
    <row r="502" spans="2:13" ht="15.75" hidden="1" outlineLevel="1" x14ac:dyDescent="0.3">
      <c r="B502" s="13" t="s">
        <v>694</v>
      </c>
      <c r="C502" s="13" t="s">
        <v>1779</v>
      </c>
      <c r="D502" s="13" t="s">
        <v>71</v>
      </c>
      <c r="E502" s="13" t="s">
        <v>681</v>
      </c>
      <c r="F502" s="13" t="s">
        <v>440</v>
      </c>
      <c r="G502" s="13" t="s">
        <v>1655</v>
      </c>
      <c r="H502" s="13" t="s">
        <v>1656</v>
      </c>
      <c r="I502" s="13">
        <v>2024</v>
      </c>
      <c r="J502" s="13" t="s">
        <v>1780</v>
      </c>
      <c r="K502" s="13">
        <v>8</v>
      </c>
      <c r="L502" s="13">
        <v>19</v>
      </c>
      <c r="M502" s="13" t="s">
        <v>1784</v>
      </c>
    </row>
    <row r="503" spans="2:13" ht="15.75" hidden="1" outlineLevel="1" x14ac:dyDescent="0.3">
      <c r="B503" s="13" t="s">
        <v>439</v>
      </c>
      <c r="C503" s="13" t="s">
        <v>1779</v>
      </c>
      <c r="D503" s="13" t="s">
        <v>71</v>
      </c>
      <c r="E503" s="13" t="s">
        <v>13</v>
      </c>
      <c r="F503" s="13" t="s">
        <v>440</v>
      </c>
      <c r="G503" s="13" t="s">
        <v>1655</v>
      </c>
      <c r="H503" s="13" t="s">
        <v>1656</v>
      </c>
      <c r="I503" s="13">
        <v>2024</v>
      </c>
      <c r="J503" s="13" t="s">
        <v>1780</v>
      </c>
      <c r="K503" s="13">
        <v>11</v>
      </c>
      <c r="L503" s="13">
        <v>19</v>
      </c>
      <c r="M503" s="13" t="s">
        <v>1785</v>
      </c>
    </row>
    <row r="504" spans="2:13" ht="15.75" hidden="1" outlineLevel="1" x14ac:dyDescent="0.3">
      <c r="B504" s="13" t="s">
        <v>488</v>
      </c>
      <c r="C504" s="13" t="s">
        <v>1779</v>
      </c>
      <c r="D504" s="13" t="s">
        <v>71</v>
      </c>
      <c r="E504" s="13" t="s">
        <v>478</v>
      </c>
      <c r="F504" s="13" t="s">
        <v>308</v>
      </c>
      <c r="G504" s="13" t="s">
        <v>1655</v>
      </c>
      <c r="H504" s="13" t="s">
        <v>1656</v>
      </c>
      <c r="I504" s="13">
        <v>2024</v>
      </c>
      <c r="J504" s="13" t="s">
        <v>1780</v>
      </c>
      <c r="K504" s="13">
        <v>3</v>
      </c>
      <c r="L504" s="13">
        <v>19</v>
      </c>
      <c r="M504" s="13" t="s">
        <v>1786</v>
      </c>
    </row>
    <row r="505" spans="2:13" ht="15.75" hidden="1" outlineLevel="1" x14ac:dyDescent="0.3">
      <c r="B505" s="13" t="s">
        <v>528</v>
      </c>
      <c r="C505" s="13" t="s">
        <v>1779</v>
      </c>
      <c r="D505" s="13" t="s">
        <v>71</v>
      </c>
      <c r="E505" s="13" t="s">
        <v>519</v>
      </c>
      <c r="F505" s="13" t="s">
        <v>308</v>
      </c>
      <c r="G505" s="13" t="s">
        <v>1655</v>
      </c>
      <c r="H505" s="13" t="s">
        <v>1656</v>
      </c>
      <c r="I505" s="13">
        <v>2024</v>
      </c>
      <c r="J505" s="13" t="s">
        <v>1780</v>
      </c>
      <c r="K505" s="13">
        <v>4</v>
      </c>
      <c r="L505" s="13">
        <v>19</v>
      </c>
      <c r="M505" s="13" t="s">
        <v>1787</v>
      </c>
    </row>
    <row r="506" spans="2:13" ht="15.75" hidden="1" outlineLevel="1" x14ac:dyDescent="0.3">
      <c r="B506" s="13" t="s">
        <v>391</v>
      </c>
      <c r="C506" s="13" t="s">
        <v>1779</v>
      </c>
      <c r="D506" s="13" t="s">
        <v>71</v>
      </c>
      <c r="E506" s="13" t="s">
        <v>373</v>
      </c>
      <c r="F506" s="13" t="s">
        <v>308</v>
      </c>
      <c r="G506" s="13" t="s">
        <v>1655</v>
      </c>
      <c r="H506" s="13" t="s">
        <v>1656</v>
      </c>
      <c r="I506" s="13">
        <v>2024</v>
      </c>
      <c r="J506" s="13" t="s">
        <v>1780</v>
      </c>
      <c r="K506" s="13">
        <v>10</v>
      </c>
      <c r="L506" s="13">
        <v>19</v>
      </c>
      <c r="M506" s="13" t="s">
        <v>1788</v>
      </c>
    </row>
    <row r="507" spans="2:13" ht="15.75" hidden="1" outlineLevel="1" x14ac:dyDescent="0.3">
      <c r="B507" s="13" t="s">
        <v>649</v>
      </c>
      <c r="C507" s="13" t="s">
        <v>1779</v>
      </c>
      <c r="D507" s="13" t="s">
        <v>71</v>
      </c>
      <c r="E507" s="13" t="s">
        <v>638</v>
      </c>
      <c r="F507" s="13" t="s">
        <v>308</v>
      </c>
      <c r="G507" s="13" t="s">
        <v>1655</v>
      </c>
      <c r="H507" s="13" t="s">
        <v>1656</v>
      </c>
      <c r="I507" s="13">
        <v>2024</v>
      </c>
      <c r="J507" s="13" t="s">
        <v>1780</v>
      </c>
      <c r="K507" s="13">
        <v>7</v>
      </c>
      <c r="L507" s="13">
        <v>19</v>
      </c>
      <c r="M507" s="13" t="s">
        <v>1789</v>
      </c>
    </row>
    <row r="508" spans="2:13" ht="15.75" hidden="1" outlineLevel="1" x14ac:dyDescent="0.3">
      <c r="B508" s="13" t="s">
        <v>695</v>
      </c>
      <c r="C508" s="13" t="s">
        <v>1790</v>
      </c>
      <c r="D508" s="13" t="s">
        <v>71</v>
      </c>
      <c r="E508" s="13" t="s">
        <v>681</v>
      </c>
      <c r="F508" s="13" t="s">
        <v>442</v>
      </c>
      <c r="G508" s="13" t="s">
        <v>1655</v>
      </c>
      <c r="H508" s="13" t="s">
        <v>1656</v>
      </c>
      <c r="I508" s="13">
        <v>2024</v>
      </c>
      <c r="J508" s="13" t="s">
        <v>1791</v>
      </c>
      <c r="K508" s="13">
        <v>8</v>
      </c>
      <c r="L508" s="13">
        <v>20</v>
      </c>
      <c r="M508" s="13" t="s">
        <v>1792</v>
      </c>
    </row>
    <row r="509" spans="2:13" ht="15.75" hidden="1" outlineLevel="1" x14ac:dyDescent="0.3">
      <c r="B509" s="13" t="s">
        <v>566</v>
      </c>
      <c r="C509" s="13" t="s">
        <v>1790</v>
      </c>
      <c r="D509" s="13" t="s">
        <v>71</v>
      </c>
      <c r="E509" s="13" t="s">
        <v>556</v>
      </c>
      <c r="F509" s="13" t="s">
        <v>308</v>
      </c>
      <c r="G509" s="13" t="s">
        <v>1655</v>
      </c>
      <c r="H509" s="13" t="s">
        <v>1656</v>
      </c>
      <c r="I509" s="13">
        <v>2024</v>
      </c>
      <c r="J509" s="13" t="s">
        <v>1791</v>
      </c>
      <c r="K509" s="13">
        <v>5</v>
      </c>
      <c r="L509" s="13">
        <v>20</v>
      </c>
      <c r="M509" s="13" t="s">
        <v>1793</v>
      </c>
    </row>
    <row r="510" spans="2:13" ht="15.75" hidden="1" outlineLevel="1" x14ac:dyDescent="0.3">
      <c r="B510" s="13" t="s">
        <v>441</v>
      </c>
      <c r="C510" s="13" t="s">
        <v>1790</v>
      </c>
      <c r="D510" s="13" t="s">
        <v>71</v>
      </c>
      <c r="E510" s="13" t="s">
        <v>13</v>
      </c>
      <c r="F510" s="13" t="s">
        <v>442</v>
      </c>
      <c r="G510" s="13" t="s">
        <v>1655</v>
      </c>
      <c r="H510" s="13" t="s">
        <v>1656</v>
      </c>
      <c r="I510" s="13">
        <v>2024</v>
      </c>
      <c r="J510" s="13" t="s">
        <v>1791</v>
      </c>
      <c r="K510" s="13">
        <v>11</v>
      </c>
      <c r="L510" s="13">
        <v>20</v>
      </c>
      <c r="M510" s="13" t="s">
        <v>1794</v>
      </c>
    </row>
    <row r="511" spans="2:13" ht="15.75" hidden="1" outlineLevel="1" x14ac:dyDescent="0.3">
      <c r="B511" s="13" t="s">
        <v>393</v>
      </c>
      <c r="C511" s="13" t="s">
        <v>1790</v>
      </c>
      <c r="D511" s="13" t="s">
        <v>71</v>
      </c>
      <c r="E511" s="13" t="s">
        <v>373</v>
      </c>
      <c r="F511" s="13" t="s">
        <v>308</v>
      </c>
      <c r="G511" s="13" t="s">
        <v>1655</v>
      </c>
      <c r="H511" s="13" t="s">
        <v>1656</v>
      </c>
      <c r="I511" s="13">
        <v>2024</v>
      </c>
      <c r="J511" s="13" t="s">
        <v>1791</v>
      </c>
      <c r="K511" s="13">
        <v>10</v>
      </c>
      <c r="L511" s="13">
        <v>20</v>
      </c>
      <c r="M511" s="13" t="s">
        <v>1795</v>
      </c>
    </row>
    <row r="512" spans="2:13" ht="15.75" hidden="1" outlineLevel="1" x14ac:dyDescent="0.3">
      <c r="B512" s="13" t="s">
        <v>605</v>
      </c>
      <c r="C512" s="13" t="s">
        <v>1790</v>
      </c>
      <c r="D512" s="13" t="s">
        <v>71</v>
      </c>
      <c r="E512" s="13" t="s">
        <v>593</v>
      </c>
      <c r="F512" s="13" t="s">
        <v>308</v>
      </c>
      <c r="G512" s="13" t="s">
        <v>1655</v>
      </c>
      <c r="H512" s="13" t="s">
        <v>1656</v>
      </c>
      <c r="I512" s="13">
        <v>2024</v>
      </c>
      <c r="J512" s="13" t="s">
        <v>1791</v>
      </c>
      <c r="K512" s="13">
        <v>6</v>
      </c>
      <c r="L512" s="13">
        <v>20</v>
      </c>
      <c r="M512" s="13" t="s">
        <v>1796</v>
      </c>
    </row>
    <row r="513" spans="2:13" ht="15.75" hidden="1" outlineLevel="1" x14ac:dyDescent="0.3">
      <c r="B513" s="13" t="s">
        <v>650</v>
      </c>
      <c r="C513" s="13" t="s">
        <v>1790</v>
      </c>
      <c r="D513" s="13" t="s">
        <v>71</v>
      </c>
      <c r="E513" s="13" t="s">
        <v>638</v>
      </c>
      <c r="F513" s="13" t="s">
        <v>308</v>
      </c>
      <c r="G513" s="13" t="s">
        <v>1655</v>
      </c>
      <c r="H513" s="13" t="s">
        <v>1656</v>
      </c>
      <c r="I513" s="13">
        <v>2024</v>
      </c>
      <c r="J513" s="13" t="s">
        <v>1791</v>
      </c>
      <c r="K513" s="13">
        <v>7</v>
      </c>
      <c r="L513" s="13">
        <v>20</v>
      </c>
      <c r="M513" s="13" t="s">
        <v>1797</v>
      </c>
    </row>
    <row r="514" spans="2:13" ht="15.75" hidden="1" outlineLevel="1" x14ac:dyDescent="0.3">
      <c r="B514" s="13" t="s">
        <v>489</v>
      </c>
      <c r="C514" s="13" t="s">
        <v>1790</v>
      </c>
      <c r="D514" s="13" t="s">
        <v>71</v>
      </c>
      <c r="E514" s="13" t="s">
        <v>478</v>
      </c>
      <c r="F514" s="13" t="s">
        <v>308</v>
      </c>
      <c r="G514" s="13" t="s">
        <v>1655</v>
      </c>
      <c r="H514" s="13" t="s">
        <v>1656</v>
      </c>
      <c r="I514" s="13">
        <v>2024</v>
      </c>
      <c r="J514" s="13" t="s">
        <v>1791</v>
      </c>
      <c r="K514" s="13">
        <v>3</v>
      </c>
      <c r="L514" s="13">
        <v>20</v>
      </c>
      <c r="M514" s="13" t="s">
        <v>1798</v>
      </c>
    </row>
    <row r="515" spans="2:13" ht="15.75" hidden="1" outlineLevel="1" x14ac:dyDescent="0.3">
      <c r="B515" s="13" t="s">
        <v>740</v>
      </c>
      <c r="C515" s="13" t="s">
        <v>1790</v>
      </c>
      <c r="D515" s="13" t="s">
        <v>71</v>
      </c>
      <c r="E515" s="13" t="s">
        <v>729</v>
      </c>
      <c r="F515" s="13" t="s">
        <v>442</v>
      </c>
      <c r="G515" s="13" t="s">
        <v>1655</v>
      </c>
      <c r="H515" s="13" t="s">
        <v>1656</v>
      </c>
      <c r="I515" s="13">
        <v>2024</v>
      </c>
      <c r="J515" s="13" t="s">
        <v>1791</v>
      </c>
      <c r="K515" s="13">
        <v>9</v>
      </c>
      <c r="L515" s="13">
        <v>20</v>
      </c>
      <c r="M515" s="13" t="s">
        <v>1799</v>
      </c>
    </row>
    <row r="516" spans="2:13" ht="15.75" hidden="1" outlineLevel="1" x14ac:dyDescent="0.3">
      <c r="B516" s="13" t="s">
        <v>529</v>
      </c>
      <c r="C516" s="13" t="s">
        <v>1790</v>
      </c>
      <c r="D516" s="13" t="s">
        <v>71</v>
      </c>
      <c r="E516" s="13" t="s">
        <v>519</v>
      </c>
      <c r="F516" s="13" t="s">
        <v>308</v>
      </c>
      <c r="G516" s="13" t="s">
        <v>1655</v>
      </c>
      <c r="H516" s="13" t="s">
        <v>1656</v>
      </c>
      <c r="I516" s="13">
        <v>2024</v>
      </c>
      <c r="J516" s="13" t="s">
        <v>1791</v>
      </c>
      <c r="K516" s="13">
        <v>4</v>
      </c>
      <c r="L516" s="13">
        <v>20</v>
      </c>
      <c r="M516" s="13" t="s">
        <v>1800</v>
      </c>
    </row>
    <row r="517" spans="2:13" ht="15.75" hidden="1" outlineLevel="1" x14ac:dyDescent="0.3">
      <c r="B517" s="13" t="s">
        <v>443</v>
      </c>
      <c r="C517" s="13" t="s">
        <v>1801</v>
      </c>
      <c r="D517" s="13" t="s">
        <v>71</v>
      </c>
      <c r="E517" s="13" t="s">
        <v>13</v>
      </c>
      <c r="F517" s="13" t="s">
        <v>444</v>
      </c>
      <c r="G517" s="13" t="s">
        <v>1655</v>
      </c>
      <c r="H517" s="13" t="s">
        <v>1656</v>
      </c>
      <c r="I517" s="13">
        <v>2024</v>
      </c>
      <c r="J517" s="13" t="s">
        <v>1802</v>
      </c>
      <c r="K517" s="13">
        <v>11</v>
      </c>
      <c r="L517" s="13">
        <v>21</v>
      </c>
      <c r="M517" s="13" t="s">
        <v>1803</v>
      </c>
    </row>
    <row r="518" spans="2:13" ht="15.75" hidden="1" outlineLevel="1" x14ac:dyDescent="0.3">
      <c r="B518" s="13" t="s">
        <v>651</v>
      </c>
      <c r="C518" s="13" t="s">
        <v>1801</v>
      </c>
      <c r="D518" s="13" t="s">
        <v>71</v>
      </c>
      <c r="E518" s="13" t="s">
        <v>638</v>
      </c>
      <c r="F518" s="13" t="s">
        <v>308</v>
      </c>
      <c r="G518" s="13" t="s">
        <v>1655</v>
      </c>
      <c r="H518" s="13" t="s">
        <v>1656</v>
      </c>
      <c r="I518" s="13">
        <v>2024</v>
      </c>
      <c r="J518" s="13" t="s">
        <v>1802</v>
      </c>
      <c r="K518" s="13">
        <v>7</v>
      </c>
      <c r="L518" s="13">
        <v>21</v>
      </c>
      <c r="M518" s="13" t="s">
        <v>1804</v>
      </c>
    </row>
    <row r="519" spans="2:13" ht="15.75" hidden="1" outlineLevel="1" x14ac:dyDescent="0.3">
      <c r="B519" s="13" t="s">
        <v>696</v>
      </c>
      <c r="C519" s="13" t="s">
        <v>1801</v>
      </c>
      <c r="D519" s="13" t="s">
        <v>71</v>
      </c>
      <c r="E519" s="13" t="s">
        <v>681</v>
      </c>
      <c r="F519" s="13" t="s">
        <v>697</v>
      </c>
      <c r="G519" s="13" t="s">
        <v>1655</v>
      </c>
      <c r="H519" s="13" t="s">
        <v>1656</v>
      </c>
      <c r="I519" s="13">
        <v>2024</v>
      </c>
      <c r="J519" s="13" t="s">
        <v>1802</v>
      </c>
      <c r="K519" s="13">
        <v>8</v>
      </c>
      <c r="L519" s="13">
        <v>21</v>
      </c>
      <c r="M519" s="13" t="s">
        <v>1805</v>
      </c>
    </row>
    <row r="520" spans="2:13" ht="15.75" hidden="1" outlineLevel="1" x14ac:dyDescent="0.3">
      <c r="B520" s="13" t="s">
        <v>741</v>
      </c>
      <c r="C520" s="13" t="s">
        <v>1801</v>
      </c>
      <c r="D520" s="13" t="s">
        <v>71</v>
      </c>
      <c r="E520" s="13" t="s">
        <v>729</v>
      </c>
      <c r="F520" s="13" t="s">
        <v>697</v>
      </c>
      <c r="G520" s="13" t="s">
        <v>1655</v>
      </c>
      <c r="H520" s="13" t="s">
        <v>1656</v>
      </c>
      <c r="I520" s="13">
        <v>2024</v>
      </c>
      <c r="J520" s="13" t="s">
        <v>1802</v>
      </c>
      <c r="K520" s="13">
        <v>9</v>
      </c>
      <c r="L520" s="13">
        <v>21</v>
      </c>
      <c r="M520" s="13" t="s">
        <v>1806</v>
      </c>
    </row>
    <row r="521" spans="2:13" ht="15.75" hidden="1" outlineLevel="1" x14ac:dyDescent="0.3">
      <c r="B521" s="13" t="s">
        <v>530</v>
      </c>
      <c r="C521" s="13" t="s">
        <v>1801</v>
      </c>
      <c r="D521" s="13" t="s">
        <v>71</v>
      </c>
      <c r="E521" s="13" t="s">
        <v>519</v>
      </c>
      <c r="F521" s="13" t="s">
        <v>308</v>
      </c>
      <c r="G521" s="13" t="s">
        <v>1655</v>
      </c>
      <c r="H521" s="13" t="s">
        <v>1656</v>
      </c>
      <c r="I521" s="13">
        <v>2024</v>
      </c>
      <c r="J521" s="13" t="s">
        <v>1802</v>
      </c>
      <c r="K521" s="13">
        <v>4</v>
      </c>
      <c r="L521" s="13">
        <v>21</v>
      </c>
      <c r="M521" s="13" t="s">
        <v>1807</v>
      </c>
    </row>
    <row r="522" spans="2:13" ht="15.75" hidden="1" outlineLevel="1" x14ac:dyDescent="0.3">
      <c r="B522" s="13" t="s">
        <v>490</v>
      </c>
      <c r="C522" s="13" t="s">
        <v>1801</v>
      </c>
      <c r="D522" s="13" t="s">
        <v>71</v>
      </c>
      <c r="E522" s="13" t="s">
        <v>478</v>
      </c>
      <c r="F522" s="13" t="s">
        <v>308</v>
      </c>
      <c r="G522" s="13" t="s">
        <v>1655</v>
      </c>
      <c r="H522" s="13" t="s">
        <v>1656</v>
      </c>
      <c r="I522" s="13">
        <v>2024</v>
      </c>
      <c r="J522" s="13" t="s">
        <v>1802</v>
      </c>
      <c r="K522" s="13">
        <v>3</v>
      </c>
      <c r="L522" s="13">
        <v>21</v>
      </c>
      <c r="M522" s="13" t="s">
        <v>1808</v>
      </c>
    </row>
    <row r="523" spans="2:13" ht="15.75" hidden="1" outlineLevel="1" x14ac:dyDescent="0.3">
      <c r="B523" s="13" t="s">
        <v>567</v>
      </c>
      <c r="C523" s="13" t="s">
        <v>1801</v>
      </c>
      <c r="D523" s="13" t="s">
        <v>71</v>
      </c>
      <c r="E523" s="13" t="s">
        <v>556</v>
      </c>
      <c r="F523" s="13" t="s">
        <v>308</v>
      </c>
      <c r="G523" s="13" t="s">
        <v>1655</v>
      </c>
      <c r="H523" s="13" t="s">
        <v>1656</v>
      </c>
      <c r="I523" s="13">
        <v>2024</v>
      </c>
      <c r="J523" s="13" t="s">
        <v>1802</v>
      </c>
      <c r="K523" s="13">
        <v>5</v>
      </c>
      <c r="L523" s="13">
        <v>21</v>
      </c>
      <c r="M523" s="13" t="s">
        <v>1809</v>
      </c>
    </row>
    <row r="524" spans="2:13" ht="15.75" hidden="1" outlineLevel="1" x14ac:dyDescent="0.3">
      <c r="B524" s="13" t="s">
        <v>606</v>
      </c>
      <c r="C524" s="13" t="s">
        <v>1801</v>
      </c>
      <c r="D524" s="13" t="s">
        <v>71</v>
      </c>
      <c r="E524" s="13" t="s">
        <v>593</v>
      </c>
      <c r="F524" s="13" t="s">
        <v>308</v>
      </c>
      <c r="G524" s="13" t="s">
        <v>1655</v>
      </c>
      <c r="H524" s="13" t="s">
        <v>1656</v>
      </c>
      <c r="I524" s="13">
        <v>2024</v>
      </c>
      <c r="J524" s="13" t="s">
        <v>1802</v>
      </c>
      <c r="K524" s="13">
        <v>6</v>
      </c>
      <c r="L524" s="13">
        <v>21</v>
      </c>
      <c r="M524" s="13" t="s">
        <v>1810</v>
      </c>
    </row>
    <row r="525" spans="2:13" ht="15.75" hidden="1" outlineLevel="1" x14ac:dyDescent="0.3">
      <c r="B525" s="13" t="s">
        <v>395</v>
      </c>
      <c r="C525" s="13" t="s">
        <v>1801</v>
      </c>
      <c r="D525" s="13" t="s">
        <v>71</v>
      </c>
      <c r="E525" s="13" t="s">
        <v>373</v>
      </c>
      <c r="F525" s="13" t="s">
        <v>397</v>
      </c>
      <c r="G525" s="13" t="s">
        <v>1655</v>
      </c>
      <c r="H525" s="13" t="s">
        <v>1656</v>
      </c>
      <c r="I525" s="13">
        <v>2024</v>
      </c>
      <c r="J525" s="13" t="s">
        <v>1802</v>
      </c>
      <c r="K525" s="13">
        <v>10</v>
      </c>
      <c r="L525" s="13">
        <v>21</v>
      </c>
      <c r="M525" s="13" t="s">
        <v>1811</v>
      </c>
    </row>
    <row r="526" spans="2:13" ht="15.75" hidden="1" outlineLevel="1" x14ac:dyDescent="0.3">
      <c r="B526" s="13" t="s">
        <v>607</v>
      </c>
      <c r="C526" s="13" t="s">
        <v>1568</v>
      </c>
      <c r="D526" s="13" t="s">
        <v>290</v>
      </c>
      <c r="E526" s="13" t="s">
        <v>593</v>
      </c>
      <c r="F526" s="13" t="s">
        <v>608</v>
      </c>
      <c r="G526" s="13" t="s">
        <v>1655</v>
      </c>
      <c r="H526" s="13" t="s">
        <v>1656</v>
      </c>
      <c r="I526" s="13">
        <v>2024</v>
      </c>
      <c r="J526" s="13" t="s">
        <v>1568</v>
      </c>
      <c r="K526" s="13">
        <v>6</v>
      </c>
      <c r="L526" s="13">
        <v>22</v>
      </c>
      <c r="M526" s="13" t="s">
        <v>1660</v>
      </c>
    </row>
    <row r="527" spans="2:13" ht="15.75" hidden="1" outlineLevel="1" x14ac:dyDescent="0.3">
      <c r="B527" s="13" t="s">
        <v>445</v>
      </c>
      <c r="C527" s="13" t="s">
        <v>1568</v>
      </c>
      <c r="D527" s="13" t="s">
        <v>290</v>
      </c>
      <c r="E527" s="13" t="s">
        <v>13</v>
      </c>
      <c r="F527" s="13" t="s">
        <v>320</v>
      </c>
      <c r="G527" s="13" t="s">
        <v>1655</v>
      </c>
      <c r="H527" s="13" t="s">
        <v>1656</v>
      </c>
      <c r="I527" s="13">
        <v>2024</v>
      </c>
      <c r="J527" s="13" t="s">
        <v>1568</v>
      </c>
      <c r="K527" s="13">
        <v>11</v>
      </c>
      <c r="L527" s="13">
        <v>22</v>
      </c>
      <c r="M527" s="13" t="s">
        <v>1658</v>
      </c>
    </row>
    <row r="528" spans="2:13" ht="15.75" hidden="1" outlineLevel="1" x14ac:dyDescent="0.3">
      <c r="B528" s="13" t="s">
        <v>698</v>
      </c>
      <c r="C528" s="13" t="s">
        <v>1568</v>
      </c>
      <c r="D528" s="13" t="s">
        <v>290</v>
      </c>
      <c r="E528" s="13" t="s">
        <v>681</v>
      </c>
      <c r="F528" s="13" t="s">
        <v>699</v>
      </c>
      <c r="G528" s="13" t="s">
        <v>1655</v>
      </c>
      <c r="H528" s="13" t="s">
        <v>1656</v>
      </c>
      <c r="I528" s="13">
        <v>2024</v>
      </c>
      <c r="J528" s="13" t="s">
        <v>1568</v>
      </c>
      <c r="K528" s="13">
        <v>8</v>
      </c>
      <c r="L528" s="13">
        <v>22</v>
      </c>
      <c r="M528" s="13" t="s">
        <v>1663</v>
      </c>
    </row>
    <row r="529" spans="2:13" ht="15.75" hidden="1" outlineLevel="1" x14ac:dyDescent="0.3">
      <c r="B529" s="13" t="s">
        <v>491</v>
      </c>
      <c r="C529" s="13" t="s">
        <v>1568</v>
      </c>
      <c r="D529" s="13" t="s">
        <v>290</v>
      </c>
      <c r="E529" s="13" t="s">
        <v>478</v>
      </c>
      <c r="F529" s="13" t="s">
        <v>492</v>
      </c>
      <c r="G529" s="13" t="s">
        <v>1655</v>
      </c>
      <c r="H529" s="13" t="s">
        <v>1656</v>
      </c>
      <c r="I529" s="13">
        <v>2024</v>
      </c>
      <c r="J529" s="13" t="s">
        <v>1568</v>
      </c>
      <c r="K529" s="13">
        <v>3</v>
      </c>
      <c r="L529" s="13">
        <v>22</v>
      </c>
      <c r="M529" s="13" t="s">
        <v>1569</v>
      </c>
    </row>
    <row r="530" spans="2:13" ht="15.75" hidden="1" outlineLevel="1" x14ac:dyDescent="0.3">
      <c r="B530" s="13" t="s">
        <v>398</v>
      </c>
      <c r="C530" s="13" t="s">
        <v>1568</v>
      </c>
      <c r="D530" s="13" t="s">
        <v>290</v>
      </c>
      <c r="E530" s="13" t="s">
        <v>373</v>
      </c>
      <c r="F530" s="13" t="s">
        <v>318</v>
      </c>
      <c r="G530" s="13" t="s">
        <v>1655</v>
      </c>
      <c r="H530" s="13" t="s">
        <v>1656</v>
      </c>
      <c r="I530" s="13">
        <v>2024</v>
      </c>
      <c r="J530" s="13" t="s">
        <v>1568</v>
      </c>
      <c r="K530" s="13">
        <v>10</v>
      </c>
      <c r="L530" s="13">
        <v>22</v>
      </c>
      <c r="M530" s="13" t="s">
        <v>1662</v>
      </c>
    </row>
    <row r="531" spans="2:13" ht="15.75" hidden="1" outlineLevel="1" x14ac:dyDescent="0.3">
      <c r="B531" s="13" t="s">
        <v>568</v>
      </c>
      <c r="C531" s="13" t="s">
        <v>1568</v>
      </c>
      <c r="D531" s="13" t="s">
        <v>290</v>
      </c>
      <c r="E531" s="13" t="s">
        <v>556</v>
      </c>
      <c r="F531" s="13" t="s">
        <v>569</v>
      </c>
      <c r="G531" s="13" t="s">
        <v>1655</v>
      </c>
      <c r="H531" s="13" t="s">
        <v>1656</v>
      </c>
      <c r="I531" s="13">
        <v>2024</v>
      </c>
      <c r="J531" s="13" t="s">
        <v>1568</v>
      </c>
      <c r="K531" s="13">
        <v>5</v>
      </c>
      <c r="L531" s="13">
        <v>22</v>
      </c>
      <c r="M531" s="13" t="s">
        <v>1657</v>
      </c>
    </row>
    <row r="532" spans="2:13" ht="15.75" hidden="1" outlineLevel="1" x14ac:dyDescent="0.3">
      <c r="B532" s="13" t="s">
        <v>531</v>
      </c>
      <c r="C532" s="13" t="s">
        <v>1568</v>
      </c>
      <c r="D532" s="13" t="s">
        <v>290</v>
      </c>
      <c r="E532" s="13" t="s">
        <v>519</v>
      </c>
      <c r="F532" s="13" t="s">
        <v>532</v>
      </c>
      <c r="G532" s="13" t="s">
        <v>1655</v>
      </c>
      <c r="H532" s="13" t="s">
        <v>1656</v>
      </c>
      <c r="I532" s="13">
        <v>2024</v>
      </c>
      <c r="J532" s="13" t="s">
        <v>1568</v>
      </c>
      <c r="K532" s="13">
        <v>4</v>
      </c>
      <c r="L532" s="13">
        <v>22</v>
      </c>
      <c r="M532" s="13" t="s">
        <v>1570</v>
      </c>
    </row>
    <row r="533" spans="2:13" ht="15.75" hidden="1" outlineLevel="1" x14ac:dyDescent="0.3">
      <c r="B533" s="13" t="s">
        <v>742</v>
      </c>
      <c r="C533" s="13" t="s">
        <v>1568</v>
      </c>
      <c r="D533" s="13" t="s">
        <v>290</v>
      </c>
      <c r="E533" s="13" t="s">
        <v>729</v>
      </c>
      <c r="F533" s="13" t="s">
        <v>316</v>
      </c>
      <c r="G533" s="13" t="s">
        <v>1655</v>
      </c>
      <c r="H533" s="13" t="s">
        <v>1656</v>
      </c>
      <c r="I533" s="13">
        <v>2024</v>
      </c>
      <c r="J533" s="13" t="s">
        <v>1568</v>
      </c>
      <c r="K533" s="13">
        <v>9</v>
      </c>
      <c r="L533" s="13">
        <v>22</v>
      </c>
      <c r="M533" s="13" t="s">
        <v>1661</v>
      </c>
    </row>
    <row r="534" spans="2:13" ht="15.75" hidden="1" outlineLevel="1" x14ac:dyDescent="0.3">
      <c r="B534" s="13" t="s">
        <v>652</v>
      </c>
      <c r="C534" s="13" t="s">
        <v>1568</v>
      </c>
      <c r="D534" s="13" t="s">
        <v>290</v>
      </c>
      <c r="E534" s="13" t="s">
        <v>638</v>
      </c>
      <c r="F534" s="13" t="s">
        <v>653</v>
      </c>
      <c r="G534" s="13" t="s">
        <v>1655</v>
      </c>
      <c r="H534" s="13" t="s">
        <v>1656</v>
      </c>
      <c r="I534" s="13">
        <v>2024</v>
      </c>
      <c r="J534" s="13" t="s">
        <v>1568</v>
      </c>
      <c r="K534" s="13">
        <v>7</v>
      </c>
      <c r="L534" s="13">
        <v>22</v>
      </c>
      <c r="M534" s="13" t="s">
        <v>1659</v>
      </c>
    </row>
    <row r="535" spans="2:13" ht="15.75" hidden="1" outlineLevel="1" x14ac:dyDescent="0.3">
      <c r="B535" s="13" t="s">
        <v>493</v>
      </c>
      <c r="C535" s="13" t="s">
        <v>1568</v>
      </c>
      <c r="D535" s="13" t="s">
        <v>290</v>
      </c>
      <c r="E535" s="13" t="s">
        <v>478</v>
      </c>
      <c r="F535" s="13" t="s">
        <v>494</v>
      </c>
      <c r="G535" s="13" t="s">
        <v>1655</v>
      </c>
      <c r="H535" s="13" t="s">
        <v>1656</v>
      </c>
      <c r="I535" s="13">
        <v>2024</v>
      </c>
      <c r="J535" s="13" t="s">
        <v>1568</v>
      </c>
      <c r="K535" s="13">
        <v>3</v>
      </c>
      <c r="L535" s="13">
        <v>25</v>
      </c>
      <c r="M535" s="13" t="s">
        <v>1569</v>
      </c>
    </row>
    <row r="536" spans="2:13" ht="15.75" hidden="1" outlineLevel="1" x14ac:dyDescent="0.3">
      <c r="B536" s="13" t="s">
        <v>399</v>
      </c>
      <c r="C536" s="13" t="s">
        <v>1568</v>
      </c>
      <c r="D536" s="13" t="s">
        <v>290</v>
      </c>
      <c r="E536" s="13" t="s">
        <v>373</v>
      </c>
      <c r="F536" s="13" t="s">
        <v>318</v>
      </c>
      <c r="G536" s="13" t="s">
        <v>1655</v>
      </c>
      <c r="H536" s="13" t="s">
        <v>1656</v>
      </c>
      <c r="I536" s="13">
        <v>2024</v>
      </c>
      <c r="J536" s="13" t="s">
        <v>1568</v>
      </c>
      <c r="K536" s="13">
        <v>10</v>
      </c>
      <c r="L536" s="13">
        <v>31</v>
      </c>
      <c r="M536" s="13" t="s">
        <v>1662</v>
      </c>
    </row>
    <row r="537" spans="2:13" ht="15.75" hidden="1" outlineLevel="1" x14ac:dyDescent="0.3">
      <c r="B537" s="13" t="s">
        <v>533</v>
      </c>
      <c r="C537" s="13" t="s">
        <v>1568</v>
      </c>
      <c r="D537" s="13" t="s">
        <v>290</v>
      </c>
      <c r="E537" s="13" t="s">
        <v>519</v>
      </c>
      <c r="F537" s="13" t="s">
        <v>532</v>
      </c>
      <c r="G537" s="13" t="s">
        <v>1655</v>
      </c>
      <c r="H537" s="13" t="s">
        <v>1656</v>
      </c>
      <c r="I537" s="13">
        <v>2024</v>
      </c>
      <c r="J537" s="13" t="s">
        <v>1568</v>
      </c>
      <c r="K537" s="13">
        <v>4</v>
      </c>
      <c r="L537" s="13">
        <v>31</v>
      </c>
      <c r="M537" s="13" t="s">
        <v>1570</v>
      </c>
    </row>
    <row r="538" spans="2:13" ht="15.75" hidden="1" outlineLevel="1" x14ac:dyDescent="0.3">
      <c r="B538" s="13" t="s">
        <v>700</v>
      </c>
      <c r="C538" s="13" t="s">
        <v>1568</v>
      </c>
      <c r="D538" s="13" t="s">
        <v>290</v>
      </c>
      <c r="E538" s="13" t="s">
        <v>681</v>
      </c>
      <c r="F538" s="13" t="s">
        <v>699</v>
      </c>
      <c r="G538" s="13" t="s">
        <v>1655</v>
      </c>
      <c r="H538" s="13" t="s">
        <v>1656</v>
      </c>
      <c r="I538" s="13">
        <v>2024</v>
      </c>
      <c r="J538" s="13" t="s">
        <v>1568</v>
      </c>
      <c r="K538" s="13">
        <v>8</v>
      </c>
      <c r="L538" s="13">
        <v>31</v>
      </c>
      <c r="M538" s="13" t="s">
        <v>1663</v>
      </c>
    </row>
    <row r="539" spans="2:13" ht="15.75" hidden="1" outlineLevel="1" x14ac:dyDescent="0.3">
      <c r="B539" s="13" t="s">
        <v>495</v>
      </c>
      <c r="C539" s="13" t="s">
        <v>1568</v>
      </c>
      <c r="D539" s="13" t="s">
        <v>290</v>
      </c>
      <c r="E539" s="13" t="s">
        <v>478</v>
      </c>
      <c r="F539" s="13" t="s">
        <v>492</v>
      </c>
      <c r="G539" s="13" t="s">
        <v>1655</v>
      </c>
      <c r="H539" s="13" t="s">
        <v>1656</v>
      </c>
      <c r="I539" s="13">
        <v>2024</v>
      </c>
      <c r="J539" s="13" t="s">
        <v>1568</v>
      </c>
      <c r="K539" s="13">
        <v>3</v>
      </c>
      <c r="L539" s="13">
        <v>31</v>
      </c>
      <c r="M539" s="13" t="s">
        <v>1569</v>
      </c>
    </row>
    <row r="540" spans="2:13" ht="15.75" hidden="1" outlineLevel="1" x14ac:dyDescent="0.3">
      <c r="B540" s="13" t="s">
        <v>654</v>
      </c>
      <c r="C540" s="13" t="s">
        <v>1568</v>
      </c>
      <c r="D540" s="13" t="s">
        <v>290</v>
      </c>
      <c r="E540" s="13" t="s">
        <v>638</v>
      </c>
      <c r="F540" s="13" t="s">
        <v>653</v>
      </c>
      <c r="G540" s="13" t="s">
        <v>1655</v>
      </c>
      <c r="H540" s="13" t="s">
        <v>1656</v>
      </c>
      <c r="I540" s="13">
        <v>2024</v>
      </c>
      <c r="J540" s="13" t="s">
        <v>1568</v>
      </c>
      <c r="K540" s="13">
        <v>7</v>
      </c>
      <c r="L540" s="13">
        <v>31</v>
      </c>
      <c r="M540" s="13" t="s">
        <v>1659</v>
      </c>
    </row>
    <row r="541" spans="2:13" ht="15.75" hidden="1" outlineLevel="1" x14ac:dyDescent="0.3">
      <c r="B541" s="13" t="s">
        <v>609</v>
      </c>
      <c r="C541" s="13" t="s">
        <v>1568</v>
      </c>
      <c r="D541" s="13" t="s">
        <v>290</v>
      </c>
      <c r="E541" s="13" t="s">
        <v>593</v>
      </c>
      <c r="F541" s="13" t="s">
        <v>608</v>
      </c>
      <c r="G541" s="13" t="s">
        <v>1655</v>
      </c>
      <c r="H541" s="13" t="s">
        <v>1656</v>
      </c>
      <c r="I541" s="13">
        <v>2024</v>
      </c>
      <c r="J541" s="13" t="s">
        <v>1568</v>
      </c>
      <c r="K541" s="13">
        <v>6</v>
      </c>
      <c r="L541" s="13">
        <v>31</v>
      </c>
      <c r="M541" s="13" t="s">
        <v>1660</v>
      </c>
    </row>
    <row r="542" spans="2:13" ht="15.75" hidden="1" outlineLevel="1" x14ac:dyDescent="0.3">
      <c r="B542" s="13" t="s">
        <v>446</v>
      </c>
      <c r="C542" s="13" t="s">
        <v>1568</v>
      </c>
      <c r="D542" s="13" t="s">
        <v>290</v>
      </c>
      <c r="E542" s="13" t="s">
        <v>13</v>
      </c>
      <c r="F542" s="13" t="s">
        <v>320</v>
      </c>
      <c r="G542" s="13" t="s">
        <v>1655</v>
      </c>
      <c r="H542" s="13" t="s">
        <v>1656</v>
      </c>
      <c r="I542" s="13">
        <v>2024</v>
      </c>
      <c r="J542" s="13" t="s">
        <v>1568</v>
      </c>
      <c r="K542" s="13">
        <v>11</v>
      </c>
      <c r="L542" s="13">
        <v>31</v>
      </c>
      <c r="M542" s="13" t="s">
        <v>1658</v>
      </c>
    </row>
    <row r="543" spans="2:13" ht="15.75" hidden="1" outlineLevel="1" x14ac:dyDescent="0.3">
      <c r="B543" s="13" t="s">
        <v>743</v>
      </c>
      <c r="C543" s="13" t="s">
        <v>1568</v>
      </c>
      <c r="D543" s="13" t="s">
        <v>290</v>
      </c>
      <c r="E543" s="13" t="s">
        <v>729</v>
      </c>
      <c r="F543" s="13" t="s">
        <v>316</v>
      </c>
      <c r="G543" s="13" t="s">
        <v>1655</v>
      </c>
      <c r="H543" s="13" t="s">
        <v>1656</v>
      </c>
      <c r="I543" s="13">
        <v>2024</v>
      </c>
      <c r="J543" s="13" t="s">
        <v>1568</v>
      </c>
      <c r="K543" s="13">
        <v>9</v>
      </c>
      <c r="L543" s="13">
        <v>31</v>
      </c>
      <c r="M543" s="13" t="s">
        <v>1661</v>
      </c>
    </row>
    <row r="544" spans="2:13" ht="15.75" hidden="1" outlineLevel="1" x14ac:dyDescent="0.3">
      <c r="B544" s="13" t="s">
        <v>570</v>
      </c>
      <c r="C544" s="13" t="s">
        <v>1568</v>
      </c>
      <c r="D544" s="13" t="s">
        <v>290</v>
      </c>
      <c r="E544" s="13" t="s">
        <v>556</v>
      </c>
      <c r="F544" s="13" t="s">
        <v>569</v>
      </c>
      <c r="G544" s="13" t="s">
        <v>1655</v>
      </c>
      <c r="H544" s="13" t="s">
        <v>1656</v>
      </c>
      <c r="I544" s="13">
        <v>2024</v>
      </c>
      <c r="J544" s="13" t="s">
        <v>1568</v>
      </c>
      <c r="K544" s="13">
        <v>5</v>
      </c>
      <c r="L544" s="13">
        <v>31</v>
      </c>
      <c r="M544" s="13" t="s">
        <v>1657</v>
      </c>
    </row>
    <row r="545" spans="2:13" ht="15.75" hidden="1" outlineLevel="1" x14ac:dyDescent="0.3">
      <c r="B545" s="13" t="s">
        <v>400</v>
      </c>
      <c r="C545" s="13" t="s">
        <v>1427</v>
      </c>
      <c r="D545" s="13" t="s">
        <v>11</v>
      </c>
      <c r="E545" s="13" t="s">
        <v>373</v>
      </c>
      <c r="F545" s="13" t="s">
        <v>47</v>
      </c>
      <c r="G545" s="13" t="s">
        <v>1655</v>
      </c>
      <c r="H545" s="13" t="s">
        <v>1656</v>
      </c>
      <c r="I545" s="13">
        <v>2025</v>
      </c>
      <c r="J545" s="13" t="s">
        <v>1428</v>
      </c>
      <c r="K545" s="13">
        <v>10</v>
      </c>
      <c r="L545" s="13">
        <v>32</v>
      </c>
      <c r="M545" s="13" t="s">
        <v>1667</v>
      </c>
    </row>
    <row r="546" spans="2:13" ht="15.75" hidden="1" outlineLevel="1" x14ac:dyDescent="0.3">
      <c r="B546" s="13" t="s">
        <v>701</v>
      </c>
      <c r="C546" s="13" t="s">
        <v>1427</v>
      </c>
      <c r="D546" s="13" t="s">
        <v>11</v>
      </c>
      <c r="E546" s="13" t="s">
        <v>681</v>
      </c>
      <c r="F546" s="13" t="s">
        <v>44</v>
      </c>
      <c r="G546" s="13" t="s">
        <v>1655</v>
      </c>
      <c r="H546" s="13" t="s">
        <v>1656</v>
      </c>
      <c r="I546" s="13">
        <v>2025</v>
      </c>
      <c r="J546" s="13" t="s">
        <v>1428</v>
      </c>
      <c r="K546" s="13">
        <v>8</v>
      </c>
      <c r="L546" s="13">
        <v>32</v>
      </c>
      <c r="M546" s="13" t="s">
        <v>1668</v>
      </c>
    </row>
    <row r="547" spans="2:13" ht="15.75" hidden="1" outlineLevel="1" x14ac:dyDescent="0.3">
      <c r="B547" s="13" t="s">
        <v>534</v>
      </c>
      <c r="C547" s="13" t="s">
        <v>1427</v>
      </c>
      <c r="D547" s="13" t="s">
        <v>11</v>
      </c>
      <c r="E547" s="13" t="s">
        <v>519</v>
      </c>
      <c r="F547" s="13" t="s">
        <v>308</v>
      </c>
      <c r="G547" s="13" t="s">
        <v>1655</v>
      </c>
      <c r="H547" s="13" t="s">
        <v>1656</v>
      </c>
      <c r="I547" s="13">
        <v>2025</v>
      </c>
      <c r="J547" s="13" t="s">
        <v>1428</v>
      </c>
      <c r="K547" s="13">
        <v>4</v>
      </c>
      <c r="L547" s="13">
        <v>32</v>
      </c>
      <c r="M547" s="13" t="s">
        <v>1430</v>
      </c>
    </row>
    <row r="548" spans="2:13" ht="15.75" hidden="1" outlineLevel="1" x14ac:dyDescent="0.3">
      <c r="B548" s="13" t="s">
        <v>610</v>
      </c>
      <c r="C548" s="13" t="s">
        <v>1427</v>
      </c>
      <c r="D548" s="13" t="s">
        <v>11</v>
      </c>
      <c r="E548" s="13" t="s">
        <v>593</v>
      </c>
      <c r="F548" s="13" t="s">
        <v>308</v>
      </c>
      <c r="G548" s="13" t="s">
        <v>1655</v>
      </c>
      <c r="H548" s="13" t="s">
        <v>1656</v>
      </c>
      <c r="I548" s="13">
        <v>2025</v>
      </c>
      <c r="J548" s="13" t="s">
        <v>1428</v>
      </c>
      <c r="K548" s="13">
        <v>6</v>
      </c>
      <c r="L548" s="13">
        <v>32</v>
      </c>
      <c r="M548" s="13" t="s">
        <v>1670</v>
      </c>
    </row>
    <row r="549" spans="2:13" ht="15.75" hidden="1" outlineLevel="1" x14ac:dyDescent="0.3">
      <c r="B549" s="13" t="s">
        <v>744</v>
      </c>
      <c r="C549" s="13" t="s">
        <v>1427</v>
      </c>
      <c r="D549" s="13" t="s">
        <v>11</v>
      </c>
      <c r="E549" s="13" t="s">
        <v>729</v>
      </c>
      <c r="F549" s="13" t="s">
        <v>44</v>
      </c>
      <c r="G549" s="13" t="s">
        <v>1655</v>
      </c>
      <c r="H549" s="13" t="s">
        <v>1656</v>
      </c>
      <c r="I549" s="13">
        <v>2025</v>
      </c>
      <c r="J549" s="13" t="s">
        <v>1428</v>
      </c>
      <c r="K549" s="13">
        <v>9</v>
      </c>
      <c r="L549" s="13">
        <v>32</v>
      </c>
      <c r="M549" s="13" t="s">
        <v>1666</v>
      </c>
    </row>
    <row r="550" spans="2:13" ht="15.75" hidden="1" outlineLevel="1" x14ac:dyDescent="0.3">
      <c r="B550" s="13" t="s">
        <v>655</v>
      </c>
      <c r="C550" s="13" t="s">
        <v>1427</v>
      </c>
      <c r="D550" s="13" t="s">
        <v>11</v>
      </c>
      <c r="E550" s="13" t="s">
        <v>638</v>
      </c>
      <c r="F550" s="13" t="s">
        <v>308</v>
      </c>
      <c r="G550" s="13" t="s">
        <v>1655</v>
      </c>
      <c r="H550" s="13" t="s">
        <v>1656</v>
      </c>
      <c r="I550" s="13">
        <v>2025</v>
      </c>
      <c r="J550" s="13" t="s">
        <v>1428</v>
      </c>
      <c r="K550" s="13">
        <v>7</v>
      </c>
      <c r="L550" s="13">
        <v>32</v>
      </c>
      <c r="M550" s="13" t="s">
        <v>1664</v>
      </c>
    </row>
    <row r="551" spans="2:13" ht="15.75" hidden="1" outlineLevel="1" x14ac:dyDescent="0.3">
      <c r="B551" s="13" t="s">
        <v>496</v>
      </c>
      <c r="C551" s="13" t="s">
        <v>1427</v>
      </c>
      <c r="D551" s="13" t="s">
        <v>11</v>
      </c>
      <c r="E551" s="13" t="s">
        <v>478</v>
      </c>
      <c r="F551" s="13" t="s">
        <v>308</v>
      </c>
      <c r="G551" s="13" t="s">
        <v>1655</v>
      </c>
      <c r="H551" s="13" t="s">
        <v>1656</v>
      </c>
      <c r="I551" s="13">
        <v>2025</v>
      </c>
      <c r="J551" s="13" t="s">
        <v>1428</v>
      </c>
      <c r="K551" s="13">
        <v>3</v>
      </c>
      <c r="L551" s="13">
        <v>32</v>
      </c>
      <c r="M551" s="13" t="s">
        <v>1429</v>
      </c>
    </row>
    <row r="552" spans="2:13" ht="15.75" hidden="1" outlineLevel="1" x14ac:dyDescent="0.3">
      <c r="B552" s="13" t="s">
        <v>571</v>
      </c>
      <c r="C552" s="13" t="s">
        <v>1427</v>
      </c>
      <c r="D552" s="13" t="s">
        <v>11</v>
      </c>
      <c r="E552" s="13" t="s">
        <v>556</v>
      </c>
      <c r="F552" s="13" t="s">
        <v>308</v>
      </c>
      <c r="G552" s="13" t="s">
        <v>1655</v>
      </c>
      <c r="H552" s="13" t="s">
        <v>1656</v>
      </c>
      <c r="I552" s="13">
        <v>2025</v>
      </c>
      <c r="J552" s="13" t="s">
        <v>1428</v>
      </c>
      <c r="K552" s="13">
        <v>5</v>
      </c>
      <c r="L552" s="13">
        <v>32</v>
      </c>
      <c r="M552" s="13" t="s">
        <v>1669</v>
      </c>
    </row>
    <row r="553" spans="2:13" ht="15.75" hidden="1" outlineLevel="1" x14ac:dyDescent="0.3">
      <c r="B553" s="13" t="s">
        <v>447</v>
      </c>
      <c r="C553" s="13" t="s">
        <v>1427</v>
      </c>
      <c r="D553" s="13" t="s">
        <v>11</v>
      </c>
      <c r="E553" s="13" t="s">
        <v>13</v>
      </c>
      <c r="F553" s="13" t="s">
        <v>41</v>
      </c>
      <c r="G553" s="13" t="s">
        <v>1655</v>
      </c>
      <c r="H553" s="13" t="s">
        <v>1656</v>
      </c>
      <c r="I553" s="13">
        <v>2025</v>
      </c>
      <c r="J553" s="13" t="s">
        <v>1428</v>
      </c>
      <c r="K553" s="13">
        <v>11</v>
      </c>
      <c r="L553" s="13">
        <v>32</v>
      </c>
      <c r="M553" s="13" t="s">
        <v>1665</v>
      </c>
    </row>
    <row r="554" spans="2:13" ht="15.75" hidden="1" outlineLevel="1" x14ac:dyDescent="0.3">
      <c r="B554" s="13" t="s">
        <v>745</v>
      </c>
      <c r="C554" s="13" t="s">
        <v>1449</v>
      </c>
      <c r="D554" s="13" t="s">
        <v>11</v>
      </c>
      <c r="E554" s="13" t="s">
        <v>729</v>
      </c>
      <c r="F554" s="13" t="s">
        <v>131</v>
      </c>
      <c r="G554" s="13" t="s">
        <v>1655</v>
      </c>
      <c r="H554" s="13" t="s">
        <v>1656</v>
      </c>
      <c r="I554" s="13">
        <v>2025</v>
      </c>
      <c r="J554" s="13" t="s">
        <v>1450</v>
      </c>
      <c r="K554" s="13">
        <v>9</v>
      </c>
      <c r="L554" s="13">
        <v>33</v>
      </c>
      <c r="M554" s="13" t="s">
        <v>1674</v>
      </c>
    </row>
    <row r="555" spans="2:13" ht="15.75" hidden="1" outlineLevel="1" x14ac:dyDescent="0.3">
      <c r="B555" s="13" t="s">
        <v>497</v>
      </c>
      <c r="C555" s="13" t="s">
        <v>1449</v>
      </c>
      <c r="D555" s="13" t="s">
        <v>11</v>
      </c>
      <c r="E555" s="13" t="s">
        <v>478</v>
      </c>
      <c r="F555" s="13" t="s">
        <v>308</v>
      </c>
      <c r="G555" s="13" t="s">
        <v>1655</v>
      </c>
      <c r="H555" s="13" t="s">
        <v>1656</v>
      </c>
      <c r="I555" s="13">
        <v>2025</v>
      </c>
      <c r="J555" s="13" t="s">
        <v>1450</v>
      </c>
      <c r="K555" s="13">
        <v>3</v>
      </c>
      <c r="L555" s="13">
        <v>33</v>
      </c>
      <c r="M555" s="13" t="s">
        <v>1452</v>
      </c>
    </row>
    <row r="556" spans="2:13" ht="15.75" hidden="1" outlineLevel="1" x14ac:dyDescent="0.3">
      <c r="B556" s="13" t="s">
        <v>572</v>
      </c>
      <c r="C556" s="13" t="s">
        <v>1449</v>
      </c>
      <c r="D556" s="13" t="s">
        <v>11</v>
      </c>
      <c r="E556" s="13" t="s">
        <v>556</v>
      </c>
      <c r="F556" s="13" t="s">
        <v>308</v>
      </c>
      <c r="G556" s="13" t="s">
        <v>1655</v>
      </c>
      <c r="H556" s="13" t="s">
        <v>1656</v>
      </c>
      <c r="I556" s="13">
        <v>2025</v>
      </c>
      <c r="J556" s="13" t="s">
        <v>1450</v>
      </c>
      <c r="K556" s="13">
        <v>5</v>
      </c>
      <c r="L556" s="13">
        <v>33</v>
      </c>
      <c r="M556" s="13" t="s">
        <v>1676</v>
      </c>
    </row>
    <row r="557" spans="2:13" ht="15.75" hidden="1" outlineLevel="1" x14ac:dyDescent="0.3">
      <c r="B557" s="13" t="s">
        <v>656</v>
      </c>
      <c r="C557" s="13" t="s">
        <v>1449</v>
      </c>
      <c r="D557" s="13" t="s">
        <v>11</v>
      </c>
      <c r="E557" s="13" t="s">
        <v>638</v>
      </c>
      <c r="F557" s="13" t="s">
        <v>308</v>
      </c>
      <c r="G557" s="13" t="s">
        <v>1655</v>
      </c>
      <c r="H557" s="13" t="s">
        <v>1656</v>
      </c>
      <c r="I557" s="13">
        <v>2025</v>
      </c>
      <c r="J557" s="13" t="s">
        <v>1450</v>
      </c>
      <c r="K557" s="13">
        <v>7</v>
      </c>
      <c r="L557" s="13">
        <v>33</v>
      </c>
      <c r="M557" s="13" t="s">
        <v>1671</v>
      </c>
    </row>
    <row r="558" spans="2:13" ht="15.75" hidden="1" outlineLevel="1" x14ac:dyDescent="0.3">
      <c r="B558" s="13" t="s">
        <v>401</v>
      </c>
      <c r="C558" s="13" t="s">
        <v>1449</v>
      </c>
      <c r="D558" s="13" t="s">
        <v>11</v>
      </c>
      <c r="E558" s="13" t="s">
        <v>373</v>
      </c>
      <c r="F558" s="13" t="s">
        <v>308</v>
      </c>
      <c r="G558" s="13" t="s">
        <v>1655</v>
      </c>
      <c r="H558" s="13" t="s">
        <v>1656</v>
      </c>
      <c r="I558" s="13">
        <v>2025</v>
      </c>
      <c r="J558" s="13" t="s">
        <v>1450</v>
      </c>
      <c r="K558" s="13">
        <v>10</v>
      </c>
      <c r="L558" s="13">
        <v>33</v>
      </c>
      <c r="M558" s="13" t="s">
        <v>1672</v>
      </c>
    </row>
    <row r="559" spans="2:13" ht="15.75" hidden="1" outlineLevel="1" x14ac:dyDescent="0.3">
      <c r="B559" s="13" t="s">
        <v>611</v>
      </c>
      <c r="C559" s="13" t="s">
        <v>1449</v>
      </c>
      <c r="D559" s="13" t="s">
        <v>11</v>
      </c>
      <c r="E559" s="13" t="s">
        <v>593</v>
      </c>
      <c r="F559" s="13" t="s">
        <v>308</v>
      </c>
      <c r="G559" s="13" t="s">
        <v>1655</v>
      </c>
      <c r="H559" s="13" t="s">
        <v>1656</v>
      </c>
      <c r="I559" s="13">
        <v>2025</v>
      </c>
      <c r="J559" s="13" t="s">
        <v>1450</v>
      </c>
      <c r="K559" s="13">
        <v>6</v>
      </c>
      <c r="L559" s="13">
        <v>33</v>
      </c>
      <c r="M559" s="13" t="s">
        <v>1673</v>
      </c>
    </row>
    <row r="560" spans="2:13" ht="15.75" hidden="1" outlineLevel="1" x14ac:dyDescent="0.3">
      <c r="B560" s="13" t="s">
        <v>702</v>
      </c>
      <c r="C560" s="13" t="s">
        <v>1449</v>
      </c>
      <c r="D560" s="13" t="s">
        <v>11</v>
      </c>
      <c r="E560" s="13" t="s">
        <v>681</v>
      </c>
      <c r="F560" s="13" t="s">
        <v>131</v>
      </c>
      <c r="G560" s="13" t="s">
        <v>1655</v>
      </c>
      <c r="H560" s="13" t="s">
        <v>1656</v>
      </c>
      <c r="I560" s="13">
        <v>2025</v>
      </c>
      <c r="J560" s="13" t="s">
        <v>1450</v>
      </c>
      <c r="K560" s="13">
        <v>8</v>
      </c>
      <c r="L560" s="13">
        <v>33</v>
      </c>
      <c r="M560" s="13" t="s">
        <v>1677</v>
      </c>
    </row>
    <row r="561" spans="2:13" ht="15.75" hidden="1" outlineLevel="1" x14ac:dyDescent="0.3">
      <c r="B561" s="13" t="s">
        <v>535</v>
      </c>
      <c r="C561" s="13" t="s">
        <v>1449</v>
      </c>
      <c r="D561" s="13" t="s">
        <v>11</v>
      </c>
      <c r="E561" s="13" t="s">
        <v>519</v>
      </c>
      <c r="F561" s="13" t="s">
        <v>308</v>
      </c>
      <c r="G561" s="13" t="s">
        <v>1655</v>
      </c>
      <c r="H561" s="13" t="s">
        <v>1656</v>
      </c>
      <c r="I561" s="13">
        <v>2025</v>
      </c>
      <c r="J561" s="13" t="s">
        <v>1450</v>
      </c>
      <c r="K561" s="13">
        <v>4</v>
      </c>
      <c r="L561" s="13">
        <v>33</v>
      </c>
      <c r="M561" s="13" t="s">
        <v>1451</v>
      </c>
    </row>
    <row r="562" spans="2:13" ht="15.75" hidden="1" outlineLevel="1" x14ac:dyDescent="0.3">
      <c r="B562" s="13" t="s">
        <v>448</v>
      </c>
      <c r="C562" s="13" t="s">
        <v>1449</v>
      </c>
      <c r="D562" s="13" t="s">
        <v>11</v>
      </c>
      <c r="E562" s="13" t="s">
        <v>13</v>
      </c>
      <c r="F562" s="13" t="s">
        <v>131</v>
      </c>
      <c r="G562" s="13" t="s">
        <v>1655</v>
      </c>
      <c r="H562" s="13" t="s">
        <v>1656</v>
      </c>
      <c r="I562" s="13">
        <v>2025</v>
      </c>
      <c r="J562" s="13" t="s">
        <v>1450</v>
      </c>
      <c r="K562" s="13">
        <v>11</v>
      </c>
      <c r="L562" s="13">
        <v>33</v>
      </c>
      <c r="M562" s="13" t="s">
        <v>1675</v>
      </c>
    </row>
    <row r="563" spans="2:13" ht="15.75" hidden="1" outlineLevel="1" x14ac:dyDescent="0.3">
      <c r="B563" s="13" t="s">
        <v>657</v>
      </c>
      <c r="C563" s="13" t="s">
        <v>1457</v>
      </c>
      <c r="D563" s="13" t="s">
        <v>11</v>
      </c>
      <c r="E563" s="13" t="s">
        <v>638</v>
      </c>
      <c r="F563" s="13" t="s">
        <v>308</v>
      </c>
      <c r="G563" s="13" t="s">
        <v>1655</v>
      </c>
      <c r="H563" s="13" t="s">
        <v>1656</v>
      </c>
      <c r="I563" s="13">
        <v>2025</v>
      </c>
      <c r="J563" s="13" t="s">
        <v>1458</v>
      </c>
      <c r="K563" s="13">
        <v>7</v>
      </c>
      <c r="L563" s="13">
        <v>34</v>
      </c>
      <c r="M563" s="13" t="s">
        <v>1679</v>
      </c>
    </row>
    <row r="564" spans="2:13" ht="15.75" hidden="1" outlineLevel="1" x14ac:dyDescent="0.3">
      <c r="B564" s="13" t="s">
        <v>612</v>
      </c>
      <c r="C564" s="13" t="s">
        <v>1457</v>
      </c>
      <c r="D564" s="13" t="s">
        <v>11</v>
      </c>
      <c r="E564" s="13" t="s">
        <v>593</v>
      </c>
      <c r="F564" s="13" t="s">
        <v>613</v>
      </c>
      <c r="G564" s="13" t="s">
        <v>1655</v>
      </c>
      <c r="H564" s="13" t="s">
        <v>1656</v>
      </c>
      <c r="I564" s="13">
        <v>2025</v>
      </c>
      <c r="J564" s="13" t="s">
        <v>1458</v>
      </c>
      <c r="K564" s="13">
        <v>6</v>
      </c>
      <c r="L564" s="13">
        <v>34</v>
      </c>
      <c r="M564" s="13" t="s">
        <v>1678</v>
      </c>
    </row>
    <row r="565" spans="2:13" ht="15.75" hidden="1" outlineLevel="1" x14ac:dyDescent="0.3">
      <c r="B565" s="13" t="s">
        <v>703</v>
      </c>
      <c r="C565" s="13" t="s">
        <v>1457</v>
      </c>
      <c r="D565" s="13" t="s">
        <v>11</v>
      </c>
      <c r="E565" s="13" t="s">
        <v>681</v>
      </c>
      <c r="F565" s="13" t="s">
        <v>308</v>
      </c>
      <c r="G565" s="13" t="s">
        <v>1655</v>
      </c>
      <c r="H565" s="13" t="s">
        <v>1656</v>
      </c>
      <c r="I565" s="13">
        <v>2025</v>
      </c>
      <c r="J565" s="13" t="s">
        <v>1458</v>
      </c>
      <c r="K565" s="13">
        <v>8</v>
      </c>
      <c r="L565" s="13">
        <v>34</v>
      </c>
      <c r="M565" s="13" t="s">
        <v>1682</v>
      </c>
    </row>
    <row r="566" spans="2:13" ht="15.75" hidden="1" outlineLevel="1" x14ac:dyDescent="0.3">
      <c r="B566" s="13" t="s">
        <v>449</v>
      </c>
      <c r="C566" s="13" t="s">
        <v>1457</v>
      </c>
      <c r="D566" s="13" t="s">
        <v>11</v>
      </c>
      <c r="E566" s="13" t="s">
        <v>13</v>
      </c>
      <c r="F566" s="13" t="s">
        <v>137</v>
      </c>
      <c r="G566" s="13" t="s">
        <v>1655</v>
      </c>
      <c r="H566" s="13" t="s">
        <v>1656</v>
      </c>
      <c r="I566" s="13">
        <v>2025</v>
      </c>
      <c r="J566" s="13" t="s">
        <v>1458</v>
      </c>
      <c r="K566" s="13">
        <v>11</v>
      </c>
      <c r="L566" s="13">
        <v>34</v>
      </c>
      <c r="M566" s="13" t="s">
        <v>1681</v>
      </c>
    </row>
    <row r="567" spans="2:13" ht="15.75" hidden="1" outlineLevel="1" x14ac:dyDescent="0.3">
      <c r="B567" s="13" t="s">
        <v>746</v>
      </c>
      <c r="C567" s="13" t="s">
        <v>1457</v>
      </c>
      <c r="D567" s="13" t="s">
        <v>11</v>
      </c>
      <c r="E567" s="13" t="s">
        <v>729</v>
      </c>
      <c r="F567" s="13" t="s">
        <v>613</v>
      </c>
      <c r="G567" s="13" t="s">
        <v>1655</v>
      </c>
      <c r="H567" s="13" t="s">
        <v>1656</v>
      </c>
      <c r="I567" s="13">
        <v>2025</v>
      </c>
      <c r="J567" s="13" t="s">
        <v>1458</v>
      </c>
      <c r="K567" s="13">
        <v>9</v>
      </c>
      <c r="L567" s="13">
        <v>34</v>
      </c>
      <c r="M567" s="13" t="s">
        <v>1684</v>
      </c>
    </row>
    <row r="568" spans="2:13" ht="15.75" hidden="1" outlineLevel="1" x14ac:dyDescent="0.3">
      <c r="B568" s="13" t="s">
        <v>536</v>
      </c>
      <c r="C568" s="13" t="s">
        <v>1457</v>
      </c>
      <c r="D568" s="13" t="s">
        <v>11</v>
      </c>
      <c r="E568" s="13" t="s">
        <v>519</v>
      </c>
      <c r="F568" s="13" t="s">
        <v>308</v>
      </c>
      <c r="G568" s="13" t="s">
        <v>1655</v>
      </c>
      <c r="H568" s="13" t="s">
        <v>1656</v>
      </c>
      <c r="I568" s="13">
        <v>2025</v>
      </c>
      <c r="J568" s="13" t="s">
        <v>1458</v>
      </c>
      <c r="K568" s="13">
        <v>4</v>
      </c>
      <c r="L568" s="13">
        <v>34</v>
      </c>
      <c r="M568" s="13" t="s">
        <v>1459</v>
      </c>
    </row>
    <row r="569" spans="2:13" ht="15.75" hidden="1" outlineLevel="1" x14ac:dyDescent="0.3">
      <c r="B569" s="13" t="s">
        <v>498</v>
      </c>
      <c r="C569" s="13" t="s">
        <v>1457</v>
      </c>
      <c r="D569" s="13" t="s">
        <v>11</v>
      </c>
      <c r="E569" s="13" t="s">
        <v>478</v>
      </c>
      <c r="F569" s="13" t="s">
        <v>308</v>
      </c>
      <c r="G569" s="13" t="s">
        <v>1655</v>
      </c>
      <c r="H569" s="13" t="s">
        <v>1656</v>
      </c>
      <c r="I569" s="13">
        <v>2025</v>
      </c>
      <c r="J569" s="13" t="s">
        <v>1458</v>
      </c>
      <c r="K569" s="13">
        <v>3</v>
      </c>
      <c r="L569" s="13">
        <v>34</v>
      </c>
      <c r="M569" s="13" t="s">
        <v>1460</v>
      </c>
    </row>
    <row r="570" spans="2:13" ht="15.75" hidden="1" outlineLevel="1" x14ac:dyDescent="0.3">
      <c r="B570" s="13" t="s">
        <v>402</v>
      </c>
      <c r="C570" s="13" t="s">
        <v>1457</v>
      </c>
      <c r="D570" s="13" t="s">
        <v>11</v>
      </c>
      <c r="E570" s="13" t="s">
        <v>373</v>
      </c>
      <c r="F570" s="13" t="s">
        <v>403</v>
      </c>
      <c r="G570" s="13" t="s">
        <v>1655</v>
      </c>
      <c r="H570" s="13" t="s">
        <v>1656</v>
      </c>
      <c r="I570" s="13">
        <v>2025</v>
      </c>
      <c r="J570" s="13" t="s">
        <v>1458</v>
      </c>
      <c r="K570" s="13">
        <v>10</v>
      </c>
      <c r="L570" s="13">
        <v>34</v>
      </c>
      <c r="M570" s="13" t="s">
        <v>1680</v>
      </c>
    </row>
    <row r="571" spans="2:13" ht="15.75" hidden="1" outlineLevel="1" x14ac:dyDescent="0.3">
      <c r="B571" s="13" t="s">
        <v>573</v>
      </c>
      <c r="C571" s="13" t="s">
        <v>1457</v>
      </c>
      <c r="D571" s="13" t="s">
        <v>11</v>
      </c>
      <c r="E571" s="13" t="s">
        <v>556</v>
      </c>
      <c r="F571" s="13" t="s">
        <v>308</v>
      </c>
      <c r="G571" s="13" t="s">
        <v>1655</v>
      </c>
      <c r="H571" s="13" t="s">
        <v>1656</v>
      </c>
      <c r="I571" s="13">
        <v>2025</v>
      </c>
      <c r="J571" s="13" t="s">
        <v>1458</v>
      </c>
      <c r="K571" s="13">
        <v>5</v>
      </c>
      <c r="L571" s="13">
        <v>34</v>
      </c>
      <c r="M571" s="13" t="s">
        <v>1683</v>
      </c>
    </row>
    <row r="572" spans="2:13" ht="15.75" hidden="1" outlineLevel="1" x14ac:dyDescent="0.3">
      <c r="B572" s="13" t="s">
        <v>537</v>
      </c>
      <c r="C572" s="13" t="s">
        <v>1461</v>
      </c>
      <c r="D572" s="13" t="s">
        <v>11</v>
      </c>
      <c r="E572" s="13" t="s">
        <v>519</v>
      </c>
      <c r="F572" s="13" t="s">
        <v>308</v>
      </c>
      <c r="G572" s="13" t="s">
        <v>1655</v>
      </c>
      <c r="H572" s="13" t="s">
        <v>1656</v>
      </c>
      <c r="I572" s="13">
        <v>2025</v>
      </c>
      <c r="J572" s="13" t="s">
        <v>1462</v>
      </c>
      <c r="K572" s="13">
        <v>4</v>
      </c>
      <c r="L572" s="13">
        <v>35</v>
      </c>
      <c r="M572" s="13" t="s">
        <v>1463</v>
      </c>
    </row>
    <row r="573" spans="2:13" ht="15.75" hidden="1" outlineLevel="1" x14ac:dyDescent="0.3">
      <c r="B573" s="13" t="s">
        <v>499</v>
      </c>
      <c r="C573" s="13" t="s">
        <v>1461</v>
      </c>
      <c r="D573" s="13" t="s">
        <v>11</v>
      </c>
      <c r="E573" s="13" t="s">
        <v>478</v>
      </c>
      <c r="F573" s="13" t="s">
        <v>308</v>
      </c>
      <c r="G573" s="13" t="s">
        <v>1655</v>
      </c>
      <c r="H573" s="13" t="s">
        <v>1656</v>
      </c>
      <c r="I573" s="13">
        <v>2025</v>
      </c>
      <c r="J573" s="13" t="s">
        <v>1462</v>
      </c>
      <c r="K573" s="13">
        <v>3</v>
      </c>
      <c r="L573" s="13">
        <v>35</v>
      </c>
      <c r="M573" s="13" t="s">
        <v>1464</v>
      </c>
    </row>
    <row r="574" spans="2:13" ht="15.75" hidden="1" outlineLevel="1" x14ac:dyDescent="0.3">
      <c r="B574" s="13" t="s">
        <v>450</v>
      </c>
      <c r="C574" s="13" t="s">
        <v>1461</v>
      </c>
      <c r="D574" s="13" t="s">
        <v>11</v>
      </c>
      <c r="E574" s="13" t="s">
        <v>13</v>
      </c>
      <c r="F574" s="13" t="s">
        <v>140</v>
      </c>
      <c r="G574" s="13" t="s">
        <v>1655</v>
      </c>
      <c r="H574" s="13" t="s">
        <v>1656</v>
      </c>
      <c r="I574" s="13">
        <v>2025</v>
      </c>
      <c r="J574" s="13" t="s">
        <v>1462</v>
      </c>
      <c r="K574" s="13">
        <v>11</v>
      </c>
      <c r="L574" s="13">
        <v>35</v>
      </c>
      <c r="M574" s="13" t="s">
        <v>1685</v>
      </c>
    </row>
    <row r="575" spans="2:13" ht="15.75" hidden="1" outlineLevel="1" x14ac:dyDescent="0.3">
      <c r="B575" s="13" t="s">
        <v>658</v>
      </c>
      <c r="C575" s="13" t="s">
        <v>1461</v>
      </c>
      <c r="D575" s="13" t="s">
        <v>11</v>
      </c>
      <c r="E575" s="13" t="s">
        <v>638</v>
      </c>
      <c r="F575" s="13" t="s">
        <v>308</v>
      </c>
      <c r="G575" s="13" t="s">
        <v>1655</v>
      </c>
      <c r="H575" s="13" t="s">
        <v>1656</v>
      </c>
      <c r="I575" s="13">
        <v>2025</v>
      </c>
      <c r="J575" s="13" t="s">
        <v>1462</v>
      </c>
      <c r="K575" s="13">
        <v>7</v>
      </c>
      <c r="L575" s="13">
        <v>35</v>
      </c>
      <c r="M575" s="13" t="s">
        <v>1687</v>
      </c>
    </row>
    <row r="576" spans="2:13" ht="15.75" hidden="1" outlineLevel="1" x14ac:dyDescent="0.3">
      <c r="B576" s="13" t="s">
        <v>574</v>
      </c>
      <c r="C576" s="13" t="s">
        <v>1461</v>
      </c>
      <c r="D576" s="13" t="s">
        <v>11</v>
      </c>
      <c r="E576" s="13" t="s">
        <v>556</v>
      </c>
      <c r="F576" s="13" t="s">
        <v>308</v>
      </c>
      <c r="G576" s="13" t="s">
        <v>1655</v>
      </c>
      <c r="H576" s="13" t="s">
        <v>1656</v>
      </c>
      <c r="I576" s="13">
        <v>2025</v>
      </c>
      <c r="J576" s="13" t="s">
        <v>1462</v>
      </c>
      <c r="K576" s="13">
        <v>5</v>
      </c>
      <c r="L576" s="13">
        <v>35</v>
      </c>
      <c r="M576" s="13" t="s">
        <v>1689</v>
      </c>
    </row>
    <row r="577" spans="2:13" ht="15.75" hidden="1" outlineLevel="1" x14ac:dyDescent="0.3">
      <c r="B577" s="13" t="s">
        <v>747</v>
      </c>
      <c r="C577" s="13" t="s">
        <v>1461</v>
      </c>
      <c r="D577" s="13" t="s">
        <v>11</v>
      </c>
      <c r="E577" s="13" t="s">
        <v>729</v>
      </c>
      <c r="F577" s="13" t="s">
        <v>140</v>
      </c>
      <c r="G577" s="13" t="s">
        <v>1655</v>
      </c>
      <c r="H577" s="13" t="s">
        <v>1656</v>
      </c>
      <c r="I577" s="13">
        <v>2025</v>
      </c>
      <c r="J577" s="13" t="s">
        <v>1462</v>
      </c>
      <c r="K577" s="13">
        <v>9</v>
      </c>
      <c r="L577" s="13">
        <v>35</v>
      </c>
      <c r="M577" s="13" t="s">
        <v>1690</v>
      </c>
    </row>
    <row r="578" spans="2:13" ht="15.75" hidden="1" outlineLevel="1" x14ac:dyDescent="0.3">
      <c r="B578" s="13" t="s">
        <v>404</v>
      </c>
      <c r="C578" s="13" t="s">
        <v>1461</v>
      </c>
      <c r="D578" s="13" t="s">
        <v>11</v>
      </c>
      <c r="E578" s="13" t="s">
        <v>373</v>
      </c>
      <c r="F578" s="13" t="s">
        <v>308</v>
      </c>
      <c r="G578" s="13" t="s">
        <v>1655</v>
      </c>
      <c r="H578" s="13" t="s">
        <v>1656</v>
      </c>
      <c r="I578" s="13">
        <v>2025</v>
      </c>
      <c r="J578" s="13" t="s">
        <v>1462</v>
      </c>
      <c r="K578" s="13">
        <v>10</v>
      </c>
      <c r="L578" s="13">
        <v>35</v>
      </c>
      <c r="M578" s="13" t="s">
        <v>1691</v>
      </c>
    </row>
    <row r="579" spans="2:13" ht="15.75" hidden="1" outlineLevel="1" x14ac:dyDescent="0.3">
      <c r="B579" s="13" t="s">
        <v>704</v>
      </c>
      <c r="C579" s="13" t="s">
        <v>1461</v>
      </c>
      <c r="D579" s="13" t="s">
        <v>11</v>
      </c>
      <c r="E579" s="13" t="s">
        <v>681</v>
      </c>
      <c r="F579" s="13" t="s">
        <v>308</v>
      </c>
      <c r="G579" s="13" t="s">
        <v>1655</v>
      </c>
      <c r="H579" s="13" t="s">
        <v>1656</v>
      </c>
      <c r="I579" s="13">
        <v>2025</v>
      </c>
      <c r="J579" s="13" t="s">
        <v>1462</v>
      </c>
      <c r="K579" s="13">
        <v>8</v>
      </c>
      <c r="L579" s="13">
        <v>35</v>
      </c>
      <c r="M579" s="13" t="s">
        <v>1686</v>
      </c>
    </row>
    <row r="580" spans="2:13" ht="15.75" hidden="1" outlineLevel="1" x14ac:dyDescent="0.3">
      <c r="B580" s="13" t="s">
        <v>614</v>
      </c>
      <c r="C580" s="13" t="s">
        <v>1461</v>
      </c>
      <c r="D580" s="13" t="s">
        <v>11</v>
      </c>
      <c r="E580" s="13" t="s">
        <v>593</v>
      </c>
      <c r="F580" s="13" t="s">
        <v>140</v>
      </c>
      <c r="G580" s="13" t="s">
        <v>1655</v>
      </c>
      <c r="H580" s="13" t="s">
        <v>1656</v>
      </c>
      <c r="I580" s="13">
        <v>2025</v>
      </c>
      <c r="J580" s="13" t="s">
        <v>1462</v>
      </c>
      <c r="K580" s="13">
        <v>6</v>
      </c>
      <c r="L580" s="13">
        <v>35</v>
      </c>
      <c r="M580" s="13" t="s">
        <v>1688</v>
      </c>
    </row>
    <row r="581" spans="2:13" ht="15.75" hidden="1" outlineLevel="1" x14ac:dyDescent="0.3">
      <c r="B581" s="13" t="s">
        <v>405</v>
      </c>
      <c r="C581" s="13" t="s">
        <v>1465</v>
      </c>
      <c r="D581" s="13" t="s">
        <v>11</v>
      </c>
      <c r="E581" s="13" t="s">
        <v>373</v>
      </c>
      <c r="F581" s="13" t="s">
        <v>308</v>
      </c>
      <c r="G581" s="13" t="s">
        <v>1655</v>
      </c>
      <c r="H581" s="13" t="s">
        <v>1656</v>
      </c>
      <c r="I581" s="13">
        <v>2025</v>
      </c>
      <c r="J581" s="13" t="s">
        <v>1466</v>
      </c>
      <c r="K581" s="13">
        <v>10</v>
      </c>
      <c r="L581" s="13">
        <v>36</v>
      </c>
      <c r="M581" s="13" t="s">
        <v>1693</v>
      </c>
    </row>
    <row r="582" spans="2:13" ht="15.75" hidden="1" outlineLevel="1" x14ac:dyDescent="0.3">
      <c r="B582" s="13" t="s">
        <v>451</v>
      </c>
      <c r="C582" s="13" t="s">
        <v>1465</v>
      </c>
      <c r="D582" s="13" t="s">
        <v>11</v>
      </c>
      <c r="E582" s="13" t="s">
        <v>13</v>
      </c>
      <c r="F582" s="13" t="s">
        <v>111</v>
      </c>
      <c r="G582" s="13" t="s">
        <v>1655</v>
      </c>
      <c r="H582" s="13" t="s">
        <v>1656</v>
      </c>
      <c r="I582" s="13">
        <v>2025</v>
      </c>
      <c r="J582" s="13" t="s">
        <v>1466</v>
      </c>
      <c r="K582" s="13">
        <v>11</v>
      </c>
      <c r="L582" s="13">
        <v>36</v>
      </c>
      <c r="M582" s="13" t="s">
        <v>1696</v>
      </c>
    </row>
    <row r="583" spans="2:13" ht="15.75" hidden="1" outlineLevel="1" x14ac:dyDescent="0.3">
      <c r="B583" s="13" t="s">
        <v>748</v>
      </c>
      <c r="C583" s="13" t="s">
        <v>1465</v>
      </c>
      <c r="D583" s="13" t="s">
        <v>11</v>
      </c>
      <c r="E583" s="13" t="s">
        <v>729</v>
      </c>
      <c r="F583" s="13" t="s">
        <v>111</v>
      </c>
      <c r="G583" s="13" t="s">
        <v>1655</v>
      </c>
      <c r="H583" s="13" t="s">
        <v>1656</v>
      </c>
      <c r="I583" s="13">
        <v>2025</v>
      </c>
      <c r="J583" s="13" t="s">
        <v>1466</v>
      </c>
      <c r="K583" s="13">
        <v>9</v>
      </c>
      <c r="L583" s="13">
        <v>36</v>
      </c>
      <c r="M583" s="13" t="s">
        <v>1698</v>
      </c>
    </row>
    <row r="584" spans="2:13" ht="15.75" hidden="1" outlineLevel="1" x14ac:dyDescent="0.3">
      <c r="B584" s="13" t="s">
        <v>705</v>
      </c>
      <c r="C584" s="13" t="s">
        <v>1465</v>
      </c>
      <c r="D584" s="13" t="s">
        <v>11</v>
      </c>
      <c r="E584" s="13" t="s">
        <v>681</v>
      </c>
      <c r="F584" s="13" t="s">
        <v>308</v>
      </c>
      <c r="G584" s="13" t="s">
        <v>1655</v>
      </c>
      <c r="H584" s="13" t="s">
        <v>1656</v>
      </c>
      <c r="I584" s="13">
        <v>2025</v>
      </c>
      <c r="J584" s="13" t="s">
        <v>1466</v>
      </c>
      <c r="K584" s="13">
        <v>8</v>
      </c>
      <c r="L584" s="13">
        <v>36</v>
      </c>
      <c r="M584" s="13" t="s">
        <v>1697</v>
      </c>
    </row>
    <row r="585" spans="2:13" ht="15.75" hidden="1" outlineLevel="1" x14ac:dyDescent="0.3">
      <c r="B585" s="13" t="s">
        <v>538</v>
      </c>
      <c r="C585" s="13" t="s">
        <v>1465</v>
      </c>
      <c r="D585" s="13" t="s">
        <v>11</v>
      </c>
      <c r="E585" s="13" t="s">
        <v>519</v>
      </c>
      <c r="F585" s="13" t="s">
        <v>308</v>
      </c>
      <c r="G585" s="13" t="s">
        <v>1655</v>
      </c>
      <c r="H585" s="13" t="s">
        <v>1656</v>
      </c>
      <c r="I585" s="13">
        <v>2025</v>
      </c>
      <c r="J585" s="13" t="s">
        <v>1466</v>
      </c>
      <c r="K585" s="13">
        <v>4</v>
      </c>
      <c r="L585" s="13">
        <v>36</v>
      </c>
      <c r="M585" s="13" t="s">
        <v>1467</v>
      </c>
    </row>
    <row r="586" spans="2:13" ht="15.75" hidden="1" outlineLevel="1" x14ac:dyDescent="0.3">
      <c r="B586" s="13" t="s">
        <v>615</v>
      </c>
      <c r="C586" s="13" t="s">
        <v>1465</v>
      </c>
      <c r="D586" s="13" t="s">
        <v>11</v>
      </c>
      <c r="E586" s="13" t="s">
        <v>593</v>
      </c>
      <c r="F586" s="13" t="s">
        <v>308</v>
      </c>
      <c r="G586" s="13" t="s">
        <v>1655</v>
      </c>
      <c r="H586" s="13" t="s">
        <v>1656</v>
      </c>
      <c r="I586" s="13">
        <v>2025</v>
      </c>
      <c r="J586" s="13" t="s">
        <v>1466</v>
      </c>
      <c r="K586" s="13">
        <v>6</v>
      </c>
      <c r="L586" s="13">
        <v>36</v>
      </c>
      <c r="M586" s="13" t="s">
        <v>1694</v>
      </c>
    </row>
    <row r="587" spans="2:13" ht="15.75" hidden="1" outlineLevel="1" x14ac:dyDescent="0.3">
      <c r="B587" s="13" t="s">
        <v>500</v>
      </c>
      <c r="C587" s="13" t="s">
        <v>1465</v>
      </c>
      <c r="D587" s="13" t="s">
        <v>11</v>
      </c>
      <c r="E587" s="13" t="s">
        <v>478</v>
      </c>
      <c r="F587" s="13" t="s">
        <v>308</v>
      </c>
      <c r="G587" s="13" t="s">
        <v>1655</v>
      </c>
      <c r="H587" s="13" t="s">
        <v>1656</v>
      </c>
      <c r="I587" s="13">
        <v>2025</v>
      </c>
      <c r="J587" s="13" t="s">
        <v>1466</v>
      </c>
      <c r="K587" s="13">
        <v>3</v>
      </c>
      <c r="L587" s="13">
        <v>36</v>
      </c>
      <c r="M587" s="13" t="s">
        <v>1468</v>
      </c>
    </row>
    <row r="588" spans="2:13" ht="15.75" hidden="1" outlineLevel="1" x14ac:dyDescent="0.3">
      <c r="B588" s="13" t="s">
        <v>575</v>
      </c>
      <c r="C588" s="13" t="s">
        <v>1465</v>
      </c>
      <c r="D588" s="13" t="s">
        <v>11</v>
      </c>
      <c r="E588" s="13" t="s">
        <v>556</v>
      </c>
      <c r="F588" s="13" t="s">
        <v>308</v>
      </c>
      <c r="G588" s="13" t="s">
        <v>1655</v>
      </c>
      <c r="H588" s="13" t="s">
        <v>1656</v>
      </c>
      <c r="I588" s="13">
        <v>2025</v>
      </c>
      <c r="J588" s="13" t="s">
        <v>1466</v>
      </c>
      <c r="K588" s="13">
        <v>5</v>
      </c>
      <c r="L588" s="13">
        <v>36</v>
      </c>
      <c r="M588" s="13" t="s">
        <v>1692</v>
      </c>
    </row>
    <row r="589" spans="2:13" ht="15.75" hidden="1" outlineLevel="1" x14ac:dyDescent="0.3">
      <c r="B589" s="13" t="s">
        <v>659</v>
      </c>
      <c r="C589" s="13" t="s">
        <v>1465</v>
      </c>
      <c r="D589" s="13" t="s">
        <v>11</v>
      </c>
      <c r="E589" s="13" t="s">
        <v>638</v>
      </c>
      <c r="F589" s="13" t="s">
        <v>111</v>
      </c>
      <c r="G589" s="13" t="s">
        <v>1655</v>
      </c>
      <c r="H589" s="13" t="s">
        <v>1656</v>
      </c>
      <c r="I589" s="13">
        <v>2025</v>
      </c>
      <c r="J589" s="13" t="s">
        <v>1466</v>
      </c>
      <c r="K589" s="13">
        <v>7</v>
      </c>
      <c r="L589" s="13">
        <v>36</v>
      </c>
      <c r="M589" s="13" t="s">
        <v>1695</v>
      </c>
    </row>
    <row r="590" spans="2:13" ht="15.75" hidden="1" outlineLevel="1" x14ac:dyDescent="0.3">
      <c r="B590" s="13" t="s">
        <v>501</v>
      </c>
      <c r="C590" s="13" t="s">
        <v>1699</v>
      </c>
      <c r="D590" s="13" t="s">
        <v>11</v>
      </c>
      <c r="E590" s="13" t="s">
        <v>478</v>
      </c>
      <c r="F590" s="13" t="s">
        <v>308</v>
      </c>
      <c r="G590" s="13" t="s">
        <v>1655</v>
      </c>
      <c r="H590" s="13" t="s">
        <v>1656</v>
      </c>
      <c r="I590" s="13">
        <v>2025</v>
      </c>
      <c r="J590" s="13" t="s">
        <v>1700</v>
      </c>
      <c r="K590" s="13">
        <v>3</v>
      </c>
      <c r="L590" s="13">
        <v>37</v>
      </c>
      <c r="M590" s="13" t="s">
        <v>1706</v>
      </c>
    </row>
    <row r="591" spans="2:13" ht="15.75" hidden="1" outlineLevel="1" x14ac:dyDescent="0.3">
      <c r="B591" s="13" t="s">
        <v>660</v>
      </c>
      <c r="C591" s="13" t="s">
        <v>1699</v>
      </c>
      <c r="D591" s="13" t="s">
        <v>11</v>
      </c>
      <c r="E591" s="13" t="s">
        <v>638</v>
      </c>
      <c r="F591" s="13" t="s">
        <v>661</v>
      </c>
      <c r="G591" s="13" t="s">
        <v>1655</v>
      </c>
      <c r="H591" s="13" t="s">
        <v>1656</v>
      </c>
      <c r="I591" s="13">
        <v>2025</v>
      </c>
      <c r="J591" s="13" t="s">
        <v>1700</v>
      </c>
      <c r="K591" s="13">
        <v>7</v>
      </c>
      <c r="L591" s="13">
        <v>37</v>
      </c>
      <c r="M591" s="13" t="s">
        <v>1702</v>
      </c>
    </row>
    <row r="592" spans="2:13" ht="15.75" hidden="1" outlineLevel="1" x14ac:dyDescent="0.3">
      <c r="B592" s="13" t="s">
        <v>452</v>
      </c>
      <c r="C592" s="13" t="s">
        <v>1699</v>
      </c>
      <c r="D592" s="13" t="s">
        <v>11</v>
      </c>
      <c r="E592" s="13" t="s">
        <v>13</v>
      </c>
      <c r="F592" s="13" t="s">
        <v>453</v>
      </c>
      <c r="G592" s="13" t="s">
        <v>1655</v>
      </c>
      <c r="H592" s="13" t="s">
        <v>1656</v>
      </c>
      <c r="I592" s="13">
        <v>2025</v>
      </c>
      <c r="J592" s="13" t="s">
        <v>1700</v>
      </c>
      <c r="K592" s="13">
        <v>11</v>
      </c>
      <c r="L592" s="13">
        <v>37</v>
      </c>
      <c r="M592" s="13" t="s">
        <v>1708</v>
      </c>
    </row>
    <row r="593" spans="2:13" ht="15.75" hidden="1" outlineLevel="1" x14ac:dyDescent="0.3">
      <c r="B593" s="13" t="s">
        <v>706</v>
      </c>
      <c r="C593" s="13" t="s">
        <v>1699</v>
      </c>
      <c r="D593" s="13" t="s">
        <v>11</v>
      </c>
      <c r="E593" s="13" t="s">
        <v>681</v>
      </c>
      <c r="F593" s="13" t="s">
        <v>134</v>
      </c>
      <c r="G593" s="13" t="s">
        <v>1655</v>
      </c>
      <c r="H593" s="13" t="s">
        <v>1656</v>
      </c>
      <c r="I593" s="13">
        <v>2025</v>
      </c>
      <c r="J593" s="13" t="s">
        <v>1700</v>
      </c>
      <c r="K593" s="13">
        <v>8</v>
      </c>
      <c r="L593" s="13">
        <v>37</v>
      </c>
      <c r="M593" s="13" t="s">
        <v>1709</v>
      </c>
    </row>
    <row r="594" spans="2:13" ht="15.75" hidden="1" outlineLevel="1" x14ac:dyDescent="0.3">
      <c r="B594" s="13" t="s">
        <v>749</v>
      </c>
      <c r="C594" s="13" t="s">
        <v>1699</v>
      </c>
      <c r="D594" s="13" t="s">
        <v>11</v>
      </c>
      <c r="E594" s="13" t="s">
        <v>729</v>
      </c>
      <c r="F594" s="13" t="s">
        <v>453</v>
      </c>
      <c r="G594" s="13" t="s">
        <v>1655</v>
      </c>
      <c r="H594" s="13" t="s">
        <v>1656</v>
      </c>
      <c r="I594" s="13">
        <v>2025</v>
      </c>
      <c r="J594" s="13" t="s">
        <v>1700</v>
      </c>
      <c r="K594" s="13">
        <v>9</v>
      </c>
      <c r="L594" s="13">
        <v>37</v>
      </c>
      <c r="M594" s="13" t="s">
        <v>1707</v>
      </c>
    </row>
    <row r="595" spans="2:13" ht="15.75" hidden="1" outlineLevel="1" x14ac:dyDescent="0.3">
      <c r="B595" s="13" t="s">
        <v>616</v>
      </c>
      <c r="C595" s="13" t="s">
        <v>1699</v>
      </c>
      <c r="D595" s="13" t="s">
        <v>11</v>
      </c>
      <c r="E595" s="13" t="s">
        <v>593</v>
      </c>
      <c r="F595" s="13" t="s">
        <v>617</v>
      </c>
      <c r="G595" s="13" t="s">
        <v>1655</v>
      </c>
      <c r="H595" s="13" t="s">
        <v>1656</v>
      </c>
      <c r="I595" s="13">
        <v>2025</v>
      </c>
      <c r="J595" s="13" t="s">
        <v>1700</v>
      </c>
      <c r="K595" s="13">
        <v>6</v>
      </c>
      <c r="L595" s="13">
        <v>37</v>
      </c>
      <c r="M595" s="13" t="s">
        <v>1701</v>
      </c>
    </row>
    <row r="596" spans="2:13" ht="15.75" hidden="1" outlineLevel="1" x14ac:dyDescent="0.3">
      <c r="B596" s="13" t="s">
        <v>539</v>
      </c>
      <c r="C596" s="13" t="s">
        <v>1699</v>
      </c>
      <c r="D596" s="13" t="s">
        <v>11</v>
      </c>
      <c r="E596" s="13" t="s">
        <v>519</v>
      </c>
      <c r="F596" s="13" t="s">
        <v>308</v>
      </c>
      <c r="G596" s="13" t="s">
        <v>1655</v>
      </c>
      <c r="H596" s="13" t="s">
        <v>1656</v>
      </c>
      <c r="I596" s="13">
        <v>2025</v>
      </c>
      <c r="J596" s="13" t="s">
        <v>1700</v>
      </c>
      <c r="K596" s="13">
        <v>4</v>
      </c>
      <c r="L596" s="13">
        <v>37</v>
      </c>
      <c r="M596" s="13" t="s">
        <v>1703</v>
      </c>
    </row>
    <row r="597" spans="2:13" ht="15.75" hidden="1" outlineLevel="1" x14ac:dyDescent="0.3">
      <c r="B597" s="13" t="s">
        <v>406</v>
      </c>
      <c r="C597" s="13" t="s">
        <v>1699</v>
      </c>
      <c r="D597" s="13" t="s">
        <v>11</v>
      </c>
      <c r="E597" s="13" t="s">
        <v>373</v>
      </c>
      <c r="F597" s="13" t="s">
        <v>308</v>
      </c>
      <c r="G597" s="13" t="s">
        <v>1655</v>
      </c>
      <c r="H597" s="13" t="s">
        <v>1656</v>
      </c>
      <c r="I597" s="13">
        <v>2025</v>
      </c>
      <c r="J597" s="13" t="s">
        <v>1700</v>
      </c>
      <c r="K597" s="13">
        <v>10</v>
      </c>
      <c r="L597" s="13">
        <v>37</v>
      </c>
      <c r="M597" s="13" t="s">
        <v>1705</v>
      </c>
    </row>
    <row r="598" spans="2:13" ht="15.75" hidden="1" outlineLevel="1" x14ac:dyDescent="0.3">
      <c r="B598" s="13" t="s">
        <v>576</v>
      </c>
      <c r="C598" s="13" t="s">
        <v>1699</v>
      </c>
      <c r="D598" s="13" t="s">
        <v>11</v>
      </c>
      <c r="E598" s="13" t="s">
        <v>556</v>
      </c>
      <c r="F598" s="13" t="s">
        <v>308</v>
      </c>
      <c r="G598" s="13" t="s">
        <v>1655</v>
      </c>
      <c r="H598" s="13" t="s">
        <v>1656</v>
      </c>
      <c r="I598" s="13">
        <v>2025</v>
      </c>
      <c r="J598" s="13" t="s">
        <v>1700</v>
      </c>
      <c r="K598" s="13">
        <v>5</v>
      </c>
      <c r="L598" s="13">
        <v>37</v>
      </c>
      <c r="M598" s="13" t="s">
        <v>1704</v>
      </c>
    </row>
    <row r="599" spans="2:13" ht="15.75" hidden="1" outlineLevel="1" x14ac:dyDescent="0.3">
      <c r="B599" s="13" t="s">
        <v>502</v>
      </c>
      <c r="C599" s="13" t="s">
        <v>1473</v>
      </c>
      <c r="D599" s="13" t="s">
        <v>11</v>
      </c>
      <c r="E599" s="13" t="s">
        <v>478</v>
      </c>
      <c r="F599" s="13" t="s">
        <v>308</v>
      </c>
      <c r="G599" s="13" t="s">
        <v>1655</v>
      </c>
      <c r="H599" s="13" t="s">
        <v>1656</v>
      </c>
      <c r="I599" s="13">
        <v>2025</v>
      </c>
      <c r="J599" s="13" t="s">
        <v>1474</v>
      </c>
      <c r="K599" s="13">
        <v>3</v>
      </c>
      <c r="L599" s="13">
        <v>38</v>
      </c>
      <c r="M599" s="13" t="s">
        <v>1476</v>
      </c>
    </row>
    <row r="600" spans="2:13" ht="15.75" hidden="1" outlineLevel="1" x14ac:dyDescent="0.3">
      <c r="B600" s="13" t="s">
        <v>750</v>
      </c>
      <c r="C600" s="13" t="s">
        <v>1473</v>
      </c>
      <c r="D600" s="13" t="s">
        <v>11</v>
      </c>
      <c r="E600" s="13" t="s">
        <v>729</v>
      </c>
      <c r="F600" s="13" t="s">
        <v>751</v>
      </c>
      <c r="G600" s="13" t="s">
        <v>1655</v>
      </c>
      <c r="H600" s="13" t="s">
        <v>1656</v>
      </c>
      <c r="I600" s="13">
        <v>2025</v>
      </c>
      <c r="J600" s="13" t="s">
        <v>1474</v>
      </c>
      <c r="K600" s="13">
        <v>9</v>
      </c>
      <c r="L600" s="13">
        <v>38</v>
      </c>
      <c r="M600" s="13" t="s">
        <v>1716</v>
      </c>
    </row>
    <row r="601" spans="2:13" ht="15.75" hidden="1" outlineLevel="1" x14ac:dyDescent="0.3">
      <c r="B601" s="13" t="s">
        <v>540</v>
      </c>
      <c r="C601" s="13" t="s">
        <v>1473</v>
      </c>
      <c r="D601" s="13" t="s">
        <v>11</v>
      </c>
      <c r="E601" s="13" t="s">
        <v>519</v>
      </c>
      <c r="F601" s="13" t="s">
        <v>308</v>
      </c>
      <c r="G601" s="13" t="s">
        <v>1655</v>
      </c>
      <c r="H601" s="13" t="s">
        <v>1656</v>
      </c>
      <c r="I601" s="13">
        <v>2025</v>
      </c>
      <c r="J601" s="13" t="s">
        <v>1474</v>
      </c>
      <c r="K601" s="13">
        <v>4</v>
      </c>
      <c r="L601" s="13">
        <v>38</v>
      </c>
      <c r="M601" s="13" t="s">
        <v>1475</v>
      </c>
    </row>
    <row r="602" spans="2:13" ht="15.75" hidden="1" outlineLevel="1" x14ac:dyDescent="0.3">
      <c r="B602" s="13" t="s">
        <v>618</v>
      </c>
      <c r="C602" s="13" t="s">
        <v>1473</v>
      </c>
      <c r="D602" s="13" t="s">
        <v>11</v>
      </c>
      <c r="E602" s="13" t="s">
        <v>593</v>
      </c>
      <c r="F602" s="13" t="s">
        <v>619</v>
      </c>
      <c r="G602" s="13" t="s">
        <v>1655</v>
      </c>
      <c r="H602" s="13" t="s">
        <v>1656</v>
      </c>
      <c r="I602" s="13">
        <v>2025</v>
      </c>
      <c r="J602" s="13" t="s">
        <v>1474</v>
      </c>
      <c r="K602" s="13">
        <v>6</v>
      </c>
      <c r="L602" s="13">
        <v>38</v>
      </c>
      <c r="M602" s="13" t="s">
        <v>1714</v>
      </c>
    </row>
    <row r="603" spans="2:13" ht="15.75" hidden="1" outlineLevel="1" x14ac:dyDescent="0.3">
      <c r="B603" s="13" t="s">
        <v>407</v>
      </c>
      <c r="C603" s="13" t="s">
        <v>1473</v>
      </c>
      <c r="D603" s="13" t="s">
        <v>11</v>
      </c>
      <c r="E603" s="13" t="s">
        <v>373</v>
      </c>
      <c r="F603" s="13" t="s">
        <v>403</v>
      </c>
      <c r="G603" s="13" t="s">
        <v>1655</v>
      </c>
      <c r="H603" s="13" t="s">
        <v>1656</v>
      </c>
      <c r="I603" s="13">
        <v>2025</v>
      </c>
      <c r="J603" s="13" t="s">
        <v>1474</v>
      </c>
      <c r="K603" s="13">
        <v>10</v>
      </c>
      <c r="L603" s="13">
        <v>38</v>
      </c>
      <c r="M603" s="13" t="s">
        <v>1711</v>
      </c>
    </row>
    <row r="604" spans="2:13" ht="15.75" hidden="1" outlineLevel="1" x14ac:dyDescent="0.3">
      <c r="B604" s="13" t="s">
        <v>662</v>
      </c>
      <c r="C604" s="13" t="s">
        <v>1473</v>
      </c>
      <c r="D604" s="13" t="s">
        <v>11</v>
      </c>
      <c r="E604" s="13" t="s">
        <v>638</v>
      </c>
      <c r="F604" s="13" t="s">
        <v>663</v>
      </c>
      <c r="G604" s="13" t="s">
        <v>1655</v>
      </c>
      <c r="H604" s="13" t="s">
        <v>1656</v>
      </c>
      <c r="I604" s="13">
        <v>2025</v>
      </c>
      <c r="J604" s="13" t="s">
        <v>1474</v>
      </c>
      <c r="K604" s="13">
        <v>7</v>
      </c>
      <c r="L604" s="13">
        <v>38</v>
      </c>
      <c r="M604" s="13" t="s">
        <v>1713</v>
      </c>
    </row>
    <row r="605" spans="2:13" ht="15.75" hidden="1" outlineLevel="1" x14ac:dyDescent="0.3">
      <c r="B605" s="13" t="s">
        <v>707</v>
      </c>
      <c r="C605" s="13" t="s">
        <v>1473</v>
      </c>
      <c r="D605" s="13" t="s">
        <v>11</v>
      </c>
      <c r="E605" s="13" t="s">
        <v>681</v>
      </c>
      <c r="F605" s="13" t="s">
        <v>708</v>
      </c>
      <c r="G605" s="13" t="s">
        <v>1655</v>
      </c>
      <c r="H605" s="13" t="s">
        <v>1656</v>
      </c>
      <c r="I605" s="13">
        <v>2025</v>
      </c>
      <c r="J605" s="13" t="s">
        <v>1474</v>
      </c>
      <c r="K605" s="13">
        <v>8</v>
      </c>
      <c r="L605" s="13">
        <v>38</v>
      </c>
      <c r="M605" s="13" t="s">
        <v>1715</v>
      </c>
    </row>
    <row r="606" spans="2:13" ht="15.75" hidden="1" outlineLevel="1" x14ac:dyDescent="0.3">
      <c r="B606" s="13" t="s">
        <v>577</v>
      </c>
      <c r="C606" s="13" t="s">
        <v>1473</v>
      </c>
      <c r="D606" s="13" t="s">
        <v>11</v>
      </c>
      <c r="E606" s="13" t="s">
        <v>556</v>
      </c>
      <c r="F606" s="13" t="s">
        <v>308</v>
      </c>
      <c r="G606" s="13" t="s">
        <v>1655</v>
      </c>
      <c r="H606" s="13" t="s">
        <v>1656</v>
      </c>
      <c r="I606" s="13">
        <v>2025</v>
      </c>
      <c r="J606" s="13" t="s">
        <v>1474</v>
      </c>
      <c r="K606" s="13">
        <v>5</v>
      </c>
      <c r="L606" s="13">
        <v>38</v>
      </c>
      <c r="M606" s="13" t="s">
        <v>1710</v>
      </c>
    </row>
    <row r="607" spans="2:13" ht="15.75" hidden="1" outlineLevel="1" x14ac:dyDescent="0.3">
      <c r="B607" s="13" t="s">
        <v>454</v>
      </c>
      <c r="C607" s="13" t="s">
        <v>1473</v>
      </c>
      <c r="D607" s="13" t="s">
        <v>11</v>
      </c>
      <c r="E607" s="13" t="s">
        <v>13</v>
      </c>
      <c r="F607" s="13" t="s">
        <v>117</v>
      </c>
      <c r="G607" s="13" t="s">
        <v>1655</v>
      </c>
      <c r="H607" s="13" t="s">
        <v>1656</v>
      </c>
      <c r="I607" s="13">
        <v>2025</v>
      </c>
      <c r="J607" s="13" t="s">
        <v>1474</v>
      </c>
      <c r="K607" s="13">
        <v>11</v>
      </c>
      <c r="L607" s="13">
        <v>38</v>
      </c>
      <c r="M607" s="13" t="s">
        <v>1712</v>
      </c>
    </row>
    <row r="608" spans="2:13" ht="15.75" hidden="1" outlineLevel="1" x14ac:dyDescent="0.3">
      <c r="B608" s="13" t="s">
        <v>620</v>
      </c>
      <c r="C608" s="13" t="s">
        <v>1477</v>
      </c>
      <c r="D608" s="13" t="s">
        <v>11</v>
      </c>
      <c r="E608" s="13" t="s">
        <v>593</v>
      </c>
      <c r="F608" s="13" t="s">
        <v>619</v>
      </c>
      <c r="G608" s="13" t="s">
        <v>1655</v>
      </c>
      <c r="H608" s="13" t="s">
        <v>1656</v>
      </c>
      <c r="I608" s="13">
        <v>2025</v>
      </c>
      <c r="J608" s="13" t="s">
        <v>1448</v>
      </c>
      <c r="K608" s="13">
        <v>6</v>
      </c>
      <c r="L608" s="13">
        <v>39</v>
      </c>
      <c r="M608" s="13" t="s">
        <v>1719</v>
      </c>
    </row>
    <row r="609" spans="2:13" ht="15.75" hidden="1" outlineLevel="1" x14ac:dyDescent="0.3">
      <c r="B609" s="13" t="s">
        <v>709</v>
      </c>
      <c r="C609" s="13" t="s">
        <v>1477</v>
      </c>
      <c r="D609" s="13" t="s">
        <v>11</v>
      </c>
      <c r="E609" s="13" t="s">
        <v>681</v>
      </c>
      <c r="F609" s="13" t="s">
        <v>710</v>
      </c>
      <c r="G609" s="13" t="s">
        <v>1655</v>
      </c>
      <c r="H609" s="13" t="s">
        <v>1656</v>
      </c>
      <c r="I609" s="13">
        <v>2025</v>
      </c>
      <c r="J609" s="13" t="s">
        <v>1448</v>
      </c>
      <c r="K609" s="13">
        <v>8</v>
      </c>
      <c r="L609" s="13">
        <v>39</v>
      </c>
      <c r="M609" s="13" t="s">
        <v>1718</v>
      </c>
    </row>
    <row r="610" spans="2:13" ht="15.75" hidden="1" outlineLevel="1" x14ac:dyDescent="0.3">
      <c r="B610" s="13" t="s">
        <v>664</v>
      </c>
      <c r="C610" s="13" t="s">
        <v>1477</v>
      </c>
      <c r="D610" s="13" t="s">
        <v>11</v>
      </c>
      <c r="E610" s="13" t="s">
        <v>638</v>
      </c>
      <c r="F610" s="13" t="s">
        <v>663</v>
      </c>
      <c r="G610" s="13" t="s">
        <v>1655</v>
      </c>
      <c r="H610" s="13" t="s">
        <v>1656</v>
      </c>
      <c r="I610" s="13">
        <v>2025</v>
      </c>
      <c r="J610" s="13" t="s">
        <v>1448</v>
      </c>
      <c r="K610" s="13">
        <v>7</v>
      </c>
      <c r="L610" s="13">
        <v>39</v>
      </c>
      <c r="M610" s="13" t="s">
        <v>1721</v>
      </c>
    </row>
    <row r="611" spans="2:13" ht="15.75" hidden="1" outlineLevel="1" x14ac:dyDescent="0.3">
      <c r="B611" s="13" t="s">
        <v>503</v>
      </c>
      <c r="C611" s="13" t="s">
        <v>1477</v>
      </c>
      <c r="D611" s="13" t="s">
        <v>11</v>
      </c>
      <c r="E611" s="13" t="s">
        <v>478</v>
      </c>
      <c r="F611" s="13" t="s">
        <v>308</v>
      </c>
      <c r="G611" s="13" t="s">
        <v>1655</v>
      </c>
      <c r="H611" s="13" t="s">
        <v>1656</v>
      </c>
      <c r="I611" s="13">
        <v>2025</v>
      </c>
      <c r="J611" s="13" t="s">
        <v>1448</v>
      </c>
      <c r="K611" s="13">
        <v>3</v>
      </c>
      <c r="L611" s="13">
        <v>39</v>
      </c>
      <c r="M611" s="13" t="s">
        <v>1479</v>
      </c>
    </row>
    <row r="612" spans="2:13" ht="15.75" hidden="1" outlineLevel="1" x14ac:dyDescent="0.3">
      <c r="B612" s="13" t="s">
        <v>408</v>
      </c>
      <c r="C612" s="13" t="s">
        <v>1477</v>
      </c>
      <c r="D612" s="13" t="s">
        <v>11</v>
      </c>
      <c r="E612" s="13" t="s">
        <v>373</v>
      </c>
      <c r="F612" s="13" t="s">
        <v>126</v>
      </c>
      <c r="G612" s="13" t="s">
        <v>1655</v>
      </c>
      <c r="H612" s="13" t="s">
        <v>1656</v>
      </c>
      <c r="I612" s="13">
        <v>2025</v>
      </c>
      <c r="J612" s="13" t="s">
        <v>1448</v>
      </c>
      <c r="K612" s="13">
        <v>10</v>
      </c>
      <c r="L612" s="13">
        <v>39</v>
      </c>
      <c r="M612" s="13" t="s">
        <v>1723</v>
      </c>
    </row>
    <row r="613" spans="2:13" ht="15.75" hidden="1" outlineLevel="1" x14ac:dyDescent="0.3">
      <c r="B613" s="13" t="s">
        <v>541</v>
      </c>
      <c r="C613" s="13" t="s">
        <v>1477</v>
      </c>
      <c r="D613" s="13" t="s">
        <v>11</v>
      </c>
      <c r="E613" s="13" t="s">
        <v>519</v>
      </c>
      <c r="F613" s="13" t="s">
        <v>308</v>
      </c>
      <c r="G613" s="13" t="s">
        <v>1655</v>
      </c>
      <c r="H613" s="13" t="s">
        <v>1656</v>
      </c>
      <c r="I613" s="13">
        <v>2025</v>
      </c>
      <c r="J613" s="13" t="s">
        <v>1448</v>
      </c>
      <c r="K613" s="13">
        <v>4</v>
      </c>
      <c r="L613" s="13">
        <v>39</v>
      </c>
      <c r="M613" s="13" t="s">
        <v>1478</v>
      </c>
    </row>
    <row r="614" spans="2:13" ht="15.75" hidden="1" outlineLevel="1" x14ac:dyDescent="0.3">
      <c r="B614" s="13" t="s">
        <v>752</v>
      </c>
      <c r="C614" s="13" t="s">
        <v>1477</v>
      </c>
      <c r="D614" s="13" t="s">
        <v>11</v>
      </c>
      <c r="E614" s="13" t="s">
        <v>729</v>
      </c>
      <c r="F614" s="13" t="s">
        <v>123</v>
      </c>
      <c r="G614" s="13" t="s">
        <v>1655</v>
      </c>
      <c r="H614" s="13" t="s">
        <v>1656</v>
      </c>
      <c r="I614" s="13">
        <v>2025</v>
      </c>
      <c r="J614" s="13" t="s">
        <v>1448</v>
      </c>
      <c r="K614" s="13">
        <v>9</v>
      </c>
      <c r="L614" s="13">
        <v>39</v>
      </c>
      <c r="M614" s="13" t="s">
        <v>1722</v>
      </c>
    </row>
    <row r="615" spans="2:13" ht="15.75" hidden="1" outlineLevel="1" x14ac:dyDescent="0.3">
      <c r="B615" s="13" t="s">
        <v>578</v>
      </c>
      <c r="C615" s="13" t="s">
        <v>1477</v>
      </c>
      <c r="D615" s="13" t="s">
        <v>11</v>
      </c>
      <c r="E615" s="13" t="s">
        <v>556</v>
      </c>
      <c r="F615" s="13" t="s">
        <v>308</v>
      </c>
      <c r="G615" s="13" t="s">
        <v>1655</v>
      </c>
      <c r="H615" s="13" t="s">
        <v>1656</v>
      </c>
      <c r="I615" s="13">
        <v>2025</v>
      </c>
      <c r="J615" s="13" t="s">
        <v>1448</v>
      </c>
      <c r="K615" s="13">
        <v>5</v>
      </c>
      <c r="L615" s="13">
        <v>39</v>
      </c>
      <c r="M615" s="13" t="s">
        <v>1717</v>
      </c>
    </row>
    <row r="616" spans="2:13" ht="15.75" hidden="1" outlineLevel="1" x14ac:dyDescent="0.3">
      <c r="B616" s="13" t="s">
        <v>455</v>
      </c>
      <c r="C616" s="13" t="s">
        <v>1477</v>
      </c>
      <c r="D616" s="13" t="s">
        <v>11</v>
      </c>
      <c r="E616" s="13" t="s">
        <v>13</v>
      </c>
      <c r="F616" s="13" t="s">
        <v>120</v>
      </c>
      <c r="G616" s="13" t="s">
        <v>1655</v>
      </c>
      <c r="H616" s="13" t="s">
        <v>1656</v>
      </c>
      <c r="I616" s="13">
        <v>2025</v>
      </c>
      <c r="J616" s="13" t="s">
        <v>1448</v>
      </c>
      <c r="K616" s="13">
        <v>11</v>
      </c>
      <c r="L616" s="13">
        <v>39</v>
      </c>
      <c r="M616" s="13" t="s">
        <v>1720</v>
      </c>
    </row>
    <row r="617" spans="2:13" ht="15.75" hidden="1" outlineLevel="1" x14ac:dyDescent="0.3">
      <c r="B617" s="13" t="s">
        <v>409</v>
      </c>
      <c r="C617" s="13" t="s">
        <v>1735</v>
      </c>
      <c r="D617" s="13" t="s">
        <v>11</v>
      </c>
      <c r="E617" s="13" t="s">
        <v>373</v>
      </c>
      <c r="F617" s="13" t="s">
        <v>410</v>
      </c>
      <c r="G617" s="13" t="s">
        <v>1655</v>
      </c>
      <c r="H617" s="13" t="s">
        <v>1656</v>
      </c>
      <c r="I617" s="13">
        <v>2025</v>
      </c>
      <c r="J617" s="13" t="s">
        <v>1736</v>
      </c>
      <c r="K617" s="13">
        <v>10</v>
      </c>
      <c r="L617" s="13">
        <v>40</v>
      </c>
      <c r="M617" s="13" t="s">
        <v>1745</v>
      </c>
    </row>
    <row r="618" spans="2:13" ht="15.75" hidden="1" outlineLevel="1" x14ac:dyDescent="0.3">
      <c r="B618" s="13" t="s">
        <v>579</v>
      </c>
      <c r="C618" s="13" t="s">
        <v>1735</v>
      </c>
      <c r="D618" s="13" t="s">
        <v>11</v>
      </c>
      <c r="E618" s="13" t="s">
        <v>556</v>
      </c>
      <c r="F618" s="13" t="s">
        <v>308</v>
      </c>
      <c r="G618" s="13" t="s">
        <v>1655</v>
      </c>
      <c r="H618" s="13" t="s">
        <v>1656</v>
      </c>
      <c r="I618" s="13">
        <v>2025</v>
      </c>
      <c r="J618" s="13" t="s">
        <v>1736</v>
      </c>
      <c r="K618" s="13">
        <v>5</v>
      </c>
      <c r="L618" s="13">
        <v>40</v>
      </c>
      <c r="M618" s="13" t="s">
        <v>1742</v>
      </c>
    </row>
    <row r="619" spans="2:13" ht="15.75" hidden="1" outlineLevel="1" x14ac:dyDescent="0.3">
      <c r="B619" s="13" t="s">
        <v>456</v>
      </c>
      <c r="C619" s="13" t="s">
        <v>1735</v>
      </c>
      <c r="D619" s="13" t="s">
        <v>11</v>
      </c>
      <c r="E619" s="13" t="s">
        <v>13</v>
      </c>
      <c r="F619" s="13" t="s">
        <v>457</v>
      </c>
      <c r="G619" s="13" t="s">
        <v>1655</v>
      </c>
      <c r="H619" s="13" t="s">
        <v>1656</v>
      </c>
      <c r="I619" s="13">
        <v>2025</v>
      </c>
      <c r="J619" s="13" t="s">
        <v>1736</v>
      </c>
      <c r="K619" s="13">
        <v>11</v>
      </c>
      <c r="L619" s="13">
        <v>40</v>
      </c>
      <c r="M619" s="13" t="s">
        <v>1737</v>
      </c>
    </row>
    <row r="620" spans="2:13" ht="15.75" hidden="1" outlineLevel="1" x14ac:dyDescent="0.3">
      <c r="B620" s="13" t="s">
        <v>753</v>
      </c>
      <c r="C620" s="13" t="s">
        <v>1735</v>
      </c>
      <c r="D620" s="13" t="s">
        <v>11</v>
      </c>
      <c r="E620" s="13" t="s">
        <v>729</v>
      </c>
      <c r="F620" s="13" t="s">
        <v>712</v>
      </c>
      <c r="G620" s="13" t="s">
        <v>1655</v>
      </c>
      <c r="H620" s="13" t="s">
        <v>1656</v>
      </c>
      <c r="I620" s="13">
        <v>2025</v>
      </c>
      <c r="J620" s="13" t="s">
        <v>1736</v>
      </c>
      <c r="K620" s="13">
        <v>9</v>
      </c>
      <c r="L620" s="13">
        <v>40</v>
      </c>
      <c r="M620" s="13" t="s">
        <v>1741</v>
      </c>
    </row>
    <row r="621" spans="2:13" ht="15.75" hidden="1" outlineLevel="1" x14ac:dyDescent="0.3">
      <c r="B621" s="13" t="s">
        <v>711</v>
      </c>
      <c r="C621" s="13" t="s">
        <v>1735</v>
      </c>
      <c r="D621" s="13" t="s">
        <v>11</v>
      </c>
      <c r="E621" s="13" t="s">
        <v>681</v>
      </c>
      <c r="F621" s="13" t="s">
        <v>712</v>
      </c>
      <c r="G621" s="13" t="s">
        <v>1655</v>
      </c>
      <c r="H621" s="13" t="s">
        <v>1656</v>
      </c>
      <c r="I621" s="13">
        <v>2025</v>
      </c>
      <c r="J621" s="13" t="s">
        <v>1736</v>
      </c>
      <c r="K621" s="13">
        <v>8</v>
      </c>
      <c r="L621" s="13">
        <v>40</v>
      </c>
      <c r="M621" s="13" t="s">
        <v>1738</v>
      </c>
    </row>
    <row r="622" spans="2:13" ht="15.75" hidden="1" outlineLevel="1" x14ac:dyDescent="0.3">
      <c r="B622" s="13" t="s">
        <v>621</v>
      </c>
      <c r="C622" s="13" t="s">
        <v>1735</v>
      </c>
      <c r="D622" s="13" t="s">
        <v>11</v>
      </c>
      <c r="E622" s="13" t="s">
        <v>593</v>
      </c>
      <c r="F622" s="13" t="s">
        <v>308</v>
      </c>
      <c r="G622" s="13" t="s">
        <v>1655</v>
      </c>
      <c r="H622" s="13" t="s">
        <v>1656</v>
      </c>
      <c r="I622" s="13">
        <v>2025</v>
      </c>
      <c r="J622" s="13" t="s">
        <v>1736</v>
      </c>
      <c r="K622" s="13">
        <v>6</v>
      </c>
      <c r="L622" s="13">
        <v>40</v>
      </c>
      <c r="M622" s="13" t="s">
        <v>1743</v>
      </c>
    </row>
    <row r="623" spans="2:13" ht="15.75" hidden="1" outlineLevel="1" x14ac:dyDescent="0.3">
      <c r="B623" s="13" t="s">
        <v>665</v>
      </c>
      <c r="C623" s="13" t="s">
        <v>1735</v>
      </c>
      <c r="D623" s="13" t="s">
        <v>11</v>
      </c>
      <c r="E623" s="13" t="s">
        <v>638</v>
      </c>
      <c r="F623" s="13" t="s">
        <v>308</v>
      </c>
      <c r="G623" s="13" t="s">
        <v>1655</v>
      </c>
      <c r="H623" s="13" t="s">
        <v>1656</v>
      </c>
      <c r="I623" s="13">
        <v>2025</v>
      </c>
      <c r="J623" s="13" t="s">
        <v>1736</v>
      </c>
      <c r="K623" s="13">
        <v>7</v>
      </c>
      <c r="L623" s="13">
        <v>40</v>
      </c>
      <c r="M623" s="13" t="s">
        <v>1739</v>
      </c>
    </row>
    <row r="624" spans="2:13" ht="15.75" hidden="1" outlineLevel="1" x14ac:dyDescent="0.3">
      <c r="B624" s="13" t="s">
        <v>504</v>
      </c>
      <c r="C624" s="13" t="s">
        <v>1735</v>
      </c>
      <c r="D624" s="13" t="s">
        <v>11</v>
      </c>
      <c r="E624" s="13" t="s">
        <v>478</v>
      </c>
      <c r="F624" s="13" t="s">
        <v>308</v>
      </c>
      <c r="G624" s="13" t="s">
        <v>1655</v>
      </c>
      <c r="H624" s="13" t="s">
        <v>1656</v>
      </c>
      <c r="I624" s="13">
        <v>2025</v>
      </c>
      <c r="J624" s="13" t="s">
        <v>1736</v>
      </c>
      <c r="K624" s="13">
        <v>3</v>
      </c>
      <c r="L624" s="13">
        <v>40</v>
      </c>
      <c r="M624" s="13" t="s">
        <v>1740</v>
      </c>
    </row>
    <row r="625" spans="2:13" ht="15.75" hidden="1" outlineLevel="1" x14ac:dyDescent="0.3">
      <c r="B625" s="13" t="s">
        <v>542</v>
      </c>
      <c r="C625" s="13" t="s">
        <v>1735</v>
      </c>
      <c r="D625" s="13" t="s">
        <v>11</v>
      </c>
      <c r="E625" s="13" t="s">
        <v>519</v>
      </c>
      <c r="F625" s="13" t="s">
        <v>308</v>
      </c>
      <c r="G625" s="13" t="s">
        <v>1655</v>
      </c>
      <c r="H625" s="13" t="s">
        <v>1656</v>
      </c>
      <c r="I625" s="13">
        <v>2025</v>
      </c>
      <c r="J625" s="13" t="s">
        <v>1736</v>
      </c>
      <c r="K625" s="13">
        <v>4</v>
      </c>
      <c r="L625" s="13">
        <v>40</v>
      </c>
      <c r="M625" s="13" t="s">
        <v>1744</v>
      </c>
    </row>
    <row r="626" spans="2:13" ht="15.75" hidden="1" outlineLevel="1" x14ac:dyDescent="0.3">
      <c r="B626" s="13" t="s">
        <v>622</v>
      </c>
      <c r="C626" s="13" t="s">
        <v>1812</v>
      </c>
      <c r="D626" s="13" t="s">
        <v>11</v>
      </c>
      <c r="E626" s="13" t="s">
        <v>593</v>
      </c>
      <c r="F626" s="13" t="s">
        <v>308</v>
      </c>
      <c r="G626" s="13" t="s">
        <v>1655</v>
      </c>
      <c r="H626" s="13" t="s">
        <v>1656</v>
      </c>
      <c r="I626" s="13">
        <v>2025</v>
      </c>
      <c r="J626" s="13" t="s">
        <v>1813</v>
      </c>
      <c r="K626" s="13">
        <v>6</v>
      </c>
      <c r="L626" s="13">
        <v>41</v>
      </c>
      <c r="M626" s="13" t="s">
        <v>1814</v>
      </c>
    </row>
    <row r="627" spans="2:13" ht="15.75" hidden="1" outlineLevel="1" x14ac:dyDescent="0.3">
      <c r="B627" s="13" t="s">
        <v>713</v>
      </c>
      <c r="C627" s="13" t="s">
        <v>1812</v>
      </c>
      <c r="D627" s="13" t="s">
        <v>11</v>
      </c>
      <c r="E627" s="13" t="s">
        <v>681</v>
      </c>
      <c r="F627" s="13" t="s">
        <v>459</v>
      </c>
      <c r="G627" s="13" t="s">
        <v>1655</v>
      </c>
      <c r="H627" s="13" t="s">
        <v>1656</v>
      </c>
      <c r="I627" s="13">
        <v>2025</v>
      </c>
      <c r="J627" s="13" t="s">
        <v>1813</v>
      </c>
      <c r="K627" s="13">
        <v>8</v>
      </c>
      <c r="L627" s="13">
        <v>41</v>
      </c>
      <c r="M627" s="13" t="s">
        <v>1815</v>
      </c>
    </row>
    <row r="628" spans="2:13" ht="15.75" hidden="1" outlineLevel="1" x14ac:dyDescent="0.3">
      <c r="B628" s="13" t="s">
        <v>543</v>
      </c>
      <c r="C628" s="13" t="s">
        <v>1812</v>
      </c>
      <c r="D628" s="13" t="s">
        <v>11</v>
      </c>
      <c r="E628" s="13" t="s">
        <v>519</v>
      </c>
      <c r="F628" s="13" t="s">
        <v>308</v>
      </c>
      <c r="G628" s="13" t="s">
        <v>1655</v>
      </c>
      <c r="H628" s="13" t="s">
        <v>1656</v>
      </c>
      <c r="I628" s="13">
        <v>2025</v>
      </c>
      <c r="J628" s="13" t="s">
        <v>1813</v>
      </c>
      <c r="K628" s="13">
        <v>4</v>
      </c>
      <c r="L628" s="13">
        <v>41</v>
      </c>
      <c r="M628" s="13" t="s">
        <v>1816</v>
      </c>
    </row>
    <row r="629" spans="2:13" ht="15.75" hidden="1" outlineLevel="1" x14ac:dyDescent="0.3">
      <c r="B629" s="13" t="s">
        <v>411</v>
      </c>
      <c r="C629" s="13" t="s">
        <v>1812</v>
      </c>
      <c r="D629" s="13" t="s">
        <v>11</v>
      </c>
      <c r="E629" s="13" t="s">
        <v>373</v>
      </c>
      <c r="F629" s="13" t="s">
        <v>308</v>
      </c>
      <c r="G629" s="13" t="s">
        <v>1655</v>
      </c>
      <c r="H629" s="13" t="s">
        <v>1656</v>
      </c>
      <c r="I629" s="13">
        <v>2025</v>
      </c>
      <c r="J629" s="13" t="s">
        <v>1813</v>
      </c>
      <c r="K629" s="13">
        <v>10</v>
      </c>
      <c r="L629" s="13">
        <v>41</v>
      </c>
      <c r="M629" s="13" t="s">
        <v>1817</v>
      </c>
    </row>
    <row r="630" spans="2:13" ht="15.75" hidden="1" outlineLevel="1" x14ac:dyDescent="0.3">
      <c r="B630" s="13" t="s">
        <v>754</v>
      </c>
      <c r="C630" s="13" t="s">
        <v>1812</v>
      </c>
      <c r="D630" s="13" t="s">
        <v>11</v>
      </c>
      <c r="E630" s="13" t="s">
        <v>729</v>
      </c>
      <c r="F630" s="13" t="s">
        <v>459</v>
      </c>
      <c r="G630" s="13" t="s">
        <v>1655</v>
      </c>
      <c r="H630" s="13" t="s">
        <v>1656</v>
      </c>
      <c r="I630" s="13">
        <v>2025</v>
      </c>
      <c r="J630" s="13" t="s">
        <v>1813</v>
      </c>
      <c r="K630" s="13">
        <v>9</v>
      </c>
      <c r="L630" s="13">
        <v>41</v>
      </c>
      <c r="M630" s="13" t="s">
        <v>1818</v>
      </c>
    </row>
    <row r="631" spans="2:13" ht="15.75" hidden="1" outlineLevel="1" x14ac:dyDescent="0.3">
      <c r="B631" s="13" t="s">
        <v>580</v>
      </c>
      <c r="C631" s="13" t="s">
        <v>1812</v>
      </c>
      <c r="D631" s="13" t="s">
        <v>11</v>
      </c>
      <c r="E631" s="13" t="s">
        <v>556</v>
      </c>
      <c r="F631" s="13" t="s">
        <v>308</v>
      </c>
      <c r="G631" s="13" t="s">
        <v>1655</v>
      </c>
      <c r="H631" s="13" t="s">
        <v>1656</v>
      </c>
      <c r="I631" s="13">
        <v>2025</v>
      </c>
      <c r="J631" s="13" t="s">
        <v>1813</v>
      </c>
      <c r="K631" s="13">
        <v>5</v>
      </c>
      <c r="L631" s="13">
        <v>41</v>
      </c>
      <c r="M631" s="13" t="s">
        <v>1819</v>
      </c>
    </row>
    <row r="632" spans="2:13" ht="15.75" hidden="1" outlineLevel="1" x14ac:dyDescent="0.3">
      <c r="B632" s="13" t="s">
        <v>666</v>
      </c>
      <c r="C632" s="13" t="s">
        <v>1812</v>
      </c>
      <c r="D632" s="13" t="s">
        <v>11</v>
      </c>
      <c r="E632" s="13" t="s">
        <v>638</v>
      </c>
      <c r="F632" s="13" t="s">
        <v>308</v>
      </c>
      <c r="G632" s="13" t="s">
        <v>1655</v>
      </c>
      <c r="H632" s="13" t="s">
        <v>1656</v>
      </c>
      <c r="I632" s="13">
        <v>2025</v>
      </c>
      <c r="J632" s="13" t="s">
        <v>1813</v>
      </c>
      <c r="K632" s="13">
        <v>7</v>
      </c>
      <c r="L632" s="13">
        <v>41</v>
      </c>
      <c r="M632" s="13" t="s">
        <v>1820</v>
      </c>
    </row>
    <row r="633" spans="2:13" ht="15.75" hidden="1" outlineLevel="1" x14ac:dyDescent="0.3">
      <c r="B633" s="13" t="s">
        <v>505</v>
      </c>
      <c r="C633" s="13" t="s">
        <v>1812</v>
      </c>
      <c r="D633" s="13" t="s">
        <v>11</v>
      </c>
      <c r="E633" s="13" t="s">
        <v>478</v>
      </c>
      <c r="F633" s="13" t="s">
        <v>308</v>
      </c>
      <c r="G633" s="13" t="s">
        <v>1655</v>
      </c>
      <c r="H633" s="13" t="s">
        <v>1656</v>
      </c>
      <c r="I633" s="13">
        <v>2025</v>
      </c>
      <c r="J633" s="13" t="s">
        <v>1813</v>
      </c>
      <c r="K633" s="13">
        <v>3</v>
      </c>
      <c r="L633" s="13">
        <v>41</v>
      </c>
      <c r="M633" s="13" t="s">
        <v>1821</v>
      </c>
    </row>
    <row r="634" spans="2:13" ht="15.75" hidden="1" outlineLevel="1" x14ac:dyDescent="0.3">
      <c r="B634" s="13" t="s">
        <v>458</v>
      </c>
      <c r="C634" s="13" t="s">
        <v>1812</v>
      </c>
      <c r="D634" s="13" t="s">
        <v>11</v>
      </c>
      <c r="E634" s="13" t="s">
        <v>13</v>
      </c>
      <c r="F634" s="13" t="s">
        <v>459</v>
      </c>
      <c r="G634" s="13" t="s">
        <v>1655</v>
      </c>
      <c r="H634" s="13" t="s">
        <v>1656</v>
      </c>
      <c r="I634" s="13">
        <v>2025</v>
      </c>
      <c r="J634" s="13" t="s">
        <v>1813</v>
      </c>
      <c r="K634" s="13">
        <v>11</v>
      </c>
      <c r="L634" s="13">
        <v>41</v>
      </c>
      <c r="M634" s="13" t="s">
        <v>1822</v>
      </c>
    </row>
    <row r="635" spans="2:13" ht="15.75" hidden="1" outlineLevel="1" x14ac:dyDescent="0.3">
      <c r="B635" s="13" t="s">
        <v>755</v>
      </c>
      <c r="C635" s="13" t="s">
        <v>1746</v>
      </c>
      <c r="D635" s="13" t="s">
        <v>11</v>
      </c>
      <c r="E635" s="13" t="s">
        <v>729</v>
      </c>
      <c r="F635" s="13" t="s">
        <v>461</v>
      </c>
      <c r="G635" s="13" t="s">
        <v>1655</v>
      </c>
      <c r="H635" s="13" t="s">
        <v>1656</v>
      </c>
      <c r="I635" s="13">
        <v>2025</v>
      </c>
      <c r="J635" s="13" t="s">
        <v>1747</v>
      </c>
      <c r="K635" s="13">
        <v>9</v>
      </c>
      <c r="L635" s="13">
        <v>42</v>
      </c>
      <c r="M635" s="13" t="s">
        <v>1748</v>
      </c>
    </row>
    <row r="636" spans="2:13" ht="15.75" hidden="1" outlineLevel="1" x14ac:dyDescent="0.3">
      <c r="B636" s="13" t="s">
        <v>714</v>
      </c>
      <c r="C636" s="13" t="s">
        <v>1746</v>
      </c>
      <c r="D636" s="13" t="s">
        <v>11</v>
      </c>
      <c r="E636" s="13" t="s">
        <v>681</v>
      </c>
      <c r="F636" s="13" t="s">
        <v>461</v>
      </c>
      <c r="G636" s="13" t="s">
        <v>1655</v>
      </c>
      <c r="H636" s="13" t="s">
        <v>1656</v>
      </c>
      <c r="I636" s="13">
        <v>2025</v>
      </c>
      <c r="J636" s="13" t="s">
        <v>1747</v>
      </c>
      <c r="K636" s="13">
        <v>8</v>
      </c>
      <c r="L636" s="13">
        <v>42</v>
      </c>
      <c r="M636" s="13" t="s">
        <v>1753</v>
      </c>
    </row>
    <row r="637" spans="2:13" ht="15.75" hidden="1" outlineLevel="1" x14ac:dyDescent="0.3">
      <c r="B637" s="13" t="s">
        <v>623</v>
      </c>
      <c r="C637" s="13" t="s">
        <v>1746</v>
      </c>
      <c r="D637" s="13" t="s">
        <v>11</v>
      </c>
      <c r="E637" s="13" t="s">
        <v>593</v>
      </c>
      <c r="F637" s="13" t="s">
        <v>308</v>
      </c>
      <c r="G637" s="13" t="s">
        <v>1655</v>
      </c>
      <c r="H637" s="13" t="s">
        <v>1656</v>
      </c>
      <c r="I637" s="13">
        <v>2025</v>
      </c>
      <c r="J637" s="13" t="s">
        <v>1747</v>
      </c>
      <c r="K637" s="13">
        <v>6</v>
      </c>
      <c r="L637" s="13">
        <v>42</v>
      </c>
      <c r="M637" s="13" t="s">
        <v>1755</v>
      </c>
    </row>
    <row r="638" spans="2:13" ht="15.75" hidden="1" outlineLevel="1" x14ac:dyDescent="0.3">
      <c r="B638" s="13" t="s">
        <v>544</v>
      </c>
      <c r="C638" s="13" t="s">
        <v>1746</v>
      </c>
      <c r="D638" s="13" t="s">
        <v>11</v>
      </c>
      <c r="E638" s="13" t="s">
        <v>519</v>
      </c>
      <c r="F638" s="13" t="s">
        <v>308</v>
      </c>
      <c r="G638" s="13" t="s">
        <v>1655</v>
      </c>
      <c r="H638" s="13" t="s">
        <v>1656</v>
      </c>
      <c r="I638" s="13">
        <v>2025</v>
      </c>
      <c r="J638" s="13" t="s">
        <v>1747</v>
      </c>
      <c r="K638" s="13">
        <v>4</v>
      </c>
      <c r="L638" s="13">
        <v>42</v>
      </c>
      <c r="M638" s="13" t="s">
        <v>1749</v>
      </c>
    </row>
    <row r="639" spans="2:13" ht="15.75" hidden="1" outlineLevel="1" x14ac:dyDescent="0.3">
      <c r="B639" s="13" t="s">
        <v>581</v>
      </c>
      <c r="C639" s="13" t="s">
        <v>1746</v>
      </c>
      <c r="D639" s="13" t="s">
        <v>11</v>
      </c>
      <c r="E639" s="13" t="s">
        <v>556</v>
      </c>
      <c r="F639" s="13" t="s">
        <v>308</v>
      </c>
      <c r="G639" s="13" t="s">
        <v>1655</v>
      </c>
      <c r="H639" s="13" t="s">
        <v>1656</v>
      </c>
      <c r="I639" s="13">
        <v>2025</v>
      </c>
      <c r="J639" s="13" t="s">
        <v>1747</v>
      </c>
      <c r="K639" s="13">
        <v>5</v>
      </c>
      <c r="L639" s="13">
        <v>42</v>
      </c>
      <c r="M639" s="13" t="s">
        <v>1756</v>
      </c>
    </row>
    <row r="640" spans="2:13" ht="15.75" hidden="1" outlineLevel="1" x14ac:dyDescent="0.3">
      <c r="B640" s="13" t="s">
        <v>667</v>
      </c>
      <c r="C640" s="13" t="s">
        <v>1746</v>
      </c>
      <c r="D640" s="13" t="s">
        <v>11</v>
      </c>
      <c r="E640" s="13" t="s">
        <v>638</v>
      </c>
      <c r="F640" s="13" t="s">
        <v>308</v>
      </c>
      <c r="G640" s="13" t="s">
        <v>1655</v>
      </c>
      <c r="H640" s="13" t="s">
        <v>1656</v>
      </c>
      <c r="I640" s="13">
        <v>2025</v>
      </c>
      <c r="J640" s="13" t="s">
        <v>1747</v>
      </c>
      <c r="K640" s="13">
        <v>7</v>
      </c>
      <c r="L640" s="13">
        <v>42</v>
      </c>
      <c r="M640" s="13" t="s">
        <v>1754</v>
      </c>
    </row>
    <row r="641" spans="2:13" ht="15.75" hidden="1" outlineLevel="1" x14ac:dyDescent="0.3">
      <c r="B641" s="13" t="s">
        <v>413</v>
      </c>
      <c r="C641" s="13" t="s">
        <v>1746</v>
      </c>
      <c r="D641" s="13" t="s">
        <v>11</v>
      </c>
      <c r="E641" s="13" t="s">
        <v>373</v>
      </c>
      <c r="F641" s="13" t="s">
        <v>308</v>
      </c>
      <c r="G641" s="13" t="s">
        <v>1655</v>
      </c>
      <c r="H641" s="13" t="s">
        <v>1656</v>
      </c>
      <c r="I641" s="13">
        <v>2025</v>
      </c>
      <c r="J641" s="13" t="s">
        <v>1747</v>
      </c>
      <c r="K641" s="13">
        <v>10</v>
      </c>
      <c r="L641" s="13">
        <v>42</v>
      </c>
      <c r="M641" s="13" t="s">
        <v>1752</v>
      </c>
    </row>
    <row r="642" spans="2:13" ht="15.75" hidden="1" outlineLevel="1" x14ac:dyDescent="0.3">
      <c r="B642" s="13" t="s">
        <v>460</v>
      </c>
      <c r="C642" s="13" t="s">
        <v>1746</v>
      </c>
      <c r="D642" s="13" t="s">
        <v>11</v>
      </c>
      <c r="E642" s="13" t="s">
        <v>13</v>
      </c>
      <c r="F642" s="13" t="s">
        <v>461</v>
      </c>
      <c r="G642" s="13" t="s">
        <v>1655</v>
      </c>
      <c r="H642" s="13" t="s">
        <v>1656</v>
      </c>
      <c r="I642" s="13">
        <v>2025</v>
      </c>
      <c r="J642" s="13" t="s">
        <v>1747</v>
      </c>
      <c r="K642" s="13">
        <v>11</v>
      </c>
      <c r="L642" s="13">
        <v>42</v>
      </c>
      <c r="M642" s="13" t="s">
        <v>1750</v>
      </c>
    </row>
    <row r="643" spans="2:13" ht="15.75" hidden="1" outlineLevel="1" x14ac:dyDescent="0.3">
      <c r="B643" s="13" t="s">
        <v>506</v>
      </c>
      <c r="C643" s="13" t="s">
        <v>1746</v>
      </c>
      <c r="D643" s="13" t="s">
        <v>11</v>
      </c>
      <c r="E643" s="13" t="s">
        <v>478</v>
      </c>
      <c r="F643" s="13" t="s">
        <v>308</v>
      </c>
      <c r="G643" s="13" t="s">
        <v>1655</v>
      </c>
      <c r="H643" s="13" t="s">
        <v>1656</v>
      </c>
      <c r="I643" s="13">
        <v>2025</v>
      </c>
      <c r="J643" s="13" t="s">
        <v>1747</v>
      </c>
      <c r="K643" s="13">
        <v>3</v>
      </c>
      <c r="L643" s="13">
        <v>42</v>
      </c>
      <c r="M643" s="13" t="s">
        <v>1751</v>
      </c>
    </row>
    <row r="644" spans="2:13" ht="15.75" hidden="1" outlineLevel="1" x14ac:dyDescent="0.3">
      <c r="B644" s="13" t="s">
        <v>582</v>
      </c>
      <c r="C644" s="13" t="s">
        <v>1768</v>
      </c>
      <c r="D644" s="13" t="s">
        <v>11</v>
      </c>
      <c r="E644" s="13" t="s">
        <v>556</v>
      </c>
      <c r="F644" s="13" t="s">
        <v>308</v>
      </c>
      <c r="G644" s="13" t="s">
        <v>1655</v>
      </c>
      <c r="H644" s="13" t="s">
        <v>1656</v>
      </c>
      <c r="I644" s="13">
        <v>2025</v>
      </c>
      <c r="J644" s="13" t="s">
        <v>1769</v>
      </c>
      <c r="K644" s="13">
        <v>5</v>
      </c>
      <c r="L644" s="13">
        <v>43</v>
      </c>
      <c r="M644" s="13" t="s">
        <v>1778</v>
      </c>
    </row>
    <row r="645" spans="2:13" ht="15.75" hidden="1" outlineLevel="1" x14ac:dyDescent="0.3">
      <c r="B645" s="13" t="s">
        <v>624</v>
      </c>
      <c r="C645" s="13" t="s">
        <v>1768</v>
      </c>
      <c r="D645" s="13" t="s">
        <v>11</v>
      </c>
      <c r="E645" s="13" t="s">
        <v>593</v>
      </c>
      <c r="F645" s="13" t="s">
        <v>308</v>
      </c>
      <c r="G645" s="13" t="s">
        <v>1655</v>
      </c>
      <c r="H645" s="13" t="s">
        <v>1656</v>
      </c>
      <c r="I645" s="13">
        <v>2025</v>
      </c>
      <c r="J645" s="13" t="s">
        <v>1769</v>
      </c>
      <c r="K645" s="13">
        <v>6</v>
      </c>
      <c r="L645" s="13">
        <v>43</v>
      </c>
      <c r="M645" s="13" t="s">
        <v>1775</v>
      </c>
    </row>
    <row r="646" spans="2:13" ht="15.75" hidden="1" outlineLevel="1" x14ac:dyDescent="0.3">
      <c r="B646" s="13" t="s">
        <v>756</v>
      </c>
      <c r="C646" s="13" t="s">
        <v>1768</v>
      </c>
      <c r="D646" s="13" t="s">
        <v>11</v>
      </c>
      <c r="E646" s="13" t="s">
        <v>729</v>
      </c>
      <c r="F646" s="13" t="s">
        <v>463</v>
      </c>
      <c r="G646" s="13" t="s">
        <v>1655</v>
      </c>
      <c r="H646" s="13" t="s">
        <v>1656</v>
      </c>
      <c r="I646" s="13">
        <v>2025</v>
      </c>
      <c r="J646" s="13" t="s">
        <v>1769</v>
      </c>
      <c r="K646" s="13">
        <v>9</v>
      </c>
      <c r="L646" s="13">
        <v>43</v>
      </c>
      <c r="M646" s="13" t="s">
        <v>1777</v>
      </c>
    </row>
    <row r="647" spans="2:13" ht="15.75" hidden="1" outlineLevel="1" x14ac:dyDescent="0.3">
      <c r="B647" s="13" t="s">
        <v>545</v>
      </c>
      <c r="C647" s="13" t="s">
        <v>1768</v>
      </c>
      <c r="D647" s="13" t="s">
        <v>11</v>
      </c>
      <c r="E647" s="13" t="s">
        <v>519</v>
      </c>
      <c r="F647" s="13" t="s">
        <v>308</v>
      </c>
      <c r="G647" s="13" t="s">
        <v>1655</v>
      </c>
      <c r="H647" s="13" t="s">
        <v>1656</v>
      </c>
      <c r="I647" s="13">
        <v>2025</v>
      </c>
      <c r="J647" s="13" t="s">
        <v>1769</v>
      </c>
      <c r="K647" s="13">
        <v>4</v>
      </c>
      <c r="L647" s="13">
        <v>43</v>
      </c>
      <c r="M647" s="13" t="s">
        <v>1772</v>
      </c>
    </row>
    <row r="648" spans="2:13" ht="15.75" hidden="1" outlineLevel="1" x14ac:dyDescent="0.3">
      <c r="B648" s="13" t="s">
        <v>414</v>
      </c>
      <c r="C648" s="13" t="s">
        <v>1768</v>
      </c>
      <c r="D648" s="13" t="s">
        <v>11</v>
      </c>
      <c r="E648" s="13" t="s">
        <v>373</v>
      </c>
      <c r="F648" s="13" t="s">
        <v>308</v>
      </c>
      <c r="G648" s="13" t="s">
        <v>1655</v>
      </c>
      <c r="H648" s="13" t="s">
        <v>1656</v>
      </c>
      <c r="I648" s="13">
        <v>2025</v>
      </c>
      <c r="J648" s="13" t="s">
        <v>1769</v>
      </c>
      <c r="K648" s="13">
        <v>10</v>
      </c>
      <c r="L648" s="13">
        <v>43</v>
      </c>
      <c r="M648" s="13" t="s">
        <v>1776</v>
      </c>
    </row>
    <row r="649" spans="2:13" ht="15.75" hidden="1" outlineLevel="1" x14ac:dyDescent="0.3">
      <c r="B649" s="13" t="s">
        <v>715</v>
      </c>
      <c r="C649" s="13" t="s">
        <v>1768</v>
      </c>
      <c r="D649" s="13" t="s">
        <v>11</v>
      </c>
      <c r="E649" s="13" t="s">
        <v>681</v>
      </c>
      <c r="F649" s="13" t="s">
        <v>463</v>
      </c>
      <c r="G649" s="13" t="s">
        <v>1655</v>
      </c>
      <c r="H649" s="13" t="s">
        <v>1656</v>
      </c>
      <c r="I649" s="13">
        <v>2025</v>
      </c>
      <c r="J649" s="13" t="s">
        <v>1769</v>
      </c>
      <c r="K649" s="13">
        <v>8</v>
      </c>
      <c r="L649" s="13">
        <v>43</v>
      </c>
      <c r="M649" s="13" t="s">
        <v>1771</v>
      </c>
    </row>
    <row r="650" spans="2:13" ht="15.75" hidden="1" outlineLevel="1" x14ac:dyDescent="0.3">
      <c r="B650" s="13" t="s">
        <v>668</v>
      </c>
      <c r="C650" s="13" t="s">
        <v>1768</v>
      </c>
      <c r="D650" s="13" t="s">
        <v>11</v>
      </c>
      <c r="E650" s="13" t="s">
        <v>638</v>
      </c>
      <c r="F650" s="13" t="s">
        <v>308</v>
      </c>
      <c r="G650" s="13" t="s">
        <v>1655</v>
      </c>
      <c r="H650" s="13" t="s">
        <v>1656</v>
      </c>
      <c r="I650" s="13">
        <v>2025</v>
      </c>
      <c r="J650" s="13" t="s">
        <v>1769</v>
      </c>
      <c r="K650" s="13">
        <v>7</v>
      </c>
      <c r="L650" s="13">
        <v>43</v>
      </c>
      <c r="M650" s="13" t="s">
        <v>1774</v>
      </c>
    </row>
    <row r="651" spans="2:13" ht="15.75" hidden="1" outlineLevel="1" x14ac:dyDescent="0.3">
      <c r="B651" s="13" t="s">
        <v>507</v>
      </c>
      <c r="C651" s="13" t="s">
        <v>1768</v>
      </c>
      <c r="D651" s="13" t="s">
        <v>11</v>
      </c>
      <c r="E651" s="13" t="s">
        <v>478</v>
      </c>
      <c r="F651" s="13" t="s">
        <v>308</v>
      </c>
      <c r="G651" s="13" t="s">
        <v>1655</v>
      </c>
      <c r="H651" s="13" t="s">
        <v>1656</v>
      </c>
      <c r="I651" s="13">
        <v>2025</v>
      </c>
      <c r="J651" s="13" t="s">
        <v>1769</v>
      </c>
      <c r="K651" s="13">
        <v>3</v>
      </c>
      <c r="L651" s="13">
        <v>43</v>
      </c>
      <c r="M651" s="13" t="s">
        <v>1773</v>
      </c>
    </row>
    <row r="652" spans="2:13" ht="15.75" hidden="1" outlineLevel="1" x14ac:dyDescent="0.3">
      <c r="B652" s="13" t="s">
        <v>462</v>
      </c>
      <c r="C652" s="13" t="s">
        <v>1768</v>
      </c>
      <c r="D652" s="13" t="s">
        <v>11</v>
      </c>
      <c r="E652" s="13" t="s">
        <v>13</v>
      </c>
      <c r="F652" s="13" t="s">
        <v>463</v>
      </c>
      <c r="G652" s="13" t="s">
        <v>1655</v>
      </c>
      <c r="H652" s="13" t="s">
        <v>1656</v>
      </c>
      <c r="I652" s="13">
        <v>2025</v>
      </c>
      <c r="J652" s="13" t="s">
        <v>1769</v>
      </c>
      <c r="K652" s="13">
        <v>11</v>
      </c>
      <c r="L652" s="13">
        <v>43</v>
      </c>
      <c r="M652" s="13" t="s">
        <v>1770</v>
      </c>
    </row>
    <row r="653" spans="2:13" ht="15.75" hidden="1" outlineLevel="1" x14ac:dyDescent="0.3">
      <c r="B653" s="13" t="s">
        <v>546</v>
      </c>
      <c r="C653" s="13" t="s">
        <v>1779</v>
      </c>
      <c r="D653" s="13" t="s">
        <v>11</v>
      </c>
      <c r="E653" s="13" t="s">
        <v>519</v>
      </c>
      <c r="F653" s="13" t="s">
        <v>308</v>
      </c>
      <c r="G653" s="13" t="s">
        <v>1655</v>
      </c>
      <c r="H653" s="13" t="s">
        <v>1656</v>
      </c>
      <c r="I653" s="13">
        <v>2025</v>
      </c>
      <c r="J653" s="13" t="s">
        <v>1780</v>
      </c>
      <c r="K653" s="13">
        <v>4</v>
      </c>
      <c r="L653" s="13">
        <v>44</v>
      </c>
      <c r="M653" s="13" t="s">
        <v>1787</v>
      </c>
    </row>
    <row r="654" spans="2:13" ht="15.75" hidden="1" outlineLevel="1" x14ac:dyDescent="0.3">
      <c r="B654" s="13" t="s">
        <v>464</v>
      </c>
      <c r="C654" s="13" t="s">
        <v>1779</v>
      </c>
      <c r="D654" s="13" t="s">
        <v>11</v>
      </c>
      <c r="E654" s="13" t="s">
        <v>13</v>
      </c>
      <c r="F654" s="13" t="s">
        <v>465</v>
      </c>
      <c r="G654" s="13" t="s">
        <v>1655</v>
      </c>
      <c r="H654" s="13" t="s">
        <v>1656</v>
      </c>
      <c r="I654" s="13">
        <v>2025</v>
      </c>
      <c r="J654" s="13" t="s">
        <v>1780</v>
      </c>
      <c r="K654" s="13">
        <v>11</v>
      </c>
      <c r="L654" s="13">
        <v>44</v>
      </c>
      <c r="M654" s="13" t="s">
        <v>1785</v>
      </c>
    </row>
    <row r="655" spans="2:13" ht="15.75" hidden="1" outlineLevel="1" x14ac:dyDescent="0.3">
      <c r="B655" s="13" t="s">
        <v>508</v>
      </c>
      <c r="C655" s="13" t="s">
        <v>1779</v>
      </c>
      <c r="D655" s="13" t="s">
        <v>11</v>
      </c>
      <c r="E655" s="13" t="s">
        <v>478</v>
      </c>
      <c r="F655" s="13" t="s">
        <v>308</v>
      </c>
      <c r="G655" s="13" t="s">
        <v>1655</v>
      </c>
      <c r="H655" s="13" t="s">
        <v>1656</v>
      </c>
      <c r="I655" s="13">
        <v>2025</v>
      </c>
      <c r="J655" s="13" t="s">
        <v>1780</v>
      </c>
      <c r="K655" s="13">
        <v>3</v>
      </c>
      <c r="L655" s="13">
        <v>44</v>
      </c>
      <c r="M655" s="13" t="s">
        <v>1786</v>
      </c>
    </row>
    <row r="656" spans="2:13" ht="15.75" hidden="1" outlineLevel="1" x14ac:dyDescent="0.3">
      <c r="B656" s="13" t="s">
        <v>583</v>
      </c>
      <c r="C656" s="13" t="s">
        <v>1779</v>
      </c>
      <c r="D656" s="13" t="s">
        <v>11</v>
      </c>
      <c r="E656" s="13" t="s">
        <v>556</v>
      </c>
      <c r="F656" s="13" t="s">
        <v>308</v>
      </c>
      <c r="G656" s="13" t="s">
        <v>1655</v>
      </c>
      <c r="H656" s="13" t="s">
        <v>1656</v>
      </c>
      <c r="I656" s="13">
        <v>2025</v>
      </c>
      <c r="J656" s="13" t="s">
        <v>1780</v>
      </c>
      <c r="K656" s="13">
        <v>5</v>
      </c>
      <c r="L656" s="13">
        <v>44</v>
      </c>
      <c r="M656" s="13" t="s">
        <v>1782</v>
      </c>
    </row>
    <row r="657" spans="2:13" ht="15.75" hidden="1" outlineLevel="1" x14ac:dyDescent="0.3">
      <c r="B657" s="13" t="s">
        <v>757</v>
      </c>
      <c r="C657" s="13" t="s">
        <v>1779</v>
      </c>
      <c r="D657" s="13" t="s">
        <v>11</v>
      </c>
      <c r="E657" s="13" t="s">
        <v>729</v>
      </c>
      <c r="F657" s="13" t="s">
        <v>465</v>
      </c>
      <c r="G657" s="13" t="s">
        <v>1655</v>
      </c>
      <c r="H657" s="13" t="s">
        <v>1656</v>
      </c>
      <c r="I657" s="13">
        <v>2025</v>
      </c>
      <c r="J657" s="13" t="s">
        <v>1780</v>
      </c>
      <c r="K657" s="13">
        <v>9</v>
      </c>
      <c r="L657" s="13">
        <v>44</v>
      </c>
      <c r="M657" s="13" t="s">
        <v>1781</v>
      </c>
    </row>
    <row r="658" spans="2:13" ht="15.75" hidden="1" outlineLevel="1" x14ac:dyDescent="0.3">
      <c r="B658" s="13" t="s">
        <v>625</v>
      </c>
      <c r="C658" s="13" t="s">
        <v>1779</v>
      </c>
      <c r="D658" s="13" t="s">
        <v>11</v>
      </c>
      <c r="E658" s="13" t="s">
        <v>593</v>
      </c>
      <c r="F658" s="13" t="s">
        <v>308</v>
      </c>
      <c r="G658" s="13" t="s">
        <v>1655</v>
      </c>
      <c r="H658" s="13" t="s">
        <v>1656</v>
      </c>
      <c r="I658" s="13">
        <v>2025</v>
      </c>
      <c r="J658" s="13" t="s">
        <v>1780</v>
      </c>
      <c r="K658" s="13">
        <v>6</v>
      </c>
      <c r="L658" s="13">
        <v>44</v>
      </c>
      <c r="M658" s="13" t="s">
        <v>1783</v>
      </c>
    </row>
    <row r="659" spans="2:13" ht="15.75" hidden="1" outlineLevel="1" x14ac:dyDescent="0.3">
      <c r="B659" s="13" t="s">
        <v>716</v>
      </c>
      <c r="C659" s="13" t="s">
        <v>1779</v>
      </c>
      <c r="D659" s="13" t="s">
        <v>11</v>
      </c>
      <c r="E659" s="13" t="s">
        <v>681</v>
      </c>
      <c r="F659" s="13" t="s">
        <v>465</v>
      </c>
      <c r="G659" s="13" t="s">
        <v>1655</v>
      </c>
      <c r="H659" s="13" t="s">
        <v>1656</v>
      </c>
      <c r="I659" s="13">
        <v>2025</v>
      </c>
      <c r="J659" s="13" t="s">
        <v>1780</v>
      </c>
      <c r="K659" s="13">
        <v>8</v>
      </c>
      <c r="L659" s="13">
        <v>44</v>
      </c>
      <c r="M659" s="13" t="s">
        <v>1784</v>
      </c>
    </row>
    <row r="660" spans="2:13" ht="15.75" hidden="1" outlineLevel="1" x14ac:dyDescent="0.3">
      <c r="B660" s="13" t="s">
        <v>415</v>
      </c>
      <c r="C660" s="13" t="s">
        <v>1779</v>
      </c>
      <c r="D660" s="13" t="s">
        <v>11</v>
      </c>
      <c r="E660" s="13" t="s">
        <v>373</v>
      </c>
      <c r="F660" s="13" t="s">
        <v>308</v>
      </c>
      <c r="G660" s="13" t="s">
        <v>1655</v>
      </c>
      <c r="H660" s="13" t="s">
        <v>1656</v>
      </c>
      <c r="I660" s="13">
        <v>2025</v>
      </c>
      <c r="J660" s="13" t="s">
        <v>1780</v>
      </c>
      <c r="K660" s="13">
        <v>10</v>
      </c>
      <c r="L660" s="13">
        <v>44</v>
      </c>
      <c r="M660" s="13" t="s">
        <v>1788</v>
      </c>
    </row>
    <row r="661" spans="2:13" ht="15.75" hidden="1" outlineLevel="1" x14ac:dyDescent="0.3">
      <c r="B661" s="13" t="s">
        <v>669</v>
      </c>
      <c r="C661" s="13" t="s">
        <v>1779</v>
      </c>
      <c r="D661" s="13" t="s">
        <v>11</v>
      </c>
      <c r="E661" s="13" t="s">
        <v>638</v>
      </c>
      <c r="F661" s="13" t="s">
        <v>308</v>
      </c>
      <c r="G661" s="13" t="s">
        <v>1655</v>
      </c>
      <c r="H661" s="13" t="s">
        <v>1656</v>
      </c>
      <c r="I661" s="13">
        <v>2025</v>
      </c>
      <c r="J661" s="13" t="s">
        <v>1780</v>
      </c>
      <c r="K661" s="13">
        <v>7</v>
      </c>
      <c r="L661" s="13">
        <v>44</v>
      </c>
      <c r="M661" s="13" t="s">
        <v>1789</v>
      </c>
    </row>
    <row r="662" spans="2:13" ht="15.75" hidden="1" outlineLevel="1" x14ac:dyDescent="0.3">
      <c r="B662" s="13" t="s">
        <v>758</v>
      </c>
      <c r="C662" s="13" t="s">
        <v>1790</v>
      </c>
      <c r="D662" s="13" t="s">
        <v>11</v>
      </c>
      <c r="E662" s="13" t="s">
        <v>729</v>
      </c>
      <c r="F662" s="13" t="s">
        <v>467</v>
      </c>
      <c r="G662" s="13" t="s">
        <v>1655</v>
      </c>
      <c r="H662" s="13" t="s">
        <v>1656</v>
      </c>
      <c r="I662" s="13">
        <v>2025</v>
      </c>
      <c r="J662" s="13" t="s">
        <v>1791</v>
      </c>
      <c r="K662" s="13">
        <v>9</v>
      </c>
      <c r="L662" s="13">
        <v>45</v>
      </c>
      <c r="M662" s="13" t="s">
        <v>1799</v>
      </c>
    </row>
    <row r="663" spans="2:13" ht="15.75" hidden="1" outlineLevel="1" x14ac:dyDescent="0.3">
      <c r="B663" s="13" t="s">
        <v>626</v>
      </c>
      <c r="C663" s="13" t="s">
        <v>1790</v>
      </c>
      <c r="D663" s="13" t="s">
        <v>11</v>
      </c>
      <c r="E663" s="13" t="s">
        <v>593</v>
      </c>
      <c r="F663" s="13" t="s">
        <v>308</v>
      </c>
      <c r="G663" s="13" t="s">
        <v>1655</v>
      </c>
      <c r="H663" s="13" t="s">
        <v>1656</v>
      </c>
      <c r="I663" s="13">
        <v>2025</v>
      </c>
      <c r="J663" s="13" t="s">
        <v>1791</v>
      </c>
      <c r="K663" s="13">
        <v>6</v>
      </c>
      <c r="L663" s="13">
        <v>45</v>
      </c>
      <c r="M663" s="13" t="s">
        <v>1796</v>
      </c>
    </row>
    <row r="664" spans="2:13" ht="15.75" hidden="1" outlineLevel="1" x14ac:dyDescent="0.3">
      <c r="B664" s="13" t="s">
        <v>547</v>
      </c>
      <c r="C664" s="13" t="s">
        <v>1790</v>
      </c>
      <c r="D664" s="13" t="s">
        <v>11</v>
      </c>
      <c r="E664" s="13" t="s">
        <v>519</v>
      </c>
      <c r="F664" s="13" t="s">
        <v>308</v>
      </c>
      <c r="G664" s="13" t="s">
        <v>1655</v>
      </c>
      <c r="H664" s="13" t="s">
        <v>1656</v>
      </c>
      <c r="I664" s="13">
        <v>2025</v>
      </c>
      <c r="J664" s="13" t="s">
        <v>1791</v>
      </c>
      <c r="K664" s="13">
        <v>4</v>
      </c>
      <c r="L664" s="13">
        <v>45</v>
      </c>
      <c r="M664" s="13" t="s">
        <v>1800</v>
      </c>
    </row>
    <row r="665" spans="2:13" ht="15.75" hidden="1" outlineLevel="1" x14ac:dyDescent="0.3">
      <c r="B665" s="13" t="s">
        <v>416</v>
      </c>
      <c r="C665" s="13" t="s">
        <v>1790</v>
      </c>
      <c r="D665" s="13" t="s">
        <v>11</v>
      </c>
      <c r="E665" s="13" t="s">
        <v>373</v>
      </c>
      <c r="F665" s="13" t="s">
        <v>308</v>
      </c>
      <c r="G665" s="13" t="s">
        <v>1655</v>
      </c>
      <c r="H665" s="13" t="s">
        <v>1656</v>
      </c>
      <c r="I665" s="13">
        <v>2025</v>
      </c>
      <c r="J665" s="13" t="s">
        <v>1791</v>
      </c>
      <c r="K665" s="13">
        <v>10</v>
      </c>
      <c r="L665" s="13">
        <v>45</v>
      </c>
      <c r="M665" s="13" t="s">
        <v>1795</v>
      </c>
    </row>
    <row r="666" spans="2:13" ht="15.75" hidden="1" outlineLevel="1" x14ac:dyDescent="0.3">
      <c r="B666" s="13" t="s">
        <v>717</v>
      </c>
      <c r="C666" s="13" t="s">
        <v>1790</v>
      </c>
      <c r="D666" s="13" t="s">
        <v>11</v>
      </c>
      <c r="E666" s="13" t="s">
        <v>681</v>
      </c>
      <c r="F666" s="13" t="s">
        <v>467</v>
      </c>
      <c r="G666" s="13" t="s">
        <v>1655</v>
      </c>
      <c r="H666" s="13" t="s">
        <v>1656</v>
      </c>
      <c r="I666" s="13">
        <v>2025</v>
      </c>
      <c r="J666" s="13" t="s">
        <v>1791</v>
      </c>
      <c r="K666" s="13">
        <v>8</v>
      </c>
      <c r="L666" s="13">
        <v>45</v>
      </c>
      <c r="M666" s="13" t="s">
        <v>1792</v>
      </c>
    </row>
    <row r="667" spans="2:13" ht="15.75" hidden="1" outlineLevel="1" x14ac:dyDescent="0.3">
      <c r="B667" s="13" t="s">
        <v>466</v>
      </c>
      <c r="C667" s="13" t="s">
        <v>1790</v>
      </c>
      <c r="D667" s="13" t="s">
        <v>11</v>
      </c>
      <c r="E667" s="13" t="s">
        <v>13</v>
      </c>
      <c r="F667" s="13" t="s">
        <v>467</v>
      </c>
      <c r="G667" s="13" t="s">
        <v>1655</v>
      </c>
      <c r="H667" s="13" t="s">
        <v>1656</v>
      </c>
      <c r="I667" s="13">
        <v>2025</v>
      </c>
      <c r="J667" s="13" t="s">
        <v>1791</v>
      </c>
      <c r="K667" s="13">
        <v>11</v>
      </c>
      <c r="L667" s="13">
        <v>45</v>
      </c>
      <c r="M667" s="13" t="s">
        <v>1794</v>
      </c>
    </row>
    <row r="668" spans="2:13" ht="15.75" hidden="1" outlineLevel="1" x14ac:dyDescent="0.3">
      <c r="B668" s="13" t="s">
        <v>509</v>
      </c>
      <c r="C668" s="13" t="s">
        <v>1790</v>
      </c>
      <c r="D668" s="13" t="s">
        <v>11</v>
      </c>
      <c r="E668" s="13" t="s">
        <v>478</v>
      </c>
      <c r="F668" s="13" t="s">
        <v>308</v>
      </c>
      <c r="G668" s="13" t="s">
        <v>1655</v>
      </c>
      <c r="H668" s="13" t="s">
        <v>1656</v>
      </c>
      <c r="I668" s="13">
        <v>2025</v>
      </c>
      <c r="J668" s="13" t="s">
        <v>1791</v>
      </c>
      <c r="K668" s="13">
        <v>3</v>
      </c>
      <c r="L668" s="13">
        <v>45</v>
      </c>
      <c r="M668" s="13" t="s">
        <v>1798</v>
      </c>
    </row>
    <row r="669" spans="2:13" ht="15.75" hidden="1" outlineLevel="1" x14ac:dyDescent="0.3">
      <c r="B669" s="13" t="s">
        <v>670</v>
      </c>
      <c r="C669" s="13" t="s">
        <v>1790</v>
      </c>
      <c r="D669" s="13" t="s">
        <v>11</v>
      </c>
      <c r="E669" s="13" t="s">
        <v>638</v>
      </c>
      <c r="F669" s="13" t="s">
        <v>308</v>
      </c>
      <c r="G669" s="13" t="s">
        <v>1655</v>
      </c>
      <c r="H669" s="13" t="s">
        <v>1656</v>
      </c>
      <c r="I669" s="13">
        <v>2025</v>
      </c>
      <c r="J669" s="13" t="s">
        <v>1791</v>
      </c>
      <c r="K669" s="13">
        <v>7</v>
      </c>
      <c r="L669" s="13">
        <v>45</v>
      </c>
      <c r="M669" s="13" t="s">
        <v>1797</v>
      </c>
    </row>
    <row r="670" spans="2:13" ht="15.75" hidden="1" outlineLevel="1" x14ac:dyDescent="0.3">
      <c r="B670" s="13" t="s">
        <v>584</v>
      </c>
      <c r="C670" s="13" t="s">
        <v>1790</v>
      </c>
      <c r="D670" s="13" t="s">
        <v>11</v>
      </c>
      <c r="E670" s="13" t="s">
        <v>556</v>
      </c>
      <c r="F670" s="13" t="s">
        <v>308</v>
      </c>
      <c r="G670" s="13" t="s">
        <v>1655</v>
      </c>
      <c r="H670" s="13" t="s">
        <v>1656</v>
      </c>
      <c r="I670" s="13">
        <v>2025</v>
      </c>
      <c r="J670" s="13" t="s">
        <v>1791</v>
      </c>
      <c r="K670" s="13">
        <v>5</v>
      </c>
      <c r="L670" s="13">
        <v>45</v>
      </c>
      <c r="M670" s="13" t="s">
        <v>1793</v>
      </c>
    </row>
    <row r="671" spans="2:13" ht="15.75" hidden="1" outlineLevel="1" x14ac:dyDescent="0.3">
      <c r="B671" s="13" t="s">
        <v>759</v>
      </c>
      <c r="C671" s="13" t="s">
        <v>1801</v>
      </c>
      <c r="D671" s="13" t="s">
        <v>11</v>
      </c>
      <c r="E671" s="13" t="s">
        <v>729</v>
      </c>
      <c r="F671" s="13" t="s">
        <v>719</v>
      </c>
      <c r="G671" s="13" t="s">
        <v>1655</v>
      </c>
      <c r="H671" s="13" t="s">
        <v>1656</v>
      </c>
      <c r="I671" s="13">
        <v>2025</v>
      </c>
      <c r="J671" s="13" t="s">
        <v>1802</v>
      </c>
      <c r="K671" s="13">
        <v>9</v>
      </c>
      <c r="L671" s="13">
        <v>46</v>
      </c>
      <c r="M671" s="13" t="s">
        <v>1806</v>
      </c>
    </row>
    <row r="672" spans="2:13" ht="15.75" hidden="1" outlineLevel="1" x14ac:dyDescent="0.3">
      <c r="B672" s="13" t="s">
        <v>417</v>
      </c>
      <c r="C672" s="13" t="s">
        <v>1801</v>
      </c>
      <c r="D672" s="13" t="s">
        <v>11</v>
      </c>
      <c r="E672" s="13" t="s">
        <v>373</v>
      </c>
      <c r="F672" s="13" t="s">
        <v>410</v>
      </c>
      <c r="G672" s="13" t="s">
        <v>1655</v>
      </c>
      <c r="H672" s="13" t="s">
        <v>1656</v>
      </c>
      <c r="I672" s="13">
        <v>2025</v>
      </c>
      <c r="J672" s="13" t="s">
        <v>1802</v>
      </c>
      <c r="K672" s="13">
        <v>10</v>
      </c>
      <c r="L672" s="13">
        <v>46</v>
      </c>
      <c r="M672" s="13" t="s">
        <v>1811</v>
      </c>
    </row>
    <row r="673" spans="2:13" ht="15.75" hidden="1" outlineLevel="1" x14ac:dyDescent="0.3">
      <c r="B673" s="13" t="s">
        <v>468</v>
      </c>
      <c r="C673" s="13" t="s">
        <v>1801</v>
      </c>
      <c r="D673" s="13" t="s">
        <v>11</v>
      </c>
      <c r="E673" s="13" t="s">
        <v>13</v>
      </c>
      <c r="F673" s="13" t="s">
        <v>469</v>
      </c>
      <c r="G673" s="13" t="s">
        <v>1655</v>
      </c>
      <c r="H673" s="13" t="s">
        <v>1656</v>
      </c>
      <c r="I673" s="13">
        <v>2025</v>
      </c>
      <c r="J673" s="13" t="s">
        <v>1802</v>
      </c>
      <c r="K673" s="13">
        <v>11</v>
      </c>
      <c r="L673" s="13">
        <v>46</v>
      </c>
      <c r="M673" s="13" t="s">
        <v>1803</v>
      </c>
    </row>
    <row r="674" spans="2:13" ht="15.75" hidden="1" outlineLevel="1" x14ac:dyDescent="0.3">
      <c r="B674" s="13" t="s">
        <v>671</v>
      </c>
      <c r="C674" s="13" t="s">
        <v>1801</v>
      </c>
      <c r="D674" s="13" t="s">
        <v>11</v>
      </c>
      <c r="E674" s="13" t="s">
        <v>638</v>
      </c>
      <c r="F674" s="13" t="s">
        <v>308</v>
      </c>
      <c r="G674" s="13" t="s">
        <v>1655</v>
      </c>
      <c r="H674" s="13" t="s">
        <v>1656</v>
      </c>
      <c r="I674" s="13">
        <v>2025</v>
      </c>
      <c r="J674" s="13" t="s">
        <v>1802</v>
      </c>
      <c r="K674" s="13">
        <v>7</v>
      </c>
      <c r="L674" s="13">
        <v>46</v>
      </c>
      <c r="M674" s="13" t="s">
        <v>1804</v>
      </c>
    </row>
    <row r="675" spans="2:13" ht="15.75" hidden="1" outlineLevel="1" x14ac:dyDescent="0.3">
      <c r="B675" s="13" t="s">
        <v>510</v>
      </c>
      <c r="C675" s="13" t="s">
        <v>1801</v>
      </c>
      <c r="D675" s="13" t="s">
        <v>11</v>
      </c>
      <c r="E675" s="13" t="s">
        <v>478</v>
      </c>
      <c r="F675" s="13" t="s">
        <v>308</v>
      </c>
      <c r="G675" s="13" t="s">
        <v>1655</v>
      </c>
      <c r="H675" s="13" t="s">
        <v>1656</v>
      </c>
      <c r="I675" s="13">
        <v>2025</v>
      </c>
      <c r="J675" s="13" t="s">
        <v>1802</v>
      </c>
      <c r="K675" s="13">
        <v>3</v>
      </c>
      <c r="L675" s="13">
        <v>46</v>
      </c>
      <c r="M675" s="13" t="s">
        <v>1808</v>
      </c>
    </row>
    <row r="676" spans="2:13" ht="15.75" hidden="1" outlineLevel="1" x14ac:dyDescent="0.3">
      <c r="B676" s="13" t="s">
        <v>548</v>
      </c>
      <c r="C676" s="13" t="s">
        <v>1801</v>
      </c>
      <c r="D676" s="13" t="s">
        <v>11</v>
      </c>
      <c r="E676" s="13" t="s">
        <v>519</v>
      </c>
      <c r="F676" s="13" t="s">
        <v>308</v>
      </c>
      <c r="G676" s="13" t="s">
        <v>1655</v>
      </c>
      <c r="H676" s="13" t="s">
        <v>1656</v>
      </c>
      <c r="I676" s="13">
        <v>2025</v>
      </c>
      <c r="J676" s="13" t="s">
        <v>1802</v>
      </c>
      <c r="K676" s="13">
        <v>4</v>
      </c>
      <c r="L676" s="13">
        <v>46</v>
      </c>
      <c r="M676" s="13" t="s">
        <v>1807</v>
      </c>
    </row>
    <row r="677" spans="2:13" ht="15.75" hidden="1" outlineLevel="1" x14ac:dyDescent="0.3">
      <c r="B677" s="13" t="s">
        <v>585</v>
      </c>
      <c r="C677" s="13" t="s">
        <v>1801</v>
      </c>
      <c r="D677" s="13" t="s">
        <v>11</v>
      </c>
      <c r="E677" s="13" t="s">
        <v>556</v>
      </c>
      <c r="F677" s="13" t="s">
        <v>308</v>
      </c>
      <c r="G677" s="13" t="s">
        <v>1655</v>
      </c>
      <c r="H677" s="13" t="s">
        <v>1656</v>
      </c>
      <c r="I677" s="13">
        <v>2025</v>
      </c>
      <c r="J677" s="13" t="s">
        <v>1802</v>
      </c>
      <c r="K677" s="13">
        <v>5</v>
      </c>
      <c r="L677" s="13">
        <v>46</v>
      </c>
      <c r="M677" s="13" t="s">
        <v>1809</v>
      </c>
    </row>
    <row r="678" spans="2:13" ht="15.75" hidden="1" outlineLevel="1" x14ac:dyDescent="0.3">
      <c r="B678" s="13" t="s">
        <v>718</v>
      </c>
      <c r="C678" s="13" t="s">
        <v>1801</v>
      </c>
      <c r="D678" s="13" t="s">
        <v>11</v>
      </c>
      <c r="E678" s="13" t="s">
        <v>681</v>
      </c>
      <c r="F678" s="13" t="s">
        <v>719</v>
      </c>
      <c r="G678" s="13" t="s">
        <v>1655</v>
      </c>
      <c r="H678" s="13" t="s">
        <v>1656</v>
      </c>
      <c r="I678" s="13">
        <v>2025</v>
      </c>
      <c r="J678" s="13" t="s">
        <v>1802</v>
      </c>
      <c r="K678" s="13">
        <v>8</v>
      </c>
      <c r="L678" s="13">
        <v>46</v>
      </c>
      <c r="M678" s="13" t="s">
        <v>1805</v>
      </c>
    </row>
    <row r="679" spans="2:13" ht="15.75" hidden="1" outlineLevel="1" x14ac:dyDescent="0.3">
      <c r="B679" s="13" t="s">
        <v>627</v>
      </c>
      <c r="C679" s="13" t="s">
        <v>1801</v>
      </c>
      <c r="D679" s="13" t="s">
        <v>11</v>
      </c>
      <c r="E679" s="13" t="s">
        <v>593</v>
      </c>
      <c r="F679" s="13" t="s">
        <v>308</v>
      </c>
      <c r="G679" s="13" t="s">
        <v>1655</v>
      </c>
      <c r="H679" s="13" t="s">
        <v>1656</v>
      </c>
      <c r="I679" s="13">
        <v>2025</v>
      </c>
      <c r="J679" s="13" t="s">
        <v>1802</v>
      </c>
      <c r="K679" s="13">
        <v>6</v>
      </c>
      <c r="L679" s="13">
        <v>46</v>
      </c>
      <c r="M679" s="13" t="s">
        <v>1810</v>
      </c>
    </row>
    <row r="680" spans="2:13" ht="15.75" hidden="1" outlineLevel="1" x14ac:dyDescent="0.3">
      <c r="B680" s="13" t="s">
        <v>511</v>
      </c>
      <c r="C680" s="13" t="s">
        <v>1568</v>
      </c>
      <c r="D680" s="13" t="s">
        <v>165</v>
      </c>
      <c r="E680" s="13" t="s">
        <v>478</v>
      </c>
      <c r="F680" s="13" t="s">
        <v>492</v>
      </c>
      <c r="G680" s="13" t="s">
        <v>1655</v>
      </c>
      <c r="H680" s="13" t="s">
        <v>1656</v>
      </c>
      <c r="I680" s="13">
        <v>2025</v>
      </c>
      <c r="J680" s="13" t="s">
        <v>1568</v>
      </c>
      <c r="K680" s="13">
        <v>3</v>
      </c>
      <c r="L680" s="13">
        <v>47</v>
      </c>
      <c r="M680" s="13" t="s">
        <v>1569</v>
      </c>
    </row>
    <row r="681" spans="2:13" ht="15.75" hidden="1" outlineLevel="1" x14ac:dyDescent="0.3">
      <c r="B681" s="13" t="s">
        <v>418</v>
      </c>
      <c r="C681" s="13" t="s">
        <v>1568</v>
      </c>
      <c r="D681" s="13" t="s">
        <v>165</v>
      </c>
      <c r="E681" s="13" t="s">
        <v>373</v>
      </c>
      <c r="F681" s="13" t="s">
        <v>208</v>
      </c>
      <c r="G681" s="13" t="s">
        <v>1655</v>
      </c>
      <c r="H681" s="13" t="s">
        <v>1656</v>
      </c>
      <c r="I681" s="13">
        <v>2025</v>
      </c>
      <c r="J681" s="13" t="s">
        <v>1568</v>
      </c>
      <c r="K681" s="13">
        <v>10</v>
      </c>
      <c r="L681" s="13">
        <v>47</v>
      </c>
      <c r="M681" s="13" t="s">
        <v>1662</v>
      </c>
    </row>
    <row r="682" spans="2:13" ht="15.75" hidden="1" outlineLevel="1" x14ac:dyDescent="0.3">
      <c r="B682" s="13" t="s">
        <v>549</v>
      </c>
      <c r="C682" s="13" t="s">
        <v>1568</v>
      </c>
      <c r="D682" s="13" t="s">
        <v>165</v>
      </c>
      <c r="E682" s="13" t="s">
        <v>519</v>
      </c>
      <c r="F682" s="13" t="s">
        <v>532</v>
      </c>
      <c r="G682" s="13" t="s">
        <v>1655</v>
      </c>
      <c r="H682" s="13" t="s">
        <v>1656</v>
      </c>
      <c r="I682" s="13">
        <v>2025</v>
      </c>
      <c r="J682" s="13" t="s">
        <v>1568</v>
      </c>
      <c r="K682" s="13">
        <v>4</v>
      </c>
      <c r="L682" s="13">
        <v>47</v>
      </c>
      <c r="M682" s="13" t="s">
        <v>1570</v>
      </c>
    </row>
    <row r="683" spans="2:13" ht="15.75" hidden="1" outlineLevel="1" x14ac:dyDescent="0.3">
      <c r="B683" s="13" t="s">
        <v>586</v>
      </c>
      <c r="C683" s="13" t="s">
        <v>1568</v>
      </c>
      <c r="D683" s="13" t="s">
        <v>165</v>
      </c>
      <c r="E683" s="13" t="s">
        <v>556</v>
      </c>
      <c r="F683" s="13" t="s">
        <v>569</v>
      </c>
      <c r="G683" s="13" t="s">
        <v>1655</v>
      </c>
      <c r="H683" s="13" t="s">
        <v>1656</v>
      </c>
      <c r="I683" s="13">
        <v>2025</v>
      </c>
      <c r="J683" s="13" t="s">
        <v>1568</v>
      </c>
      <c r="K683" s="13">
        <v>5</v>
      </c>
      <c r="L683" s="13">
        <v>47</v>
      </c>
      <c r="M683" s="13" t="s">
        <v>1657</v>
      </c>
    </row>
    <row r="684" spans="2:13" ht="15.75" hidden="1" outlineLevel="1" x14ac:dyDescent="0.3">
      <c r="B684" s="13" t="s">
        <v>672</v>
      </c>
      <c r="C684" s="13" t="s">
        <v>1568</v>
      </c>
      <c r="D684" s="13" t="s">
        <v>165</v>
      </c>
      <c r="E684" s="13" t="s">
        <v>638</v>
      </c>
      <c r="F684" s="13" t="s">
        <v>673</v>
      </c>
      <c r="G684" s="13" t="s">
        <v>1655</v>
      </c>
      <c r="H684" s="13" t="s">
        <v>1656</v>
      </c>
      <c r="I684" s="13">
        <v>2025</v>
      </c>
      <c r="J684" s="13" t="s">
        <v>1568</v>
      </c>
      <c r="K684" s="13">
        <v>7</v>
      </c>
      <c r="L684" s="13">
        <v>47</v>
      </c>
      <c r="M684" s="13" t="s">
        <v>1659</v>
      </c>
    </row>
    <row r="685" spans="2:13" ht="15.75" hidden="1" outlineLevel="1" x14ac:dyDescent="0.3">
      <c r="B685" s="13" t="s">
        <v>760</v>
      </c>
      <c r="C685" s="13" t="s">
        <v>1568</v>
      </c>
      <c r="D685" s="13" t="s">
        <v>165</v>
      </c>
      <c r="E685" s="13" t="s">
        <v>729</v>
      </c>
      <c r="F685" s="13" t="s">
        <v>205</v>
      </c>
      <c r="G685" s="13" t="s">
        <v>1655</v>
      </c>
      <c r="H685" s="13" t="s">
        <v>1656</v>
      </c>
      <c r="I685" s="13">
        <v>2025</v>
      </c>
      <c r="J685" s="13" t="s">
        <v>1568</v>
      </c>
      <c r="K685" s="13">
        <v>9</v>
      </c>
      <c r="L685" s="13">
        <v>47</v>
      </c>
      <c r="M685" s="13" t="s">
        <v>1661</v>
      </c>
    </row>
    <row r="686" spans="2:13" ht="15.75" hidden="1" outlineLevel="1" x14ac:dyDescent="0.3">
      <c r="B686" s="13" t="s">
        <v>720</v>
      </c>
      <c r="C686" s="13" t="s">
        <v>1568</v>
      </c>
      <c r="D686" s="13" t="s">
        <v>165</v>
      </c>
      <c r="E686" s="13" t="s">
        <v>681</v>
      </c>
      <c r="F686" s="13" t="s">
        <v>721</v>
      </c>
      <c r="G686" s="13" t="s">
        <v>1655</v>
      </c>
      <c r="H686" s="13" t="s">
        <v>1656</v>
      </c>
      <c r="I686" s="13">
        <v>2025</v>
      </c>
      <c r="J686" s="13" t="s">
        <v>1568</v>
      </c>
      <c r="K686" s="13">
        <v>8</v>
      </c>
      <c r="L686" s="13">
        <v>47</v>
      </c>
      <c r="M686" s="13" t="s">
        <v>1663</v>
      </c>
    </row>
    <row r="687" spans="2:13" ht="15.75" hidden="1" outlineLevel="1" x14ac:dyDescent="0.3">
      <c r="B687" s="13" t="s">
        <v>628</v>
      </c>
      <c r="C687" s="13" t="s">
        <v>1568</v>
      </c>
      <c r="D687" s="13" t="s">
        <v>165</v>
      </c>
      <c r="E687" s="13" t="s">
        <v>593</v>
      </c>
      <c r="F687" s="13" t="s">
        <v>629</v>
      </c>
      <c r="G687" s="13" t="s">
        <v>1655</v>
      </c>
      <c r="H687" s="13" t="s">
        <v>1656</v>
      </c>
      <c r="I687" s="13">
        <v>2025</v>
      </c>
      <c r="J687" s="13" t="s">
        <v>1568</v>
      </c>
      <c r="K687" s="13">
        <v>6</v>
      </c>
      <c r="L687" s="13">
        <v>47</v>
      </c>
      <c r="M687" s="13" t="s">
        <v>1660</v>
      </c>
    </row>
    <row r="688" spans="2:13" ht="15.75" hidden="1" outlineLevel="1" x14ac:dyDescent="0.3">
      <c r="B688" s="13" t="s">
        <v>470</v>
      </c>
      <c r="C688" s="13" t="s">
        <v>1568</v>
      </c>
      <c r="D688" s="13" t="s">
        <v>165</v>
      </c>
      <c r="E688" s="13" t="s">
        <v>13</v>
      </c>
      <c r="F688" s="13" t="s">
        <v>211</v>
      </c>
      <c r="G688" s="13" t="s">
        <v>1655</v>
      </c>
      <c r="H688" s="13" t="s">
        <v>1656</v>
      </c>
      <c r="I688" s="13">
        <v>2025</v>
      </c>
      <c r="J688" s="13" t="s">
        <v>1568</v>
      </c>
      <c r="K688" s="13">
        <v>11</v>
      </c>
      <c r="L688" s="13">
        <v>47</v>
      </c>
      <c r="M688" s="13" t="s">
        <v>1658</v>
      </c>
    </row>
    <row r="689" spans="2:13" ht="15.75" hidden="1" outlineLevel="1" x14ac:dyDescent="0.3">
      <c r="B689" s="13" t="s">
        <v>513</v>
      </c>
      <c r="C689" s="13" t="s">
        <v>1568</v>
      </c>
      <c r="D689" s="13" t="s">
        <v>165</v>
      </c>
      <c r="E689" s="13" t="s">
        <v>478</v>
      </c>
      <c r="F689" s="13" t="s">
        <v>494</v>
      </c>
      <c r="G689" s="13" t="s">
        <v>1655</v>
      </c>
      <c r="H689" s="13" t="s">
        <v>1656</v>
      </c>
      <c r="I689" s="13">
        <v>2025</v>
      </c>
      <c r="J689" s="13" t="s">
        <v>1568</v>
      </c>
      <c r="K689" s="13">
        <v>3</v>
      </c>
      <c r="L689" s="13">
        <v>50</v>
      </c>
      <c r="M689" s="13" t="s">
        <v>1569</v>
      </c>
    </row>
    <row r="690" spans="2:13" ht="15.75" hidden="1" outlineLevel="1" x14ac:dyDescent="0.3">
      <c r="B690" s="13" t="s">
        <v>940</v>
      </c>
      <c r="C690" s="13" t="s">
        <v>1403</v>
      </c>
      <c r="D690" s="13" t="s">
        <v>71</v>
      </c>
      <c r="E690" s="13" t="s">
        <v>13</v>
      </c>
      <c r="F690" s="13" t="s">
        <v>78</v>
      </c>
      <c r="G690" s="13" t="s">
        <v>1823</v>
      </c>
      <c r="H690" s="13" t="s">
        <v>1824</v>
      </c>
      <c r="I690" s="13">
        <v>2024</v>
      </c>
      <c r="J690" s="13" t="s">
        <v>1404</v>
      </c>
      <c r="K690" s="13">
        <v>4</v>
      </c>
      <c r="L690" s="13">
        <v>5</v>
      </c>
      <c r="M690" s="13" t="s">
        <v>1405</v>
      </c>
    </row>
    <row r="691" spans="2:13" ht="15.75" hidden="1" outlineLevel="1" x14ac:dyDescent="0.3">
      <c r="B691" s="13" t="s">
        <v>862</v>
      </c>
      <c r="C691" s="13" t="s">
        <v>1403</v>
      </c>
      <c r="D691" s="13" t="s">
        <v>11</v>
      </c>
      <c r="E691" s="13" t="s">
        <v>13</v>
      </c>
      <c r="F691" s="13" t="s">
        <v>23</v>
      </c>
      <c r="G691" s="13" t="s">
        <v>1823</v>
      </c>
      <c r="H691" s="13" t="s">
        <v>1824</v>
      </c>
      <c r="I691" s="13">
        <v>2025</v>
      </c>
      <c r="J691" s="13" t="s">
        <v>1404</v>
      </c>
      <c r="K691" s="13">
        <v>3</v>
      </c>
      <c r="L691" s="13">
        <v>5</v>
      </c>
      <c r="M691" s="13" t="s">
        <v>1406</v>
      </c>
    </row>
    <row r="692" spans="2:13" ht="15.75" hidden="1" outlineLevel="1" x14ac:dyDescent="0.3">
      <c r="B692" s="13" t="s">
        <v>946</v>
      </c>
      <c r="C692" s="13" t="s">
        <v>1825</v>
      </c>
      <c r="D692" s="13" t="s">
        <v>71</v>
      </c>
      <c r="E692" s="13" t="s">
        <v>13</v>
      </c>
      <c r="F692" s="13" t="s">
        <v>947</v>
      </c>
      <c r="G692" s="13" t="s">
        <v>1823</v>
      </c>
      <c r="H692" s="13" t="s">
        <v>1824</v>
      </c>
      <c r="I692" s="13">
        <v>2024</v>
      </c>
      <c r="J692" s="13" t="s">
        <v>1826</v>
      </c>
      <c r="K692" s="13">
        <v>4</v>
      </c>
      <c r="L692" s="13">
        <v>6</v>
      </c>
      <c r="M692" s="13" t="s">
        <v>1827</v>
      </c>
    </row>
    <row r="693" spans="2:13" ht="15.75" hidden="1" outlineLevel="1" x14ac:dyDescent="0.3">
      <c r="B693" s="13" t="s">
        <v>868</v>
      </c>
      <c r="C693" s="13" t="s">
        <v>1825</v>
      </c>
      <c r="D693" s="13" t="s">
        <v>11</v>
      </c>
      <c r="E693" s="13" t="s">
        <v>13</v>
      </c>
      <c r="F693" s="13" t="s">
        <v>870</v>
      </c>
      <c r="G693" s="13" t="s">
        <v>1823</v>
      </c>
      <c r="H693" s="13" t="s">
        <v>1824</v>
      </c>
      <c r="I693" s="13">
        <v>2025</v>
      </c>
      <c r="J693" s="13" t="s">
        <v>1826</v>
      </c>
      <c r="K693" s="13">
        <v>3</v>
      </c>
      <c r="L693" s="13">
        <v>6</v>
      </c>
      <c r="M693" s="13" t="s">
        <v>1828</v>
      </c>
    </row>
    <row r="694" spans="2:13" ht="15.75" hidden="1" outlineLevel="1" x14ac:dyDescent="0.3">
      <c r="B694" s="13" t="s">
        <v>871</v>
      </c>
      <c r="C694" s="13" t="s">
        <v>1829</v>
      </c>
      <c r="D694" s="13" t="s">
        <v>11</v>
      </c>
      <c r="E694" s="13" t="s">
        <v>13</v>
      </c>
      <c r="F694" s="13" t="s">
        <v>873</v>
      </c>
      <c r="G694" s="13" t="s">
        <v>1823</v>
      </c>
      <c r="H694" s="13" t="s">
        <v>1824</v>
      </c>
      <c r="I694" s="13">
        <v>2025</v>
      </c>
      <c r="J694" s="13" t="s">
        <v>1830</v>
      </c>
      <c r="K694" s="13">
        <v>3</v>
      </c>
      <c r="L694" s="13">
        <v>7</v>
      </c>
      <c r="M694" s="13" t="s">
        <v>1831</v>
      </c>
    </row>
    <row r="695" spans="2:13" ht="15.75" hidden="1" outlineLevel="1" x14ac:dyDescent="0.3">
      <c r="B695" s="13" t="s">
        <v>948</v>
      </c>
      <c r="C695" s="13" t="s">
        <v>1829</v>
      </c>
      <c r="D695" s="13" t="s">
        <v>71</v>
      </c>
      <c r="E695" s="13" t="s">
        <v>13</v>
      </c>
      <c r="F695" s="13" t="s">
        <v>949</v>
      </c>
      <c r="G695" s="13" t="s">
        <v>1823</v>
      </c>
      <c r="H695" s="13" t="s">
        <v>1824</v>
      </c>
      <c r="I695" s="13">
        <v>2024</v>
      </c>
      <c r="J695" s="13" t="s">
        <v>1830</v>
      </c>
      <c r="K695" s="13">
        <v>4</v>
      </c>
      <c r="L695" s="13">
        <v>7</v>
      </c>
      <c r="M695" s="13" t="s">
        <v>1832</v>
      </c>
    </row>
    <row r="696" spans="2:13" ht="15.75" hidden="1" outlineLevel="1" x14ac:dyDescent="0.3">
      <c r="B696" s="13" t="s">
        <v>950</v>
      </c>
      <c r="C696" s="13" t="s">
        <v>1833</v>
      </c>
      <c r="D696" s="13" t="s">
        <v>71</v>
      </c>
      <c r="E696" s="13" t="s">
        <v>13</v>
      </c>
      <c r="F696" s="13" t="s">
        <v>80</v>
      </c>
      <c r="G696" s="13" t="s">
        <v>1823</v>
      </c>
      <c r="H696" s="13" t="s">
        <v>1824</v>
      </c>
      <c r="I696" s="13">
        <v>2024</v>
      </c>
      <c r="J696" s="13" t="s">
        <v>1834</v>
      </c>
      <c r="K696" s="13">
        <v>4</v>
      </c>
      <c r="L696" s="13">
        <v>8</v>
      </c>
      <c r="M696" s="13" t="s">
        <v>1835</v>
      </c>
    </row>
    <row r="697" spans="2:13" ht="15.75" hidden="1" outlineLevel="1" x14ac:dyDescent="0.3">
      <c r="B697" s="13" t="s">
        <v>874</v>
      </c>
      <c r="C697" s="13" t="s">
        <v>1833</v>
      </c>
      <c r="D697" s="13" t="s">
        <v>11</v>
      </c>
      <c r="E697" s="13" t="s">
        <v>13</v>
      </c>
      <c r="F697" s="13" t="s">
        <v>26</v>
      </c>
      <c r="G697" s="13" t="s">
        <v>1823</v>
      </c>
      <c r="H697" s="13" t="s">
        <v>1824</v>
      </c>
      <c r="I697" s="13">
        <v>2025</v>
      </c>
      <c r="J697" s="13" t="s">
        <v>1834</v>
      </c>
      <c r="K697" s="13">
        <v>3</v>
      </c>
      <c r="L697" s="13">
        <v>8</v>
      </c>
      <c r="M697" s="13" t="s">
        <v>1836</v>
      </c>
    </row>
    <row r="698" spans="2:13" ht="15.75" hidden="1" outlineLevel="1" x14ac:dyDescent="0.3">
      <c r="B698" s="13" t="s">
        <v>951</v>
      </c>
      <c r="C698" s="13" t="s">
        <v>1837</v>
      </c>
      <c r="D698" s="13" t="s">
        <v>71</v>
      </c>
      <c r="E698" s="13" t="s">
        <v>13</v>
      </c>
      <c r="F698" s="13" t="s">
        <v>952</v>
      </c>
      <c r="G698" s="13" t="s">
        <v>1823</v>
      </c>
      <c r="H698" s="13" t="s">
        <v>1824</v>
      </c>
      <c r="I698" s="13">
        <v>2024</v>
      </c>
      <c r="J698" s="13" t="s">
        <v>1838</v>
      </c>
      <c r="K698" s="13">
        <v>4</v>
      </c>
      <c r="L698" s="13">
        <v>9</v>
      </c>
      <c r="M698" s="13" t="s">
        <v>1839</v>
      </c>
    </row>
    <row r="699" spans="2:13" ht="15.75" hidden="1" outlineLevel="1" x14ac:dyDescent="0.3">
      <c r="B699" s="13" t="s">
        <v>876</v>
      </c>
      <c r="C699" s="13" t="s">
        <v>1837</v>
      </c>
      <c r="D699" s="13" t="s">
        <v>11</v>
      </c>
      <c r="E699" s="13" t="s">
        <v>13</v>
      </c>
      <c r="F699" s="13" t="s">
        <v>878</v>
      </c>
      <c r="G699" s="13" t="s">
        <v>1823</v>
      </c>
      <c r="H699" s="13" t="s">
        <v>1824</v>
      </c>
      <c r="I699" s="13">
        <v>2025</v>
      </c>
      <c r="J699" s="13" t="s">
        <v>1838</v>
      </c>
      <c r="K699" s="13">
        <v>3</v>
      </c>
      <c r="L699" s="13">
        <v>9</v>
      </c>
      <c r="M699" s="13" t="s">
        <v>1840</v>
      </c>
    </row>
    <row r="700" spans="2:13" ht="15.75" hidden="1" outlineLevel="1" x14ac:dyDescent="0.3">
      <c r="B700" s="13" t="s">
        <v>767</v>
      </c>
      <c r="C700" s="13" t="s">
        <v>1841</v>
      </c>
      <c r="D700" s="13" t="s">
        <v>11</v>
      </c>
      <c r="E700" s="13" t="s">
        <v>13</v>
      </c>
      <c r="F700" s="13" t="s">
        <v>769</v>
      </c>
      <c r="G700" s="13" t="s">
        <v>1823</v>
      </c>
      <c r="H700" s="13" t="s">
        <v>1824</v>
      </c>
      <c r="I700" s="13">
        <v>2025</v>
      </c>
      <c r="J700" s="13" t="s">
        <v>1842</v>
      </c>
      <c r="K700" s="13">
        <v>3</v>
      </c>
      <c r="L700" s="13">
        <v>10</v>
      </c>
      <c r="M700" s="13" t="s">
        <v>1843</v>
      </c>
    </row>
    <row r="701" spans="2:13" ht="15.75" hidden="1" outlineLevel="1" x14ac:dyDescent="0.3">
      <c r="B701" s="13" t="s">
        <v>879</v>
      </c>
      <c r="C701" s="13" t="s">
        <v>1841</v>
      </c>
      <c r="D701" s="13" t="s">
        <v>71</v>
      </c>
      <c r="E701" s="13" t="s">
        <v>13</v>
      </c>
      <c r="F701" s="13" t="s">
        <v>880</v>
      </c>
      <c r="G701" s="13" t="s">
        <v>1823</v>
      </c>
      <c r="H701" s="13" t="s">
        <v>1824</v>
      </c>
      <c r="I701" s="13">
        <v>2024</v>
      </c>
      <c r="J701" s="13" t="s">
        <v>1842</v>
      </c>
      <c r="K701" s="13">
        <v>4</v>
      </c>
      <c r="L701" s="13">
        <v>10</v>
      </c>
      <c r="M701" s="13" t="s">
        <v>1844</v>
      </c>
    </row>
    <row r="702" spans="2:13" ht="15.75" hidden="1" outlineLevel="1" x14ac:dyDescent="0.3">
      <c r="B702" s="13" t="s">
        <v>881</v>
      </c>
      <c r="C702" s="13" t="s">
        <v>1845</v>
      </c>
      <c r="D702" s="13" t="s">
        <v>71</v>
      </c>
      <c r="E702" s="13" t="s">
        <v>13</v>
      </c>
      <c r="F702" s="13" t="s">
        <v>882</v>
      </c>
      <c r="G702" s="13" t="s">
        <v>1823</v>
      </c>
      <c r="H702" s="13" t="s">
        <v>1824</v>
      </c>
      <c r="I702" s="13">
        <v>2024</v>
      </c>
      <c r="J702" s="13" t="s">
        <v>1846</v>
      </c>
      <c r="K702" s="13">
        <v>4</v>
      </c>
      <c r="L702" s="13">
        <v>11</v>
      </c>
      <c r="M702" s="13" t="s">
        <v>1847</v>
      </c>
    </row>
    <row r="703" spans="2:13" ht="15.75" hidden="1" outlineLevel="1" x14ac:dyDescent="0.3">
      <c r="B703" s="13" t="s">
        <v>770</v>
      </c>
      <c r="C703" s="13" t="s">
        <v>1845</v>
      </c>
      <c r="D703" s="13" t="s">
        <v>11</v>
      </c>
      <c r="E703" s="13" t="s">
        <v>13</v>
      </c>
      <c r="F703" s="13" t="s">
        <v>772</v>
      </c>
      <c r="G703" s="13" t="s">
        <v>1823</v>
      </c>
      <c r="H703" s="13" t="s">
        <v>1824</v>
      </c>
      <c r="I703" s="13">
        <v>2025</v>
      </c>
      <c r="J703" s="13" t="s">
        <v>1846</v>
      </c>
      <c r="K703" s="13">
        <v>3</v>
      </c>
      <c r="L703" s="13">
        <v>11</v>
      </c>
      <c r="M703" s="13" t="s">
        <v>1848</v>
      </c>
    </row>
    <row r="704" spans="2:13" ht="15.75" hidden="1" outlineLevel="1" x14ac:dyDescent="0.3">
      <c r="B704" s="13" t="s">
        <v>773</v>
      </c>
      <c r="C704" s="13" t="s">
        <v>1849</v>
      </c>
      <c r="D704" s="13" t="s">
        <v>11</v>
      </c>
      <c r="E704" s="13" t="s">
        <v>13</v>
      </c>
      <c r="F704" s="13" t="s">
        <v>775</v>
      </c>
      <c r="G704" s="13" t="s">
        <v>1823</v>
      </c>
      <c r="H704" s="13" t="s">
        <v>1824</v>
      </c>
      <c r="I704" s="13">
        <v>2025</v>
      </c>
      <c r="J704" s="13" t="s">
        <v>1850</v>
      </c>
      <c r="K704" s="13">
        <v>3</v>
      </c>
      <c r="L704" s="13">
        <v>12</v>
      </c>
      <c r="M704" s="13" t="s">
        <v>1851</v>
      </c>
    </row>
    <row r="705" spans="2:13" ht="15.75" hidden="1" outlineLevel="1" x14ac:dyDescent="0.3">
      <c r="B705" s="13" t="s">
        <v>883</v>
      </c>
      <c r="C705" s="13" t="s">
        <v>1849</v>
      </c>
      <c r="D705" s="13" t="s">
        <v>71</v>
      </c>
      <c r="E705" s="13" t="s">
        <v>13</v>
      </c>
      <c r="F705" s="13" t="s">
        <v>884</v>
      </c>
      <c r="G705" s="13" t="s">
        <v>1823</v>
      </c>
      <c r="H705" s="13" t="s">
        <v>1824</v>
      </c>
      <c r="I705" s="13">
        <v>2024</v>
      </c>
      <c r="J705" s="13" t="s">
        <v>1850</v>
      </c>
      <c r="K705" s="13">
        <v>4</v>
      </c>
      <c r="L705" s="13">
        <v>12</v>
      </c>
      <c r="M705" s="13" t="s">
        <v>1852</v>
      </c>
    </row>
    <row r="706" spans="2:13" ht="15.75" hidden="1" outlineLevel="1" x14ac:dyDescent="0.3">
      <c r="B706" s="13" t="s">
        <v>776</v>
      </c>
      <c r="C706" s="13" t="s">
        <v>1853</v>
      </c>
      <c r="D706" s="13" t="s">
        <v>11</v>
      </c>
      <c r="E706" s="13" t="s">
        <v>13</v>
      </c>
      <c r="F706" s="13" t="s">
        <v>778</v>
      </c>
      <c r="G706" s="13" t="s">
        <v>1823</v>
      </c>
      <c r="H706" s="13" t="s">
        <v>1824</v>
      </c>
      <c r="I706" s="13">
        <v>2025</v>
      </c>
      <c r="J706" s="13" t="s">
        <v>1854</v>
      </c>
      <c r="K706" s="13">
        <v>3</v>
      </c>
      <c r="L706" s="13">
        <v>13</v>
      </c>
      <c r="M706" s="13" t="s">
        <v>1855</v>
      </c>
    </row>
    <row r="707" spans="2:13" ht="15.75" hidden="1" outlineLevel="1" x14ac:dyDescent="0.3">
      <c r="B707" s="13" t="s">
        <v>885</v>
      </c>
      <c r="C707" s="13" t="s">
        <v>1853</v>
      </c>
      <c r="D707" s="13" t="s">
        <v>71</v>
      </c>
      <c r="E707" s="13" t="s">
        <v>13</v>
      </c>
      <c r="F707" s="13" t="s">
        <v>886</v>
      </c>
      <c r="G707" s="13" t="s">
        <v>1823</v>
      </c>
      <c r="H707" s="13" t="s">
        <v>1824</v>
      </c>
      <c r="I707" s="13">
        <v>2024</v>
      </c>
      <c r="J707" s="13" t="s">
        <v>1854</v>
      </c>
      <c r="K707" s="13">
        <v>4</v>
      </c>
      <c r="L707" s="13">
        <v>13</v>
      </c>
      <c r="M707" s="13" t="s">
        <v>1856</v>
      </c>
    </row>
    <row r="708" spans="2:13" ht="15.75" hidden="1" outlineLevel="1" x14ac:dyDescent="0.3">
      <c r="B708" s="13" t="s">
        <v>887</v>
      </c>
      <c r="C708" s="13" t="s">
        <v>1857</v>
      </c>
      <c r="D708" s="13" t="s">
        <v>71</v>
      </c>
      <c r="E708" s="13" t="s">
        <v>13</v>
      </c>
      <c r="F708" s="13" t="s">
        <v>888</v>
      </c>
      <c r="G708" s="13" t="s">
        <v>1823</v>
      </c>
      <c r="H708" s="13" t="s">
        <v>1824</v>
      </c>
      <c r="I708" s="13">
        <v>2024</v>
      </c>
      <c r="J708" s="13" t="s">
        <v>1858</v>
      </c>
      <c r="K708" s="13">
        <v>4</v>
      </c>
      <c r="L708" s="13">
        <v>14</v>
      </c>
      <c r="M708" s="13" t="s">
        <v>1859</v>
      </c>
    </row>
    <row r="709" spans="2:13" ht="15.75" hidden="1" outlineLevel="1" x14ac:dyDescent="0.3">
      <c r="B709" s="13" t="s">
        <v>779</v>
      </c>
      <c r="C709" s="13" t="s">
        <v>1857</v>
      </c>
      <c r="D709" s="13" t="s">
        <v>11</v>
      </c>
      <c r="E709" s="13" t="s">
        <v>13</v>
      </c>
      <c r="F709" s="13" t="s">
        <v>781</v>
      </c>
      <c r="G709" s="13" t="s">
        <v>1823</v>
      </c>
      <c r="H709" s="13" t="s">
        <v>1824</v>
      </c>
      <c r="I709" s="13">
        <v>2025</v>
      </c>
      <c r="J709" s="13" t="s">
        <v>1858</v>
      </c>
      <c r="K709" s="13">
        <v>3</v>
      </c>
      <c r="L709" s="13">
        <v>14</v>
      </c>
      <c r="M709" s="13" t="s">
        <v>1860</v>
      </c>
    </row>
    <row r="710" spans="2:13" ht="15.75" hidden="1" outlineLevel="1" x14ac:dyDescent="0.3">
      <c r="B710" s="13" t="s">
        <v>889</v>
      </c>
      <c r="C710" s="13" t="s">
        <v>1861</v>
      </c>
      <c r="D710" s="13" t="s">
        <v>71</v>
      </c>
      <c r="E710" s="13" t="s">
        <v>13</v>
      </c>
      <c r="F710" s="13" t="s">
        <v>890</v>
      </c>
      <c r="G710" s="13" t="s">
        <v>1823</v>
      </c>
      <c r="H710" s="13" t="s">
        <v>1824</v>
      </c>
      <c r="I710" s="13">
        <v>2024</v>
      </c>
      <c r="J710" s="13" t="s">
        <v>1862</v>
      </c>
      <c r="K710" s="13">
        <v>4</v>
      </c>
      <c r="L710" s="13">
        <v>15</v>
      </c>
      <c r="M710" s="13" t="s">
        <v>1863</v>
      </c>
    </row>
    <row r="711" spans="2:13" ht="15.75" hidden="1" outlineLevel="1" x14ac:dyDescent="0.3">
      <c r="B711" s="13" t="s">
        <v>782</v>
      </c>
      <c r="C711" s="13" t="s">
        <v>1861</v>
      </c>
      <c r="D711" s="13" t="s">
        <v>11</v>
      </c>
      <c r="E711" s="13" t="s">
        <v>13</v>
      </c>
      <c r="F711" s="13" t="s">
        <v>784</v>
      </c>
      <c r="G711" s="13" t="s">
        <v>1823</v>
      </c>
      <c r="H711" s="13" t="s">
        <v>1824</v>
      </c>
      <c r="I711" s="13">
        <v>2025</v>
      </c>
      <c r="J711" s="13" t="s">
        <v>1862</v>
      </c>
      <c r="K711" s="13">
        <v>3</v>
      </c>
      <c r="L711" s="13">
        <v>15</v>
      </c>
      <c r="M711" s="13" t="s">
        <v>1864</v>
      </c>
    </row>
    <row r="712" spans="2:13" ht="15.75" hidden="1" outlineLevel="1" x14ac:dyDescent="0.3">
      <c r="B712" s="13" t="s">
        <v>891</v>
      </c>
      <c r="C712" s="13" t="s">
        <v>1865</v>
      </c>
      <c r="D712" s="13" t="s">
        <v>71</v>
      </c>
      <c r="E712" s="13" t="s">
        <v>13</v>
      </c>
      <c r="F712" s="13" t="s">
        <v>892</v>
      </c>
      <c r="G712" s="13" t="s">
        <v>1823</v>
      </c>
      <c r="H712" s="13" t="s">
        <v>1824</v>
      </c>
      <c r="I712" s="13">
        <v>2024</v>
      </c>
      <c r="J712" s="13" t="s">
        <v>1866</v>
      </c>
      <c r="K712" s="13">
        <v>4</v>
      </c>
      <c r="L712" s="13">
        <v>16</v>
      </c>
      <c r="M712" s="13" t="s">
        <v>1867</v>
      </c>
    </row>
    <row r="713" spans="2:13" ht="15.75" hidden="1" outlineLevel="1" x14ac:dyDescent="0.3">
      <c r="B713" s="13" t="s">
        <v>785</v>
      </c>
      <c r="C713" s="13" t="s">
        <v>1865</v>
      </c>
      <c r="D713" s="13" t="s">
        <v>11</v>
      </c>
      <c r="E713" s="13" t="s">
        <v>13</v>
      </c>
      <c r="F713" s="13" t="s">
        <v>787</v>
      </c>
      <c r="G713" s="13" t="s">
        <v>1823</v>
      </c>
      <c r="H713" s="13" t="s">
        <v>1824</v>
      </c>
      <c r="I713" s="13">
        <v>2025</v>
      </c>
      <c r="J713" s="13" t="s">
        <v>1866</v>
      </c>
      <c r="K713" s="13">
        <v>3</v>
      </c>
      <c r="L713" s="13">
        <v>16</v>
      </c>
      <c r="M713" s="13" t="s">
        <v>1868</v>
      </c>
    </row>
    <row r="714" spans="2:13" ht="15.75" hidden="1" outlineLevel="1" x14ac:dyDescent="0.3">
      <c r="B714" s="13" t="s">
        <v>893</v>
      </c>
      <c r="C714" s="13" t="s">
        <v>1869</v>
      </c>
      <c r="D714" s="13" t="s">
        <v>71</v>
      </c>
      <c r="E714" s="13" t="s">
        <v>13</v>
      </c>
      <c r="F714" s="13" t="s">
        <v>894</v>
      </c>
      <c r="G714" s="13" t="s">
        <v>1823</v>
      </c>
      <c r="H714" s="13" t="s">
        <v>1824</v>
      </c>
      <c r="I714" s="13">
        <v>2024</v>
      </c>
      <c r="J714" s="13" t="s">
        <v>1870</v>
      </c>
      <c r="K714" s="13">
        <v>4</v>
      </c>
      <c r="L714" s="13">
        <v>17</v>
      </c>
      <c r="M714" s="13" t="s">
        <v>1871</v>
      </c>
    </row>
    <row r="715" spans="2:13" ht="15.75" hidden="1" outlineLevel="1" x14ac:dyDescent="0.3">
      <c r="B715" s="13" t="s">
        <v>788</v>
      </c>
      <c r="C715" s="13" t="s">
        <v>1869</v>
      </c>
      <c r="D715" s="13" t="s">
        <v>11</v>
      </c>
      <c r="E715" s="13" t="s">
        <v>13</v>
      </c>
      <c r="F715" s="13" t="s">
        <v>790</v>
      </c>
      <c r="G715" s="13" t="s">
        <v>1823</v>
      </c>
      <c r="H715" s="13" t="s">
        <v>1824</v>
      </c>
      <c r="I715" s="13">
        <v>2025</v>
      </c>
      <c r="J715" s="13" t="s">
        <v>1870</v>
      </c>
      <c r="K715" s="13">
        <v>3</v>
      </c>
      <c r="L715" s="13">
        <v>17</v>
      </c>
      <c r="M715" s="13" t="s">
        <v>1872</v>
      </c>
    </row>
    <row r="716" spans="2:13" ht="15.75" hidden="1" outlineLevel="1" x14ac:dyDescent="0.3">
      <c r="B716" s="13" t="s">
        <v>791</v>
      </c>
      <c r="C716" s="13" t="s">
        <v>1873</v>
      </c>
      <c r="D716" s="13" t="s">
        <v>11</v>
      </c>
      <c r="E716" s="13" t="s">
        <v>13</v>
      </c>
      <c r="F716" s="13" t="s">
        <v>793</v>
      </c>
      <c r="G716" s="13" t="s">
        <v>1823</v>
      </c>
      <c r="H716" s="13" t="s">
        <v>1824</v>
      </c>
      <c r="I716" s="13">
        <v>2025</v>
      </c>
      <c r="J716" s="13" t="s">
        <v>1874</v>
      </c>
      <c r="K716" s="13">
        <v>3</v>
      </c>
      <c r="L716" s="13">
        <v>18</v>
      </c>
      <c r="M716" s="13" t="s">
        <v>1875</v>
      </c>
    </row>
    <row r="717" spans="2:13" ht="15.75" hidden="1" outlineLevel="1" x14ac:dyDescent="0.3">
      <c r="B717" s="13" t="s">
        <v>895</v>
      </c>
      <c r="C717" s="13" t="s">
        <v>1873</v>
      </c>
      <c r="D717" s="13" t="s">
        <v>71</v>
      </c>
      <c r="E717" s="13" t="s">
        <v>13</v>
      </c>
      <c r="F717" s="13" t="s">
        <v>896</v>
      </c>
      <c r="G717" s="13" t="s">
        <v>1823</v>
      </c>
      <c r="H717" s="13" t="s">
        <v>1824</v>
      </c>
      <c r="I717" s="13">
        <v>2024</v>
      </c>
      <c r="J717" s="13" t="s">
        <v>1874</v>
      </c>
      <c r="K717" s="13">
        <v>4</v>
      </c>
      <c r="L717" s="13">
        <v>18</v>
      </c>
      <c r="M717" s="13" t="s">
        <v>1876</v>
      </c>
    </row>
    <row r="718" spans="2:13" ht="15.75" hidden="1" outlineLevel="1" x14ac:dyDescent="0.3">
      <c r="B718" s="13" t="s">
        <v>897</v>
      </c>
      <c r="C718" s="13" t="s">
        <v>1877</v>
      </c>
      <c r="D718" s="13" t="s">
        <v>71</v>
      </c>
      <c r="E718" s="13" t="s">
        <v>13</v>
      </c>
      <c r="F718" s="13" t="s">
        <v>898</v>
      </c>
      <c r="G718" s="13" t="s">
        <v>1823</v>
      </c>
      <c r="H718" s="13" t="s">
        <v>1824</v>
      </c>
      <c r="I718" s="13">
        <v>2024</v>
      </c>
      <c r="J718" s="13" t="s">
        <v>1878</v>
      </c>
      <c r="K718" s="13">
        <v>4</v>
      </c>
      <c r="L718" s="13">
        <v>19</v>
      </c>
      <c r="M718" s="13" t="s">
        <v>1879</v>
      </c>
    </row>
    <row r="719" spans="2:13" ht="15.75" hidden="1" outlineLevel="1" x14ac:dyDescent="0.3">
      <c r="B719" s="13" t="s">
        <v>794</v>
      </c>
      <c r="C719" s="13" t="s">
        <v>1877</v>
      </c>
      <c r="D719" s="13" t="s">
        <v>11</v>
      </c>
      <c r="E719" s="13" t="s">
        <v>13</v>
      </c>
      <c r="F719" s="13" t="s">
        <v>796</v>
      </c>
      <c r="G719" s="13" t="s">
        <v>1823</v>
      </c>
      <c r="H719" s="13" t="s">
        <v>1824</v>
      </c>
      <c r="I719" s="13">
        <v>2025</v>
      </c>
      <c r="J719" s="13" t="s">
        <v>1878</v>
      </c>
      <c r="K719" s="13">
        <v>3</v>
      </c>
      <c r="L719" s="13">
        <v>19</v>
      </c>
      <c r="M719" s="13" t="s">
        <v>1880</v>
      </c>
    </row>
    <row r="720" spans="2:13" ht="15.75" hidden="1" outlineLevel="1" x14ac:dyDescent="0.3">
      <c r="B720" s="13" t="s">
        <v>899</v>
      </c>
      <c r="C720" s="13" t="s">
        <v>1881</v>
      </c>
      <c r="D720" s="13" t="s">
        <v>71</v>
      </c>
      <c r="E720" s="13" t="s">
        <v>13</v>
      </c>
      <c r="F720" s="13" t="s">
        <v>900</v>
      </c>
      <c r="G720" s="13" t="s">
        <v>1823</v>
      </c>
      <c r="H720" s="13" t="s">
        <v>1824</v>
      </c>
      <c r="I720" s="13">
        <v>2024</v>
      </c>
      <c r="J720" s="13" t="s">
        <v>1882</v>
      </c>
      <c r="K720" s="13">
        <v>4</v>
      </c>
      <c r="L720" s="13">
        <v>20</v>
      </c>
      <c r="M720" s="13" t="s">
        <v>1883</v>
      </c>
    </row>
    <row r="721" spans="2:13" ht="15.75" hidden="1" outlineLevel="1" x14ac:dyDescent="0.3">
      <c r="B721" s="13" t="s">
        <v>797</v>
      </c>
      <c r="C721" s="13" t="s">
        <v>1881</v>
      </c>
      <c r="D721" s="13" t="s">
        <v>11</v>
      </c>
      <c r="E721" s="13" t="s">
        <v>13</v>
      </c>
      <c r="F721" s="13" t="s">
        <v>799</v>
      </c>
      <c r="G721" s="13" t="s">
        <v>1823</v>
      </c>
      <c r="H721" s="13" t="s">
        <v>1824</v>
      </c>
      <c r="I721" s="13">
        <v>2025</v>
      </c>
      <c r="J721" s="13" t="s">
        <v>1882</v>
      </c>
      <c r="K721" s="13">
        <v>3</v>
      </c>
      <c r="L721" s="13">
        <v>20</v>
      </c>
      <c r="M721" s="13" t="s">
        <v>1884</v>
      </c>
    </row>
    <row r="722" spans="2:13" ht="15.75" hidden="1" outlineLevel="1" x14ac:dyDescent="0.3">
      <c r="B722" s="13" t="s">
        <v>901</v>
      </c>
      <c r="C722" s="13" t="s">
        <v>1885</v>
      </c>
      <c r="D722" s="13" t="s">
        <v>71</v>
      </c>
      <c r="E722" s="13" t="s">
        <v>13</v>
      </c>
      <c r="F722" s="13" t="s">
        <v>902</v>
      </c>
      <c r="G722" s="13" t="s">
        <v>1823</v>
      </c>
      <c r="H722" s="13" t="s">
        <v>1824</v>
      </c>
      <c r="I722" s="13">
        <v>2024</v>
      </c>
      <c r="J722" s="13" t="s">
        <v>1886</v>
      </c>
      <c r="K722" s="13">
        <v>4</v>
      </c>
      <c r="L722" s="13">
        <v>21</v>
      </c>
      <c r="M722" s="13" t="s">
        <v>1887</v>
      </c>
    </row>
    <row r="723" spans="2:13" ht="15.75" hidden="1" outlineLevel="1" x14ac:dyDescent="0.3">
      <c r="B723" s="13" t="s">
        <v>800</v>
      </c>
      <c r="C723" s="13" t="s">
        <v>1885</v>
      </c>
      <c r="D723" s="13" t="s">
        <v>11</v>
      </c>
      <c r="E723" s="13" t="s">
        <v>13</v>
      </c>
      <c r="F723" s="13" t="s">
        <v>802</v>
      </c>
      <c r="G723" s="13" t="s">
        <v>1823</v>
      </c>
      <c r="H723" s="13" t="s">
        <v>1824</v>
      </c>
      <c r="I723" s="13">
        <v>2025</v>
      </c>
      <c r="J723" s="13" t="s">
        <v>1886</v>
      </c>
      <c r="K723" s="13">
        <v>3</v>
      </c>
      <c r="L723" s="13">
        <v>21</v>
      </c>
      <c r="M723" s="13" t="s">
        <v>1888</v>
      </c>
    </row>
    <row r="724" spans="2:13" ht="15.75" hidden="1" outlineLevel="1" x14ac:dyDescent="0.3">
      <c r="B724" s="13" t="s">
        <v>903</v>
      </c>
      <c r="C724" s="13" t="s">
        <v>1889</v>
      </c>
      <c r="D724" s="13" t="s">
        <v>71</v>
      </c>
      <c r="E724" s="13" t="s">
        <v>13</v>
      </c>
      <c r="F724" s="13" t="s">
        <v>904</v>
      </c>
      <c r="G724" s="13" t="s">
        <v>1823</v>
      </c>
      <c r="H724" s="13" t="s">
        <v>1824</v>
      </c>
      <c r="I724" s="13">
        <v>2024</v>
      </c>
      <c r="J724" s="13" t="s">
        <v>1890</v>
      </c>
      <c r="K724" s="13">
        <v>4</v>
      </c>
      <c r="L724" s="13">
        <v>24</v>
      </c>
      <c r="M724" s="13" t="s">
        <v>1891</v>
      </c>
    </row>
    <row r="725" spans="2:13" ht="15.75" hidden="1" outlineLevel="1" x14ac:dyDescent="0.3">
      <c r="B725" s="13" t="s">
        <v>803</v>
      </c>
      <c r="C725" s="13" t="s">
        <v>1889</v>
      </c>
      <c r="D725" s="13" t="s">
        <v>11</v>
      </c>
      <c r="E725" s="13" t="s">
        <v>13</v>
      </c>
      <c r="F725" s="13" t="s">
        <v>805</v>
      </c>
      <c r="G725" s="13" t="s">
        <v>1823</v>
      </c>
      <c r="H725" s="13" t="s">
        <v>1824</v>
      </c>
      <c r="I725" s="13">
        <v>2025</v>
      </c>
      <c r="J725" s="13" t="s">
        <v>1890</v>
      </c>
      <c r="K725" s="13">
        <v>3</v>
      </c>
      <c r="L725" s="13">
        <v>24</v>
      </c>
      <c r="M725" s="13" t="s">
        <v>1892</v>
      </c>
    </row>
    <row r="726" spans="2:13" ht="15.75" hidden="1" outlineLevel="1" x14ac:dyDescent="0.3">
      <c r="B726" s="13" t="s">
        <v>905</v>
      </c>
      <c r="C726" s="13" t="s">
        <v>1893</v>
      </c>
      <c r="D726" s="13" t="s">
        <v>71</v>
      </c>
      <c r="E726" s="13" t="s">
        <v>13</v>
      </c>
      <c r="F726" s="13" t="s">
        <v>906</v>
      </c>
      <c r="G726" s="13" t="s">
        <v>1823</v>
      </c>
      <c r="H726" s="13" t="s">
        <v>1824</v>
      </c>
      <c r="I726" s="13">
        <v>2024</v>
      </c>
      <c r="J726" s="13" t="s">
        <v>1894</v>
      </c>
      <c r="K726" s="13">
        <v>4</v>
      </c>
      <c r="L726" s="13">
        <v>25</v>
      </c>
      <c r="M726" s="13" t="s">
        <v>1895</v>
      </c>
    </row>
    <row r="727" spans="2:13" ht="15.75" hidden="1" outlineLevel="1" x14ac:dyDescent="0.3">
      <c r="B727" s="13" t="s">
        <v>806</v>
      </c>
      <c r="C727" s="13" t="s">
        <v>1893</v>
      </c>
      <c r="D727" s="13" t="s">
        <v>11</v>
      </c>
      <c r="E727" s="13" t="s">
        <v>13</v>
      </c>
      <c r="F727" s="13" t="s">
        <v>808</v>
      </c>
      <c r="G727" s="13" t="s">
        <v>1823</v>
      </c>
      <c r="H727" s="13" t="s">
        <v>1824</v>
      </c>
      <c r="I727" s="13">
        <v>2025</v>
      </c>
      <c r="J727" s="13" t="s">
        <v>1894</v>
      </c>
      <c r="K727" s="13">
        <v>3</v>
      </c>
      <c r="L727" s="13">
        <v>25</v>
      </c>
      <c r="M727" s="13" t="s">
        <v>1896</v>
      </c>
    </row>
    <row r="728" spans="2:13" ht="15.75" hidden="1" outlineLevel="1" x14ac:dyDescent="0.3">
      <c r="B728" s="13" t="s">
        <v>907</v>
      </c>
      <c r="C728" s="13" t="s">
        <v>1897</v>
      </c>
      <c r="D728" s="13" t="s">
        <v>71</v>
      </c>
      <c r="E728" s="13" t="s">
        <v>13</v>
      </c>
      <c r="F728" s="13" t="s">
        <v>908</v>
      </c>
      <c r="G728" s="13" t="s">
        <v>1823</v>
      </c>
      <c r="H728" s="13" t="s">
        <v>1824</v>
      </c>
      <c r="I728" s="13">
        <v>2024</v>
      </c>
      <c r="J728" s="13" t="s">
        <v>1898</v>
      </c>
      <c r="K728" s="13">
        <v>4</v>
      </c>
      <c r="L728" s="13">
        <v>26</v>
      </c>
      <c r="M728" s="13" t="s">
        <v>1899</v>
      </c>
    </row>
    <row r="729" spans="2:13" ht="15.75" hidden="1" outlineLevel="1" x14ac:dyDescent="0.3">
      <c r="B729" s="13" t="s">
        <v>809</v>
      </c>
      <c r="C729" s="13" t="s">
        <v>1897</v>
      </c>
      <c r="D729" s="13" t="s">
        <v>11</v>
      </c>
      <c r="E729" s="13" t="s">
        <v>13</v>
      </c>
      <c r="F729" s="13" t="s">
        <v>811</v>
      </c>
      <c r="G729" s="13" t="s">
        <v>1823</v>
      </c>
      <c r="H729" s="13" t="s">
        <v>1824</v>
      </c>
      <c r="I729" s="13">
        <v>2025</v>
      </c>
      <c r="J729" s="13" t="s">
        <v>1898</v>
      </c>
      <c r="K729" s="13">
        <v>3</v>
      </c>
      <c r="L729" s="13">
        <v>26</v>
      </c>
      <c r="M729" s="13" t="s">
        <v>1900</v>
      </c>
    </row>
    <row r="730" spans="2:13" ht="15.75" hidden="1" outlineLevel="1" x14ac:dyDescent="0.3">
      <c r="B730" s="13" t="s">
        <v>909</v>
      </c>
      <c r="C730" s="13" t="s">
        <v>1901</v>
      </c>
      <c r="D730" s="13" t="s">
        <v>71</v>
      </c>
      <c r="E730" s="13" t="s">
        <v>13</v>
      </c>
      <c r="F730" s="13" t="s">
        <v>308</v>
      </c>
      <c r="G730" s="13" t="s">
        <v>1823</v>
      </c>
      <c r="H730" s="13" t="s">
        <v>1824</v>
      </c>
      <c r="I730" s="13">
        <v>2024</v>
      </c>
      <c r="J730" s="13" t="s">
        <v>1902</v>
      </c>
      <c r="K730" s="13">
        <v>4</v>
      </c>
      <c r="L730" s="13">
        <v>27</v>
      </c>
      <c r="M730" s="13" t="s">
        <v>1903</v>
      </c>
    </row>
    <row r="731" spans="2:13" ht="15.75" hidden="1" outlineLevel="1" x14ac:dyDescent="0.3">
      <c r="B731" s="13" t="s">
        <v>812</v>
      </c>
      <c r="C731" s="13" t="s">
        <v>1901</v>
      </c>
      <c r="D731" s="13" t="s">
        <v>11</v>
      </c>
      <c r="E731" s="13" t="s">
        <v>13</v>
      </c>
      <c r="F731" s="13" t="s">
        <v>814</v>
      </c>
      <c r="G731" s="13" t="s">
        <v>1823</v>
      </c>
      <c r="H731" s="13" t="s">
        <v>1824</v>
      </c>
      <c r="I731" s="13">
        <v>2025</v>
      </c>
      <c r="J731" s="13" t="s">
        <v>1902</v>
      </c>
      <c r="K731" s="13">
        <v>3</v>
      </c>
      <c r="L731" s="13">
        <v>27</v>
      </c>
      <c r="M731" s="13" t="s">
        <v>1904</v>
      </c>
    </row>
    <row r="732" spans="2:13" ht="15.75" hidden="1" outlineLevel="1" x14ac:dyDescent="0.3">
      <c r="B732" s="13" t="s">
        <v>910</v>
      </c>
      <c r="C732" s="13" t="s">
        <v>1905</v>
      </c>
      <c r="D732" s="13" t="s">
        <v>71</v>
      </c>
      <c r="E732" s="13" t="s">
        <v>13</v>
      </c>
      <c r="F732" s="13" t="s">
        <v>911</v>
      </c>
      <c r="G732" s="13" t="s">
        <v>1823</v>
      </c>
      <c r="H732" s="13" t="s">
        <v>1824</v>
      </c>
      <c r="I732" s="13">
        <v>2024</v>
      </c>
      <c r="J732" s="13" t="s">
        <v>1906</v>
      </c>
      <c r="K732" s="13">
        <v>4</v>
      </c>
      <c r="L732" s="13">
        <v>28</v>
      </c>
      <c r="M732" s="13" t="s">
        <v>1907</v>
      </c>
    </row>
    <row r="733" spans="2:13" ht="15.75" hidden="1" outlineLevel="1" x14ac:dyDescent="0.3">
      <c r="B733" s="13" t="s">
        <v>815</v>
      </c>
      <c r="C733" s="13" t="s">
        <v>1905</v>
      </c>
      <c r="D733" s="13" t="s">
        <v>11</v>
      </c>
      <c r="E733" s="13" t="s">
        <v>13</v>
      </c>
      <c r="F733" s="13" t="s">
        <v>817</v>
      </c>
      <c r="G733" s="13" t="s">
        <v>1823</v>
      </c>
      <c r="H733" s="13" t="s">
        <v>1824</v>
      </c>
      <c r="I733" s="13">
        <v>2025</v>
      </c>
      <c r="J733" s="13" t="s">
        <v>1906</v>
      </c>
      <c r="K733" s="13">
        <v>3</v>
      </c>
      <c r="L733" s="13">
        <v>28</v>
      </c>
      <c r="M733" s="13" t="s">
        <v>1908</v>
      </c>
    </row>
    <row r="734" spans="2:13" ht="15.75" hidden="1" outlineLevel="1" x14ac:dyDescent="0.3">
      <c r="B734" s="13" t="s">
        <v>818</v>
      </c>
      <c r="C734" s="13" t="s">
        <v>1909</v>
      </c>
      <c r="D734" s="13" t="s">
        <v>11</v>
      </c>
      <c r="E734" s="13" t="s">
        <v>13</v>
      </c>
      <c r="F734" s="13" t="s">
        <v>820</v>
      </c>
      <c r="G734" s="13" t="s">
        <v>1823</v>
      </c>
      <c r="H734" s="13" t="s">
        <v>1824</v>
      </c>
      <c r="I734" s="13">
        <v>2025</v>
      </c>
      <c r="J734" s="13" t="s">
        <v>1910</v>
      </c>
      <c r="K734" s="13">
        <v>3</v>
      </c>
      <c r="L734" s="13">
        <v>29</v>
      </c>
      <c r="M734" s="13" t="s">
        <v>1911</v>
      </c>
    </row>
    <row r="735" spans="2:13" ht="15.75" hidden="1" outlineLevel="1" x14ac:dyDescent="0.3">
      <c r="B735" s="13" t="s">
        <v>912</v>
      </c>
      <c r="C735" s="13" t="s">
        <v>1909</v>
      </c>
      <c r="D735" s="13" t="s">
        <v>71</v>
      </c>
      <c r="E735" s="13" t="s">
        <v>13</v>
      </c>
      <c r="F735" s="13" t="s">
        <v>913</v>
      </c>
      <c r="G735" s="13" t="s">
        <v>1823</v>
      </c>
      <c r="H735" s="13" t="s">
        <v>1824</v>
      </c>
      <c r="I735" s="13">
        <v>2024</v>
      </c>
      <c r="J735" s="13" t="s">
        <v>1910</v>
      </c>
      <c r="K735" s="13">
        <v>4</v>
      </c>
      <c r="L735" s="13">
        <v>29</v>
      </c>
      <c r="M735" s="13" t="s">
        <v>1912</v>
      </c>
    </row>
    <row r="736" spans="2:13" ht="15.75" hidden="1" outlineLevel="1" x14ac:dyDescent="0.3">
      <c r="B736" s="13" t="s">
        <v>914</v>
      </c>
      <c r="C736" s="13" t="s">
        <v>1913</v>
      </c>
      <c r="D736" s="13" t="s">
        <v>71</v>
      </c>
      <c r="E736" s="13" t="s">
        <v>13</v>
      </c>
      <c r="F736" s="13" t="s">
        <v>915</v>
      </c>
      <c r="G736" s="13" t="s">
        <v>1823</v>
      </c>
      <c r="H736" s="13" t="s">
        <v>1824</v>
      </c>
      <c r="I736" s="13">
        <v>2024</v>
      </c>
      <c r="J736" s="13" t="s">
        <v>1914</v>
      </c>
      <c r="K736" s="13">
        <v>4</v>
      </c>
      <c r="L736" s="13">
        <v>30</v>
      </c>
      <c r="M736" s="13" t="s">
        <v>1915</v>
      </c>
    </row>
    <row r="737" spans="2:13" ht="15.75" hidden="1" outlineLevel="1" x14ac:dyDescent="0.3">
      <c r="B737" s="13" t="s">
        <v>821</v>
      </c>
      <c r="C737" s="13" t="s">
        <v>1913</v>
      </c>
      <c r="D737" s="13" t="s">
        <v>11</v>
      </c>
      <c r="E737" s="13" t="s">
        <v>13</v>
      </c>
      <c r="F737" s="13" t="s">
        <v>823</v>
      </c>
      <c r="G737" s="13" t="s">
        <v>1823</v>
      </c>
      <c r="H737" s="13" t="s">
        <v>1824</v>
      </c>
      <c r="I737" s="13">
        <v>2025</v>
      </c>
      <c r="J737" s="13" t="s">
        <v>1914</v>
      </c>
      <c r="K737" s="13">
        <v>3</v>
      </c>
      <c r="L737" s="13">
        <v>30</v>
      </c>
      <c r="M737" s="13" t="s">
        <v>1916</v>
      </c>
    </row>
    <row r="738" spans="2:13" ht="15.75" hidden="1" outlineLevel="1" x14ac:dyDescent="0.3">
      <c r="B738" s="13" t="s">
        <v>916</v>
      </c>
      <c r="C738" s="13" t="s">
        <v>1917</v>
      </c>
      <c r="D738" s="13" t="s">
        <v>71</v>
      </c>
      <c r="E738" s="13" t="s">
        <v>13</v>
      </c>
      <c r="F738" s="13" t="s">
        <v>308</v>
      </c>
      <c r="G738" s="13" t="s">
        <v>1823</v>
      </c>
      <c r="H738" s="13" t="s">
        <v>1824</v>
      </c>
      <c r="I738" s="13">
        <v>2024</v>
      </c>
      <c r="J738" s="13" t="s">
        <v>1918</v>
      </c>
      <c r="K738" s="13">
        <v>4</v>
      </c>
      <c r="L738" s="13">
        <v>31</v>
      </c>
      <c r="M738" s="13" t="s">
        <v>1919</v>
      </c>
    </row>
    <row r="739" spans="2:13" ht="15.75" hidden="1" outlineLevel="1" x14ac:dyDescent="0.3">
      <c r="B739" s="13" t="s">
        <v>824</v>
      </c>
      <c r="C739" s="13" t="s">
        <v>1917</v>
      </c>
      <c r="D739" s="13" t="s">
        <v>11</v>
      </c>
      <c r="E739" s="13" t="s">
        <v>13</v>
      </c>
      <c r="F739" s="13" t="s">
        <v>826</v>
      </c>
      <c r="G739" s="13" t="s">
        <v>1823</v>
      </c>
      <c r="H739" s="13" t="s">
        <v>1824</v>
      </c>
      <c r="I739" s="13">
        <v>2025</v>
      </c>
      <c r="J739" s="13" t="s">
        <v>1918</v>
      </c>
      <c r="K739" s="13">
        <v>3</v>
      </c>
      <c r="L739" s="13">
        <v>31</v>
      </c>
      <c r="M739" s="13" t="s">
        <v>1920</v>
      </c>
    </row>
    <row r="740" spans="2:13" ht="15.75" hidden="1" outlineLevel="1" x14ac:dyDescent="0.3">
      <c r="B740" s="13" t="s">
        <v>917</v>
      </c>
      <c r="C740" s="13" t="s">
        <v>1921</v>
      </c>
      <c r="D740" s="13" t="s">
        <v>71</v>
      </c>
      <c r="E740" s="13" t="s">
        <v>13</v>
      </c>
      <c r="F740" s="13" t="s">
        <v>918</v>
      </c>
      <c r="G740" s="13" t="s">
        <v>1823</v>
      </c>
      <c r="H740" s="13" t="s">
        <v>1824</v>
      </c>
      <c r="I740" s="13">
        <v>2024</v>
      </c>
      <c r="J740" s="13" t="s">
        <v>1922</v>
      </c>
      <c r="K740" s="13">
        <v>4</v>
      </c>
      <c r="L740" s="13">
        <v>32</v>
      </c>
      <c r="M740" s="13" t="s">
        <v>1923</v>
      </c>
    </row>
    <row r="741" spans="2:13" ht="15.75" hidden="1" outlineLevel="1" x14ac:dyDescent="0.3">
      <c r="B741" s="13" t="s">
        <v>827</v>
      </c>
      <c r="C741" s="13" t="s">
        <v>1921</v>
      </c>
      <c r="D741" s="13" t="s">
        <v>11</v>
      </c>
      <c r="E741" s="13" t="s">
        <v>13</v>
      </c>
      <c r="F741" s="13" t="s">
        <v>829</v>
      </c>
      <c r="G741" s="13" t="s">
        <v>1823</v>
      </c>
      <c r="H741" s="13" t="s">
        <v>1824</v>
      </c>
      <c r="I741" s="13">
        <v>2025</v>
      </c>
      <c r="J741" s="13" t="s">
        <v>1922</v>
      </c>
      <c r="K741" s="13">
        <v>3</v>
      </c>
      <c r="L741" s="13">
        <v>32</v>
      </c>
      <c r="M741" s="13" t="s">
        <v>1924</v>
      </c>
    </row>
    <row r="742" spans="2:13" ht="15.75" hidden="1" outlineLevel="1" x14ac:dyDescent="0.3">
      <c r="B742" s="13" t="s">
        <v>830</v>
      </c>
      <c r="C742" s="13" t="s">
        <v>1925</v>
      </c>
      <c r="D742" s="13" t="s">
        <v>11</v>
      </c>
      <c r="E742" s="13" t="s">
        <v>13</v>
      </c>
      <c r="F742" s="13" t="s">
        <v>832</v>
      </c>
      <c r="G742" s="13" t="s">
        <v>1823</v>
      </c>
      <c r="H742" s="13" t="s">
        <v>1824</v>
      </c>
      <c r="I742" s="13">
        <v>2025</v>
      </c>
      <c r="J742" s="13" t="s">
        <v>1926</v>
      </c>
      <c r="K742" s="13">
        <v>3</v>
      </c>
      <c r="L742" s="13">
        <v>35</v>
      </c>
      <c r="M742" s="13" t="s">
        <v>1927</v>
      </c>
    </row>
    <row r="743" spans="2:13" ht="15.75" hidden="1" outlineLevel="1" x14ac:dyDescent="0.3">
      <c r="B743" s="13" t="s">
        <v>919</v>
      </c>
      <c r="C743" s="13" t="s">
        <v>1925</v>
      </c>
      <c r="D743" s="13" t="s">
        <v>71</v>
      </c>
      <c r="E743" s="13" t="s">
        <v>13</v>
      </c>
      <c r="F743" s="13" t="s">
        <v>920</v>
      </c>
      <c r="G743" s="13" t="s">
        <v>1823</v>
      </c>
      <c r="H743" s="13" t="s">
        <v>1824</v>
      </c>
      <c r="I743" s="13">
        <v>2024</v>
      </c>
      <c r="J743" s="13" t="s">
        <v>1926</v>
      </c>
      <c r="K743" s="13">
        <v>4</v>
      </c>
      <c r="L743" s="13">
        <v>35</v>
      </c>
      <c r="M743" s="13" t="s">
        <v>1928</v>
      </c>
    </row>
    <row r="744" spans="2:13" ht="15.75" hidden="1" outlineLevel="1" x14ac:dyDescent="0.3">
      <c r="B744" s="13" t="s">
        <v>833</v>
      </c>
      <c r="C744" s="13" t="s">
        <v>1929</v>
      </c>
      <c r="D744" s="13" t="s">
        <v>11</v>
      </c>
      <c r="E744" s="13" t="s">
        <v>13</v>
      </c>
      <c r="F744" s="13" t="s">
        <v>835</v>
      </c>
      <c r="G744" s="13" t="s">
        <v>1823</v>
      </c>
      <c r="H744" s="13" t="s">
        <v>1824</v>
      </c>
      <c r="I744" s="13">
        <v>2025</v>
      </c>
      <c r="J744" s="13" t="s">
        <v>1930</v>
      </c>
      <c r="K744" s="13">
        <v>3</v>
      </c>
      <c r="L744" s="13">
        <v>38</v>
      </c>
      <c r="M744" s="13" t="s">
        <v>1931</v>
      </c>
    </row>
    <row r="745" spans="2:13" ht="15.75" hidden="1" outlineLevel="1" x14ac:dyDescent="0.3">
      <c r="B745" s="13" t="s">
        <v>921</v>
      </c>
      <c r="C745" s="13" t="s">
        <v>1929</v>
      </c>
      <c r="D745" s="13" t="s">
        <v>71</v>
      </c>
      <c r="E745" s="13" t="s">
        <v>13</v>
      </c>
      <c r="F745" s="13" t="s">
        <v>922</v>
      </c>
      <c r="G745" s="13" t="s">
        <v>1823</v>
      </c>
      <c r="H745" s="13" t="s">
        <v>1824</v>
      </c>
      <c r="I745" s="13">
        <v>2024</v>
      </c>
      <c r="J745" s="13" t="s">
        <v>1930</v>
      </c>
      <c r="K745" s="13">
        <v>4</v>
      </c>
      <c r="L745" s="13">
        <v>38</v>
      </c>
      <c r="M745" s="13" t="s">
        <v>1932</v>
      </c>
    </row>
    <row r="746" spans="2:13" ht="15.75" hidden="1" outlineLevel="1" x14ac:dyDescent="0.3">
      <c r="B746" s="13" t="s">
        <v>923</v>
      </c>
      <c r="C746" s="13" t="s">
        <v>1933</v>
      </c>
      <c r="D746" s="13" t="s">
        <v>71</v>
      </c>
      <c r="E746" s="13" t="s">
        <v>13</v>
      </c>
      <c r="F746" s="13" t="s">
        <v>924</v>
      </c>
      <c r="G746" s="13" t="s">
        <v>1823</v>
      </c>
      <c r="H746" s="13" t="s">
        <v>1824</v>
      </c>
      <c r="I746" s="13">
        <v>2024</v>
      </c>
      <c r="J746" s="13" t="s">
        <v>1934</v>
      </c>
      <c r="K746" s="13">
        <v>4</v>
      </c>
      <c r="L746" s="13">
        <v>39</v>
      </c>
      <c r="M746" s="13" t="s">
        <v>1935</v>
      </c>
    </row>
    <row r="747" spans="2:13" ht="15.75" hidden="1" outlineLevel="1" x14ac:dyDescent="0.3">
      <c r="B747" s="13" t="s">
        <v>836</v>
      </c>
      <c r="C747" s="13" t="s">
        <v>1933</v>
      </c>
      <c r="D747" s="13" t="s">
        <v>11</v>
      </c>
      <c r="E747" s="13" t="s">
        <v>13</v>
      </c>
      <c r="F747" s="13" t="s">
        <v>838</v>
      </c>
      <c r="G747" s="13" t="s">
        <v>1823</v>
      </c>
      <c r="H747" s="13" t="s">
        <v>1824</v>
      </c>
      <c r="I747" s="13">
        <v>2025</v>
      </c>
      <c r="J747" s="13" t="s">
        <v>1934</v>
      </c>
      <c r="K747" s="13">
        <v>3</v>
      </c>
      <c r="L747" s="13">
        <v>39</v>
      </c>
      <c r="M747" s="13" t="s">
        <v>1936</v>
      </c>
    </row>
    <row r="748" spans="2:13" ht="15.75" hidden="1" outlineLevel="1" x14ac:dyDescent="0.3">
      <c r="B748" s="13" t="s">
        <v>839</v>
      </c>
      <c r="C748" s="13" t="s">
        <v>1937</v>
      </c>
      <c r="D748" s="13" t="s">
        <v>11</v>
      </c>
      <c r="E748" s="13" t="s">
        <v>13</v>
      </c>
      <c r="F748" s="13" t="s">
        <v>463</v>
      </c>
      <c r="G748" s="13" t="s">
        <v>1823</v>
      </c>
      <c r="H748" s="13" t="s">
        <v>1824</v>
      </c>
      <c r="I748" s="13">
        <v>2025</v>
      </c>
      <c r="J748" s="13" t="s">
        <v>1938</v>
      </c>
      <c r="K748" s="13">
        <v>3</v>
      </c>
      <c r="L748" s="13">
        <v>40</v>
      </c>
      <c r="M748" s="13" t="s">
        <v>1939</v>
      </c>
    </row>
    <row r="749" spans="2:13" ht="15.75" hidden="1" outlineLevel="1" x14ac:dyDescent="0.3">
      <c r="B749" s="13" t="s">
        <v>925</v>
      </c>
      <c r="C749" s="13" t="s">
        <v>1937</v>
      </c>
      <c r="D749" s="13" t="s">
        <v>71</v>
      </c>
      <c r="E749" s="13" t="s">
        <v>13</v>
      </c>
      <c r="F749" s="13" t="s">
        <v>438</v>
      </c>
      <c r="G749" s="13" t="s">
        <v>1823</v>
      </c>
      <c r="H749" s="13" t="s">
        <v>1824</v>
      </c>
      <c r="I749" s="13">
        <v>2024</v>
      </c>
      <c r="J749" s="13" t="s">
        <v>1938</v>
      </c>
      <c r="K749" s="13">
        <v>4</v>
      </c>
      <c r="L749" s="13">
        <v>40</v>
      </c>
      <c r="M749" s="13" t="s">
        <v>1940</v>
      </c>
    </row>
    <row r="750" spans="2:13" ht="15.75" hidden="1" outlineLevel="1" x14ac:dyDescent="0.3">
      <c r="B750" s="13" t="s">
        <v>841</v>
      </c>
      <c r="C750" s="13" t="s">
        <v>1941</v>
      </c>
      <c r="D750" s="13" t="s">
        <v>11</v>
      </c>
      <c r="E750" s="13" t="s">
        <v>13</v>
      </c>
      <c r="F750" s="13" t="s">
        <v>843</v>
      </c>
      <c r="G750" s="13" t="s">
        <v>1823</v>
      </c>
      <c r="H750" s="13" t="s">
        <v>1824</v>
      </c>
      <c r="I750" s="13">
        <v>2025</v>
      </c>
      <c r="J750" s="13" t="s">
        <v>1942</v>
      </c>
      <c r="K750" s="13">
        <v>3</v>
      </c>
      <c r="L750" s="13">
        <v>41</v>
      </c>
      <c r="M750" s="13" t="s">
        <v>1943</v>
      </c>
    </row>
    <row r="751" spans="2:13" ht="15.75" hidden="1" outlineLevel="1" x14ac:dyDescent="0.3">
      <c r="B751" s="13" t="s">
        <v>926</v>
      </c>
      <c r="C751" s="13" t="s">
        <v>1941</v>
      </c>
      <c r="D751" s="13" t="s">
        <v>71</v>
      </c>
      <c r="E751" s="13" t="s">
        <v>13</v>
      </c>
      <c r="F751" s="13" t="s">
        <v>927</v>
      </c>
      <c r="G751" s="13" t="s">
        <v>1823</v>
      </c>
      <c r="H751" s="13" t="s">
        <v>1824</v>
      </c>
      <c r="I751" s="13">
        <v>2024</v>
      </c>
      <c r="J751" s="13" t="s">
        <v>1942</v>
      </c>
      <c r="K751" s="13">
        <v>4</v>
      </c>
      <c r="L751" s="13">
        <v>41</v>
      </c>
      <c r="M751" s="13" t="s">
        <v>1944</v>
      </c>
    </row>
    <row r="752" spans="2:13" ht="15.75" hidden="1" outlineLevel="1" x14ac:dyDescent="0.3">
      <c r="B752" s="13" t="s">
        <v>928</v>
      </c>
      <c r="C752" s="13" t="s">
        <v>1945</v>
      </c>
      <c r="D752" s="13" t="s">
        <v>71</v>
      </c>
      <c r="E752" s="13" t="s">
        <v>13</v>
      </c>
      <c r="F752" s="13" t="s">
        <v>929</v>
      </c>
      <c r="G752" s="13" t="s">
        <v>1823</v>
      </c>
      <c r="H752" s="13" t="s">
        <v>1824</v>
      </c>
      <c r="I752" s="13">
        <v>2024</v>
      </c>
      <c r="J752" s="13" t="s">
        <v>1946</v>
      </c>
      <c r="K752" s="13">
        <v>4</v>
      </c>
      <c r="L752" s="13">
        <v>42</v>
      </c>
      <c r="M752" s="13" t="s">
        <v>1947</v>
      </c>
    </row>
    <row r="753" spans="2:13" ht="15.75" hidden="1" outlineLevel="1" x14ac:dyDescent="0.3">
      <c r="B753" s="13" t="s">
        <v>844</v>
      </c>
      <c r="C753" s="13" t="s">
        <v>1945</v>
      </c>
      <c r="D753" s="13" t="s">
        <v>11</v>
      </c>
      <c r="E753" s="13" t="s">
        <v>13</v>
      </c>
      <c r="F753" s="13" t="s">
        <v>846</v>
      </c>
      <c r="G753" s="13" t="s">
        <v>1823</v>
      </c>
      <c r="H753" s="13" t="s">
        <v>1824</v>
      </c>
      <c r="I753" s="13">
        <v>2025</v>
      </c>
      <c r="J753" s="13" t="s">
        <v>1946</v>
      </c>
      <c r="K753" s="13">
        <v>3</v>
      </c>
      <c r="L753" s="13">
        <v>42</v>
      </c>
      <c r="M753" s="13" t="s">
        <v>1948</v>
      </c>
    </row>
    <row r="754" spans="2:13" ht="15.75" hidden="1" outlineLevel="1" x14ac:dyDescent="0.3">
      <c r="B754" s="13" t="s">
        <v>930</v>
      </c>
      <c r="C754" s="13" t="s">
        <v>1949</v>
      </c>
      <c r="D754" s="13" t="s">
        <v>71</v>
      </c>
      <c r="E754" s="13" t="s">
        <v>13</v>
      </c>
      <c r="F754" s="13" t="s">
        <v>931</v>
      </c>
      <c r="G754" s="13" t="s">
        <v>1823</v>
      </c>
      <c r="H754" s="13" t="s">
        <v>1824</v>
      </c>
      <c r="I754" s="13">
        <v>2024</v>
      </c>
      <c r="J754" s="13" t="s">
        <v>1950</v>
      </c>
      <c r="K754" s="13">
        <v>4</v>
      </c>
      <c r="L754" s="13">
        <v>43</v>
      </c>
      <c r="M754" s="13" t="s">
        <v>1951</v>
      </c>
    </row>
    <row r="755" spans="2:13" ht="15.75" hidden="1" outlineLevel="1" x14ac:dyDescent="0.3">
      <c r="B755" s="13" t="s">
        <v>847</v>
      </c>
      <c r="C755" s="13" t="s">
        <v>1949</v>
      </c>
      <c r="D755" s="13" t="s">
        <v>11</v>
      </c>
      <c r="E755" s="13" t="s">
        <v>13</v>
      </c>
      <c r="F755" s="13" t="s">
        <v>849</v>
      </c>
      <c r="G755" s="13" t="s">
        <v>1823</v>
      </c>
      <c r="H755" s="13" t="s">
        <v>1824</v>
      </c>
      <c r="I755" s="13">
        <v>2025</v>
      </c>
      <c r="J755" s="13" t="s">
        <v>1950</v>
      </c>
      <c r="K755" s="13">
        <v>3</v>
      </c>
      <c r="L755" s="13">
        <v>43</v>
      </c>
      <c r="M755" s="13" t="s">
        <v>1952</v>
      </c>
    </row>
    <row r="756" spans="2:13" ht="15.75" hidden="1" outlineLevel="1" x14ac:dyDescent="0.3">
      <c r="B756" s="13" t="s">
        <v>850</v>
      </c>
      <c r="C756" s="13" t="s">
        <v>1953</v>
      </c>
      <c r="D756" s="13" t="s">
        <v>11</v>
      </c>
      <c r="E756" s="13" t="s">
        <v>13</v>
      </c>
      <c r="F756" s="13" t="s">
        <v>852</v>
      </c>
      <c r="G756" s="13" t="s">
        <v>1823</v>
      </c>
      <c r="H756" s="13" t="s">
        <v>1824</v>
      </c>
      <c r="I756" s="13">
        <v>2025</v>
      </c>
      <c r="J756" s="13" t="s">
        <v>1954</v>
      </c>
      <c r="K756" s="13">
        <v>3</v>
      </c>
      <c r="L756" s="13">
        <v>44</v>
      </c>
      <c r="M756" s="13" t="s">
        <v>1955</v>
      </c>
    </row>
    <row r="757" spans="2:13" ht="15.75" hidden="1" outlineLevel="1" x14ac:dyDescent="0.3">
      <c r="B757" s="13" t="s">
        <v>932</v>
      </c>
      <c r="C757" s="13" t="s">
        <v>1953</v>
      </c>
      <c r="D757" s="13" t="s">
        <v>71</v>
      </c>
      <c r="E757" s="13" t="s">
        <v>13</v>
      </c>
      <c r="F757" s="13" t="s">
        <v>933</v>
      </c>
      <c r="G757" s="13" t="s">
        <v>1823</v>
      </c>
      <c r="H757" s="13" t="s">
        <v>1824</v>
      </c>
      <c r="I757" s="13">
        <v>2024</v>
      </c>
      <c r="J757" s="13" t="s">
        <v>1954</v>
      </c>
      <c r="K757" s="13">
        <v>4</v>
      </c>
      <c r="L757" s="13">
        <v>44</v>
      </c>
      <c r="M757" s="13" t="s">
        <v>1956</v>
      </c>
    </row>
    <row r="758" spans="2:13" ht="15.75" hidden="1" outlineLevel="1" x14ac:dyDescent="0.3">
      <c r="B758" s="13" t="s">
        <v>853</v>
      </c>
      <c r="C758" s="13" t="s">
        <v>1957</v>
      </c>
      <c r="D758" s="13" t="s">
        <v>11</v>
      </c>
      <c r="E758" s="13" t="s">
        <v>13</v>
      </c>
      <c r="F758" s="13" t="s">
        <v>855</v>
      </c>
      <c r="G758" s="13" t="s">
        <v>1823</v>
      </c>
      <c r="H758" s="13" t="s">
        <v>1824</v>
      </c>
      <c r="I758" s="13">
        <v>2025</v>
      </c>
      <c r="J758" s="13" t="s">
        <v>1958</v>
      </c>
      <c r="K758" s="13">
        <v>3</v>
      </c>
      <c r="L758" s="13">
        <v>45</v>
      </c>
      <c r="M758" s="13" t="s">
        <v>1959</v>
      </c>
    </row>
    <row r="759" spans="2:13" ht="15.75" hidden="1" outlineLevel="1" x14ac:dyDescent="0.3">
      <c r="B759" s="13" t="s">
        <v>934</v>
      </c>
      <c r="C759" s="13" t="s">
        <v>1957</v>
      </c>
      <c r="D759" s="13" t="s">
        <v>71</v>
      </c>
      <c r="E759" s="13" t="s">
        <v>13</v>
      </c>
      <c r="F759" s="13" t="s">
        <v>935</v>
      </c>
      <c r="G759" s="13" t="s">
        <v>1823</v>
      </c>
      <c r="H759" s="13" t="s">
        <v>1824</v>
      </c>
      <c r="I759" s="13">
        <v>2024</v>
      </c>
      <c r="J759" s="13" t="s">
        <v>1958</v>
      </c>
      <c r="K759" s="13">
        <v>4</v>
      </c>
      <c r="L759" s="13">
        <v>45</v>
      </c>
      <c r="M759" s="13" t="s">
        <v>1960</v>
      </c>
    </row>
    <row r="760" spans="2:13" ht="15.75" hidden="1" outlineLevel="1" x14ac:dyDescent="0.3">
      <c r="B760" s="13" t="s">
        <v>856</v>
      </c>
      <c r="C760" s="13" t="s">
        <v>1961</v>
      </c>
      <c r="D760" s="13" t="s">
        <v>11</v>
      </c>
      <c r="E760" s="13" t="s">
        <v>13</v>
      </c>
      <c r="F760" s="13" t="s">
        <v>858</v>
      </c>
      <c r="G760" s="13" t="s">
        <v>1823</v>
      </c>
      <c r="H760" s="13" t="s">
        <v>1824</v>
      </c>
      <c r="I760" s="13">
        <v>2025</v>
      </c>
      <c r="J760" s="13" t="s">
        <v>1962</v>
      </c>
      <c r="K760" s="13">
        <v>3</v>
      </c>
      <c r="L760" s="13">
        <v>46</v>
      </c>
      <c r="M760" s="13" t="s">
        <v>1963</v>
      </c>
    </row>
    <row r="761" spans="2:13" ht="15.75" hidden="1" outlineLevel="1" x14ac:dyDescent="0.3">
      <c r="B761" s="13" t="s">
        <v>936</v>
      </c>
      <c r="C761" s="13" t="s">
        <v>1961</v>
      </c>
      <c r="D761" s="13" t="s">
        <v>71</v>
      </c>
      <c r="E761" s="13" t="s">
        <v>13</v>
      </c>
      <c r="F761" s="13" t="s">
        <v>937</v>
      </c>
      <c r="G761" s="13" t="s">
        <v>1823</v>
      </c>
      <c r="H761" s="13" t="s">
        <v>1824</v>
      </c>
      <c r="I761" s="13">
        <v>2024</v>
      </c>
      <c r="J761" s="13" t="s">
        <v>1962</v>
      </c>
      <c r="K761" s="13">
        <v>4</v>
      </c>
      <c r="L761" s="13">
        <v>46</v>
      </c>
      <c r="M761" s="13" t="s">
        <v>1964</v>
      </c>
    </row>
    <row r="762" spans="2:13" ht="15.75" hidden="1" outlineLevel="1" x14ac:dyDescent="0.3">
      <c r="B762" s="13" t="s">
        <v>938</v>
      </c>
      <c r="C762" s="13" t="s">
        <v>1965</v>
      </c>
      <c r="D762" s="13" t="s">
        <v>71</v>
      </c>
      <c r="E762" s="13" t="s">
        <v>13</v>
      </c>
      <c r="F762" s="13" t="s">
        <v>939</v>
      </c>
      <c r="G762" s="13" t="s">
        <v>1823</v>
      </c>
      <c r="H762" s="13" t="s">
        <v>1824</v>
      </c>
      <c r="I762" s="13">
        <v>2024</v>
      </c>
      <c r="J762" s="13" t="s">
        <v>1966</v>
      </c>
      <c r="K762" s="13">
        <v>4</v>
      </c>
      <c r="L762" s="13">
        <v>49</v>
      </c>
      <c r="M762" s="13" t="s">
        <v>1967</v>
      </c>
    </row>
    <row r="763" spans="2:13" ht="15.75" hidden="1" outlineLevel="1" x14ac:dyDescent="0.3">
      <c r="B763" s="13" t="s">
        <v>859</v>
      </c>
      <c r="C763" s="13" t="s">
        <v>1965</v>
      </c>
      <c r="D763" s="13" t="s">
        <v>11</v>
      </c>
      <c r="E763" s="13" t="s">
        <v>13</v>
      </c>
      <c r="F763" s="13" t="s">
        <v>861</v>
      </c>
      <c r="G763" s="13" t="s">
        <v>1823</v>
      </c>
      <c r="H763" s="13" t="s">
        <v>1824</v>
      </c>
      <c r="I763" s="13">
        <v>2025</v>
      </c>
      <c r="J763" s="13" t="s">
        <v>1966</v>
      </c>
      <c r="K763" s="13">
        <v>3</v>
      </c>
      <c r="L763" s="13">
        <v>49</v>
      </c>
      <c r="M763" s="13" t="s">
        <v>1968</v>
      </c>
    </row>
    <row r="764" spans="2:13" ht="15.75" hidden="1" outlineLevel="1" x14ac:dyDescent="0.3">
      <c r="B764" s="13" t="s">
        <v>863</v>
      </c>
      <c r="C764" s="13" t="s">
        <v>1549</v>
      </c>
      <c r="D764" s="13" t="s">
        <v>290</v>
      </c>
      <c r="E764" s="13" t="s">
        <v>13</v>
      </c>
      <c r="F764" s="13" t="s">
        <v>310</v>
      </c>
      <c r="G764" s="13" t="s">
        <v>1823</v>
      </c>
      <c r="H764" s="13" t="s">
        <v>1824</v>
      </c>
      <c r="I764" s="13">
        <v>2024</v>
      </c>
      <c r="J764" s="13" t="s">
        <v>1550</v>
      </c>
      <c r="K764" s="13">
        <v>3</v>
      </c>
      <c r="L764" s="13">
        <v>50</v>
      </c>
      <c r="M764" s="13" t="s">
        <v>1551</v>
      </c>
    </row>
    <row r="765" spans="2:13" ht="15.75" hidden="1" outlineLevel="1" x14ac:dyDescent="0.3">
      <c r="B765" s="13" t="s">
        <v>941</v>
      </c>
      <c r="C765" s="13" t="s">
        <v>1549</v>
      </c>
      <c r="D765" s="13" t="s">
        <v>420</v>
      </c>
      <c r="E765" s="13" t="s">
        <v>13</v>
      </c>
      <c r="F765" s="13" t="s">
        <v>942</v>
      </c>
      <c r="G765" s="13" t="s">
        <v>1823</v>
      </c>
      <c r="H765" s="13" t="s">
        <v>1824</v>
      </c>
      <c r="I765" s="13">
        <v>2023</v>
      </c>
      <c r="J765" s="13" t="s">
        <v>1550</v>
      </c>
      <c r="K765" s="13">
        <v>4</v>
      </c>
      <c r="L765" s="13">
        <v>50</v>
      </c>
      <c r="M765" s="13" t="s">
        <v>1552</v>
      </c>
    </row>
    <row r="766" spans="2:13" ht="15.75" hidden="1" outlineLevel="1" x14ac:dyDescent="0.3">
      <c r="B766" s="13" t="s">
        <v>864</v>
      </c>
      <c r="C766" s="13" t="s">
        <v>1969</v>
      </c>
      <c r="D766" s="13" t="s">
        <v>11</v>
      </c>
      <c r="E766" s="13" t="s">
        <v>13</v>
      </c>
      <c r="F766" s="13" t="s">
        <v>866</v>
      </c>
      <c r="G766" s="13" t="s">
        <v>1823</v>
      </c>
      <c r="H766" s="13" t="s">
        <v>1824</v>
      </c>
      <c r="I766" s="13">
        <v>2025</v>
      </c>
      <c r="J766" s="13" t="s">
        <v>1970</v>
      </c>
      <c r="K766" s="13">
        <v>3</v>
      </c>
      <c r="L766" s="13">
        <v>51</v>
      </c>
      <c r="M766" s="13" t="s">
        <v>1971</v>
      </c>
    </row>
    <row r="767" spans="2:13" ht="15.75" hidden="1" outlineLevel="1" x14ac:dyDescent="0.3">
      <c r="B767" s="13" t="s">
        <v>943</v>
      </c>
      <c r="C767" s="13" t="s">
        <v>1969</v>
      </c>
      <c r="D767" s="13" t="s">
        <v>71</v>
      </c>
      <c r="E767" s="13" t="s">
        <v>13</v>
      </c>
      <c r="F767" s="13" t="s">
        <v>944</v>
      </c>
      <c r="G767" s="13" t="s">
        <v>1823</v>
      </c>
      <c r="H767" s="13" t="s">
        <v>1824</v>
      </c>
      <c r="I767" s="13">
        <v>2024</v>
      </c>
      <c r="J767" s="13" t="s">
        <v>1970</v>
      </c>
      <c r="K767" s="13">
        <v>4</v>
      </c>
      <c r="L767" s="13">
        <v>51</v>
      </c>
      <c r="M767" s="13" t="s">
        <v>1972</v>
      </c>
    </row>
    <row r="768" spans="2:13" ht="15.75" hidden="1" outlineLevel="1" x14ac:dyDescent="0.3">
      <c r="B768" s="13" t="s">
        <v>867</v>
      </c>
      <c r="C768" s="13" t="s">
        <v>1549</v>
      </c>
      <c r="D768" s="13" t="s">
        <v>165</v>
      </c>
      <c r="E768" s="13" t="s">
        <v>13</v>
      </c>
      <c r="F768" s="13" t="s">
        <v>196</v>
      </c>
      <c r="G768" s="13" t="s">
        <v>1823</v>
      </c>
      <c r="H768" s="13" t="s">
        <v>1824</v>
      </c>
      <c r="I768" s="13">
        <v>2025</v>
      </c>
      <c r="J768" s="13" t="s">
        <v>1550</v>
      </c>
      <c r="K768" s="13">
        <v>3</v>
      </c>
      <c r="L768" s="13">
        <v>52</v>
      </c>
      <c r="M768" s="13" t="s">
        <v>1551</v>
      </c>
    </row>
    <row r="769" spans="2:13" ht="15.75" hidden="1" outlineLevel="1" x14ac:dyDescent="0.3">
      <c r="B769" s="13" t="s">
        <v>945</v>
      </c>
      <c r="C769" s="13" t="s">
        <v>1549</v>
      </c>
      <c r="D769" s="13" t="s">
        <v>290</v>
      </c>
      <c r="E769" s="13" t="s">
        <v>13</v>
      </c>
      <c r="F769" s="13" t="s">
        <v>310</v>
      </c>
      <c r="G769" s="13" t="s">
        <v>1823</v>
      </c>
      <c r="H769" s="13" t="s">
        <v>1824</v>
      </c>
      <c r="I769" s="13">
        <v>2024</v>
      </c>
      <c r="J769" s="13" t="s">
        <v>1550</v>
      </c>
      <c r="K769" s="13">
        <v>4</v>
      </c>
      <c r="L769" s="13">
        <v>52</v>
      </c>
      <c r="M769" s="13" t="s">
        <v>1552</v>
      </c>
    </row>
    <row r="770" spans="2:13" ht="15.75" hidden="1" outlineLevel="1" x14ac:dyDescent="0.3">
      <c r="B770" s="13" t="s">
        <v>1127</v>
      </c>
      <c r="C770" s="13" t="s">
        <v>1973</v>
      </c>
      <c r="D770" s="13" t="s">
        <v>11</v>
      </c>
      <c r="E770" s="13" t="s">
        <v>13</v>
      </c>
      <c r="F770" s="13" t="s">
        <v>1126</v>
      </c>
      <c r="G770" s="13" t="s">
        <v>1974</v>
      </c>
      <c r="H770" s="13" t="s">
        <v>1975</v>
      </c>
      <c r="I770" s="13">
        <v>2025</v>
      </c>
      <c r="J770" s="13" t="s">
        <v>1976</v>
      </c>
      <c r="K770" s="13">
        <v>6</v>
      </c>
      <c r="L770" s="13"/>
      <c r="M770" s="13" t="s">
        <v>1977</v>
      </c>
    </row>
    <row r="771" spans="2:13" ht="15.75" hidden="1" outlineLevel="1" x14ac:dyDescent="0.3">
      <c r="B771" s="13" t="s">
        <v>1024</v>
      </c>
      <c r="C771" s="13" t="s">
        <v>1978</v>
      </c>
      <c r="D771" s="13" t="s">
        <v>11</v>
      </c>
      <c r="E771" s="13" t="s">
        <v>13</v>
      </c>
      <c r="F771" s="13" t="s">
        <v>1026</v>
      </c>
      <c r="G771" s="13" t="s">
        <v>1974</v>
      </c>
      <c r="H771" s="13" t="s">
        <v>1975</v>
      </c>
      <c r="I771" s="13">
        <v>2025</v>
      </c>
      <c r="J771" s="13" t="s">
        <v>1979</v>
      </c>
      <c r="K771" s="13">
        <v>6</v>
      </c>
      <c r="L771" s="13"/>
      <c r="M771" s="13" t="s">
        <v>1980</v>
      </c>
    </row>
    <row r="772" spans="2:13" ht="15.75" hidden="1" outlineLevel="1" x14ac:dyDescent="0.3">
      <c r="B772" s="13" t="s">
        <v>1310</v>
      </c>
      <c r="C772" s="13" t="s">
        <v>1981</v>
      </c>
      <c r="D772" s="13" t="s">
        <v>11</v>
      </c>
      <c r="E772" s="13" t="s">
        <v>13</v>
      </c>
      <c r="F772" s="13" t="s">
        <v>1312</v>
      </c>
      <c r="G772" s="13" t="s">
        <v>1974</v>
      </c>
      <c r="H772" s="13" t="s">
        <v>1975</v>
      </c>
      <c r="I772" s="13">
        <v>2025</v>
      </c>
      <c r="J772" s="13" t="s">
        <v>1982</v>
      </c>
      <c r="K772" s="13">
        <v>6</v>
      </c>
      <c r="L772" s="13"/>
      <c r="M772" s="13" t="s">
        <v>1983</v>
      </c>
    </row>
    <row r="773" spans="2:13" ht="15.75" hidden="1" outlineLevel="1" x14ac:dyDescent="0.3">
      <c r="B773" s="13" t="s">
        <v>1124</v>
      </c>
      <c r="C773" s="13" t="s">
        <v>1984</v>
      </c>
      <c r="D773" s="13" t="s">
        <v>11</v>
      </c>
      <c r="E773" s="13" t="s">
        <v>13</v>
      </c>
      <c r="F773" s="13" t="s">
        <v>1126</v>
      </c>
      <c r="G773" s="13" t="s">
        <v>1974</v>
      </c>
      <c r="H773" s="13" t="s">
        <v>1975</v>
      </c>
      <c r="I773" s="13">
        <v>2025</v>
      </c>
      <c r="J773" s="13" t="s">
        <v>1985</v>
      </c>
      <c r="K773" s="13">
        <v>6</v>
      </c>
      <c r="L773" s="13"/>
      <c r="M773" s="13" t="s">
        <v>1986</v>
      </c>
    </row>
    <row r="774" spans="2:13" ht="15.75" hidden="1" outlineLevel="1" x14ac:dyDescent="0.3">
      <c r="B774" s="13" t="s">
        <v>1282</v>
      </c>
      <c r="C774" s="13" t="s">
        <v>1987</v>
      </c>
      <c r="D774" s="13" t="s">
        <v>11</v>
      </c>
      <c r="E774" s="13" t="s">
        <v>13</v>
      </c>
      <c r="F774" s="13" t="s">
        <v>1284</v>
      </c>
      <c r="G774" s="13" t="s">
        <v>1974</v>
      </c>
      <c r="H774" s="13" t="s">
        <v>1975</v>
      </c>
      <c r="I774" s="13">
        <v>2025</v>
      </c>
      <c r="J774" s="13" t="s">
        <v>1988</v>
      </c>
      <c r="K774" s="13">
        <v>6</v>
      </c>
      <c r="L774" s="13"/>
      <c r="M774" s="13" t="s">
        <v>1989</v>
      </c>
    </row>
    <row r="775" spans="2:13" ht="15.75" hidden="1" outlineLevel="1" x14ac:dyDescent="0.3">
      <c r="B775" s="13" t="s">
        <v>1115</v>
      </c>
      <c r="C775" s="13" t="s">
        <v>1990</v>
      </c>
      <c r="D775" s="13" t="s">
        <v>11</v>
      </c>
      <c r="E775" s="13" t="s">
        <v>13</v>
      </c>
      <c r="F775" s="13" t="s">
        <v>1117</v>
      </c>
      <c r="G775" s="13" t="s">
        <v>1974</v>
      </c>
      <c r="H775" s="13" t="s">
        <v>1975</v>
      </c>
      <c r="I775" s="13">
        <v>2025</v>
      </c>
      <c r="J775" s="13" t="s">
        <v>1991</v>
      </c>
      <c r="K775" s="13">
        <v>6</v>
      </c>
      <c r="L775" s="13"/>
      <c r="M775" s="13" t="s">
        <v>1992</v>
      </c>
    </row>
    <row r="776" spans="2:13" ht="15.75" hidden="1" outlineLevel="1" x14ac:dyDescent="0.3">
      <c r="B776" s="13" t="s">
        <v>1112</v>
      </c>
      <c r="C776" s="13" t="s">
        <v>1993</v>
      </c>
      <c r="D776" s="13" t="s">
        <v>11</v>
      </c>
      <c r="E776" s="13" t="s">
        <v>13</v>
      </c>
      <c r="F776" s="13" t="s">
        <v>1114</v>
      </c>
      <c r="G776" s="13" t="s">
        <v>1974</v>
      </c>
      <c r="H776" s="13" t="s">
        <v>1975</v>
      </c>
      <c r="I776" s="13">
        <v>2025</v>
      </c>
      <c r="J776" s="13" t="s">
        <v>1994</v>
      </c>
      <c r="K776" s="13">
        <v>6</v>
      </c>
      <c r="L776" s="13"/>
      <c r="M776" s="13" t="s">
        <v>1995</v>
      </c>
    </row>
    <row r="777" spans="2:13" ht="15.75" hidden="1" outlineLevel="1" x14ac:dyDescent="0.3">
      <c r="B777" s="13" t="s">
        <v>1110</v>
      </c>
      <c r="C777" s="13" t="s">
        <v>1996</v>
      </c>
      <c r="D777" s="13" t="s">
        <v>11</v>
      </c>
      <c r="E777" s="13" t="s">
        <v>13</v>
      </c>
      <c r="F777" s="13" t="s">
        <v>1103</v>
      </c>
      <c r="G777" s="13" t="s">
        <v>1974</v>
      </c>
      <c r="H777" s="13" t="s">
        <v>1975</v>
      </c>
      <c r="I777" s="13">
        <v>2025</v>
      </c>
      <c r="J777" s="13" t="s">
        <v>1997</v>
      </c>
      <c r="K777" s="13">
        <v>6</v>
      </c>
      <c r="L777" s="13"/>
      <c r="M777" s="13" t="s">
        <v>1998</v>
      </c>
    </row>
    <row r="778" spans="2:13" ht="15.75" hidden="1" outlineLevel="1" x14ac:dyDescent="0.3">
      <c r="B778" s="13" t="s">
        <v>1106</v>
      </c>
      <c r="C778" s="13" t="s">
        <v>1999</v>
      </c>
      <c r="D778" s="13" t="s">
        <v>11</v>
      </c>
      <c r="E778" s="13" t="s">
        <v>13</v>
      </c>
      <c r="F778" s="13" t="s">
        <v>1103</v>
      </c>
      <c r="G778" s="13" t="s">
        <v>1974</v>
      </c>
      <c r="H778" s="13" t="s">
        <v>1975</v>
      </c>
      <c r="I778" s="13">
        <v>2025</v>
      </c>
      <c r="J778" s="13" t="s">
        <v>2000</v>
      </c>
      <c r="K778" s="13">
        <v>6</v>
      </c>
      <c r="L778" s="13"/>
      <c r="M778" s="13" t="s">
        <v>2001</v>
      </c>
    </row>
    <row r="779" spans="2:13" ht="15.75" hidden="1" outlineLevel="1" x14ac:dyDescent="0.3">
      <c r="B779" s="13" t="s">
        <v>1049</v>
      </c>
      <c r="C779" s="13" t="s">
        <v>2002</v>
      </c>
      <c r="D779" s="13" t="s">
        <v>11</v>
      </c>
      <c r="E779" s="13" t="s">
        <v>13</v>
      </c>
      <c r="F779" s="13" t="s">
        <v>1051</v>
      </c>
      <c r="G779" s="13" t="s">
        <v>1974</v>
      </c>
      <c r="H779" s="13" t="s">
        <v>1975</v>
      </c>
      <c r="I779" s="13">
        <v>2025</v>
      </c>
      <c r="J779" s="13" t="s">
        <v>2003</v>
      </c>
      <c r="K779" s="13">
        <v>6</v>
      </c>
      <c r="L779" s="13"/>
      <c r="M779" s="13" t="s">
        <v>2004</v>
      </c>
    </row>
    <row r="780" spans="2:13" ht="15.75" hidden="1" outlineLevel="1" x14ac:dyDescent="0.3">
      <c r="B780" s="13" t="s">
        <v>1104</v>
      </c>
      <c r="C780" s="13" t="s">
        <v>2005</v>
      </c>
      <c r="D780" s="13" t="s">
        <v>11</v>
      </c>
      <c r="E780" s="13" t="s">
        <v>13</v>
      </c>
      <c r="F780" s="13" t="s">
        <v>1103</v>
      </c>
      <c r="G780" s="13" t="s">
        <v>1974</v>
      </c>
      <c r="H780" s="13" t="s">
        <v>1975</v>
      </c>
      <c r="I780" s="13">
        <v>2025</v>
      </c>
      <c r="J780" s="13" t="s">
        <v>2006</v>
      </c>
      <c r="K780" s="13">
        <v>6</v>
      </c>
      <c r="L780" s="13"/>
      <c r="M780" s="13" t="s">
        <v>2007</v>
      </c>
    </row>
    <row r="781" spans="2:13" ht="15.75" hidden="1" outlineLevel="1" x14ac:dyDescent="0.3">
      <c r="B781" s="13" t="s">
        <v>1057</v>
      </c>
      <c r="C781" s="13" t="s">
        <v>2008</v>
      </c>
      <c r="D781" s="13" t="s">
        <v>11</v>
      </c>
      <c r="E781" s="13" t="s">
        <v>13</v>
      </c>
      <c r="F781" s="13" t="s">
        <v>1059</v>
      </c>
      <c r="G781" s="13" t="s">
        <v>1974</v>
      </c>
      <c r="H781" s="13" t="s">
        <v>1975</v>
      </c>
      <c r="I781" s="13">
        <v>2025</v>
      </c>
      <c r="J781" s="13" t="s">
        <v>2009</v>
      </c>
      <c r="K781" s="13">
        <v>6</v>
      </c>
      <c r="L781" s="13"/>
      <c r="M781" s="13" t="s">
        <v>2010</v>
      </c>
    </row>
    <row r="782" spans="2:13" ht="15.75" hidden="1" outlineLevel="1" x14ac:dyDescent="0.3">
      <c r="B782" s="13" t="s">
        <v>1060</v>
      </c>
      <c r="C782" s="13" t="s">
        <v>2011</v>
      </c>
      <c r="D782" s="13" t="s">
        <v>11</v>
      </c>
      <c r="E782" s="13" t="s">
        <v>13</v>
      </c>
      <c r="F782" s="13" t="s">
        <v>1062</v>
      </c>
      <c r="G782" s="13" t="s">
        <v>1974</v>
      </c>
      <c r="H782" s="13" t="s">
        <v>1975</v>
      </c>
      <c r="I782" s="13">
        <v>2025</v>
      </c>
      <c r="J782" s="13" t="s">
        <v>2012</v>
      </c>
      <c r="K782" s="13">
        <v>6</v>
      </c>
      <c r="L782" s="13"/>
      <c r="M782" s="13" t="s">
        <v>2013</v>
      </c>
    </row>
    <row r="783" spans="2:13" ht="15.75" hidden="1" outlineLevel="1" x14ac:dyDescent="0.3">
      <c r="B783" s="13" t="s">
        <v>1063</v>
      </c>
      <c r="C783" s="13" t="s">
        <v>2014</v>
      </c>
      <c r="D783" s="13" t="s">
        <v>11</v>
      </c>
      <c r="E783" s="13" t="s">
        <v>13</v>
      </c>
      <c r="F783" s="13" t="s">
        <v>1065</v>
      </c>
      <c r="G783" s="13" t="s">
        <v>1974</v>
      </c>
      <c r="H783" s="13" t="s">
        <v>1975</v>
      </c>
      <c r="I783" s="13">
        <v>2025</v>
      </c>
      <c r="J783" s="13" t="s">
        <v>2015</v>
      </c>
      <c r="K783" s="13">
        <v>6</v>
      </c>
      <c r="L783" s="13"/>
      <c r="M783" s="13" t="s">
        <v>2016</v>
      </c>
    </row>
    <row r="784" spans="2:13" ht="15.75" hidden="1" outlineLevel="1" x14ac:dyDescent="0.3">
      <c r="B784" s="13" t="s">
        <v>1066</v>
      </c>
      <c r="C784" s="13" t="s">
        <v>2017</v>
      </c>
      <c r="D784" s="13" t="s">
        <v>11</v>
      </c>
      <c r="E784" s="13" t="s">
        <v>13</v>
      </c>
      <c r="F784" s="13" t="s">
        <v>1068</v>
      </c>
      <c r="G784" s="13" t="s">
        <v>1974</v>
      </c>
      <c r="H784" s="13" t="s">
        <v>1975</v>
      </c>
      <c r="I784" s="13">
        <v>2025</v>
      </c>
      <c r="J784" s="13" t="s">
        <v>2018</v>
      </c>
      <c r="K784" s="13">
        <v>6</v>
      </c>
      <c r="L784" s="13"/>
      <c r="M784" s="13" t="s">
        <v>2019</v>
      </c>
    </row>
    <row r="785" spans="2:13" ht="15.75" hidden="1" outlineLevel="1" x14ac:dyDescent="0.3">
      <c r="B785" s="13" t="s">
        <v>1069</v>
      </c>
      <c r="C785" s="13" t="s">
        <v>2020</v>
      </c>
      <c r="D785" s="13" t="s">
        <v>11</v>
      </c>
      <c r="E785" s="13" t="s">
        <v>13</v>
      </c>
      <c r="F785" s="13" t="s">
        <v>1071</v>
      </c>
      <c r="G785" s="13" t="s">
        <v>1974</v>
      </c>
      <c r="H785" s="13" t="s">
        <v>1975</v>
      </c>
      <c r="I785" s="13">
        <v>2025</v>
      </c>
      <c r="J785" s="13" t="s">
        <v>2021</v>
      </c>
      <c r="K785" s="13">
        <v>6</v>
      </c>
      <c r="L785" s="13"/>
      <c r="M785" s="13" t="s">
        <v>2022</v>
      </c>
    </row>
    <row r="786" spans="2:13" ht="15.75" hidden="1" outlineLevel="1" x14ac:dyDescent="0.3">
      <c r="B786" s="13" t="s">
        <v>1072</v>
      </c>
      <c r="C786" s="13" t="s">
        <v>2023</v>
      </c>
      <c r="D786" s="13" t="s">
        <v>11</v>
      </c>
      <c r="E786" s="13" t="s">
        <v>13</v>
      </c>
      <c r="F786" s="13" t="s">
        <v>1074</v>
      </c>
      <c r="G786" s="13" t="s">
        <v>1974</v>
      </c>
      <c r="H786" s="13" t="s">
        <v>1975</v>
      </c>
      <c r="I786" s="13">
        <v>2025</v>
      </c>
      <c r="J786" s="13" t="s">
        <v>2024</v>
      </c>
      <c r="K786" s="13">
        <v>6</v>
      </c>
      <c r="L786" s="13"/>
      <c r="M786" s="13" t="s">
        <v>2025</v>
      </c>
    </row>
    <row r="787" spans="2:13" ht="15.75" hidden="1" outlineLevel="1" x14ac:dyDescent="0.3">
      <c r="B787" s="13" t="s">
        <v>1075</v>
      </c>
      <c r="C787" s="13" t="s">
        <v>2026</v>
      </c>
      <c r="D787" s="13" t="s">
        <v>11</v>
      </c>
      <c r="E787" s="13" t="s">
        <v>13</v>
      </c>
      <c r="F787" s="13" t="s">
        <v>1077</v>
      </c>
      <c r="G787" s="13" t="s">
        <v>1974</v>
      </c>
      <c r="H787" s="13" t="s">
        <v>1975</v>
      </c>
      <c r="I787" s="13">
        <v>2025</v>
      </c>
      <c r="J787" s="13" t="s">
        <v>2027</v>
      </c>
      <c r="K787" s="13">
        <v>6</v>
      </c>
      <c r="L787" s="13"/>
      <c r="M787" s="13" t="s">
        <v>2028</v>
      </c>
    </row>
    <row r="788" spans="2:13" ht="15.75" hidden="1" outlineLevel="1" x14ac:dyDescent="0.3">
      <c r="B788" s="13" t="s">
        <v>1078</v>
      </c>
      <c r="C788" s="13" t="s">
        <v>2029</v>
      </c>
      <c r="D788" s="13" t="s">
        <v>11</v>
      </c>
      <c r="E788" s="13" t="s">
        <v>13</v>
      </c>
      <c r="F788" s="13" t="s">
        <v>1077</v>
      </c>
      <c r="G788" s="13" t="s">
        <v>1974</v>
      </c>
      <c r="H788" s="13" t="s">
        <v>1975</v>
      </c>
      <c r="I788" s="13">
        <v>2025</v>
      </c>
      <c r="J788" s="13" t="s">
        <v>2030</v>
      </c>
      <c r="K788" s="13">
        <v>6</v>
      </c>
      <c r="L788" s="13"/>
      <c r="M788" s="13" t="s">
        <v>2031</v>
      </c>
    </row>
    <row r="789" spans="2:13" ht="15.75" hidden="1" outlineLevel="1" x14ac:dyDescent="0.3">
      <c r="B789" s="13" t="s">
        <v>1288</v>
      </c>
      <c r="C789" s="13" t="s">
        <v>2032</v>
      </c>
      <c r="D789" s="13" t="s">
        <v>11</v>
      </c>
      <c r="E789" s="13" t="s">
        <v>13</v>
      </c>
      <c r="F789" s="13" t="s">
        <v>1290</v>
      </c>
      <c r="G789" s="13" t="s">
        <v>1974</v>
      </c>
      <c r="H789" s="13" t="s">
        <v>1975</v>
      </c>
      <c r="I789" s="13">
        <v>2025</v>
      </c>
      <c r="J789" s="13" t="s">
        <v>2033</v>
      </c>
      <c r="K789" s="13">
        <v>6</v>
      </c>
      <c r="L789" s="13"/>
      <c r="M789" s="13" t="s">
        <v>2034</v>
      </c>
    </row>
    <row r="790" spans="2:13" ht="15.75" hidden="1" outlineLevel="1" x14ac:dyDescent="0.3">
      <c r="B790" s="13" t="s">
        <v>1101</v>
      </c>
      <c r="C790" s="13" t="s">
        <v>2035</v>
      </c>
      <c r="D790" s="13" t="s">
        <v>11</v>
      </c>
      <c r="E790" s="13" t="s">
        <v>13</v>
      </c>
      <c r="F790" s="13" t="s">
        <v>1103</v>
      </c>
      <c r="G790" s="13" t="s">
        <v>1974</v>
      </c>
      <c r="H790" s="13" t="s">
        <v>1975</v>
      </c>
      <c r="I790" s="13">
        <v>2025</v>
      </c>
      <c r="J790" s="13" t="s">
        <v>2036</v>
      </c>
      <c r="K790" s="13">
        <v>6</v>
      </c>
      <c r="L790" s="13"/>
      <c r="M790" s="13" t="s">
        <v>2037</v>
      </c>
    </row>
    <row r="791" spans="2:13" ht="15.75" hidden="1" outlineLevel="1" x14ac:dyDescent="0.3">
      <c r="B791" s="13" t="s">
        <v>1096</v>
      </c>
      <c r="C791" s="13" t="s">
        <v>2038</v>
      </c>
      <c r="D791" s="13" t="s">
        <v>11</v>
      </c>
      <c r="E791" s="13" t="s">
        <v>13</v>
      </c>
      <c r="F791" s="13" t="s">
        <v>1091</v>
      </c>
      <c r="G791" s="13" t="s">
        <v>1974</v>
      </c>
      <c r="H791" s="13" t="s">
        <v>1975</v>
      </c>
      <c r="I791" s="13">
        <v>2025</v>
      </c>
      <c r="J791" s="13" t="s">
        <v>2039</v>
      </c>
      <c r="K791" s="13">
        <v>6</v>
      </c>
      <c r="L791" s="13"/>
      <c r="M791" s="13" t="s">
        <v>2040</v>
      </c>
    </row>
    <row r="792" spans="2:13" ht="15.75" hidden="1" outlineLevel="1" x14ac:dyDescent="0.3">
      <c r="B792" s="13" t="s">
        <v>1089</v>
      </c>
      <c r="C792" s="13" t="s">
        <v>2041</v>
      </c>
      <c r="D792" s="13" t="s">
        <v>11</v>
      </c>
      <c r="E792" s="13" t="s">
        <v>13</v>
      </c>
      <c r="F792" s="13" t="s">
        <v>1091</v>
      </c>
      <c r="G792" s="13" t="s">
        <v>1974</v>
      </c>
      <c r="H792" s="13" t="s">
        <v>1975</v>
      </c>
      <c r="I792" s="13">
        <v>2025</v>
      </c>
      <c r="J792" s="13" t="s">
        <v>2042</v>
      </c>
      <c r="K792" s="13">
        <v>6</v>
      </c>
      <c r="L792" s="13"/>
      <c r="M792" s="13" t="s">
        <v>2043</v>
      </c>
    </row>
    <row r="793" spans="2:13" ht="15.75" hidden="1" outlineLevel="1" x14ac:dyDescent="0.3">
      <c r="B793" s="13" t="s">
        <v>1055</v>
      </c>
      <c r="C793" s="13" t="s">
        <v>2044</v>
      </c>
      <c r="D793" s="13" t="s">
        <v>11</v>
      </c>
      <c r="E793" s="13" t="s">
        <v>13</v>
      </c>
      <c r="F793" s="13" t="s">
        <v>1054</v>
      </c>
      <c r="G793" s="13" t="s">
        <v>1974</v>
      </c>
      <c r="H793" s="13" t="s">
        <v>1975</v>
      </c>
      <c r="I793" s="13">
        <v>2025</v>
      </c>
      <c r="J793" s="13" t="s">
        <v>2045</v>
      </c>
      <c r="K793" s="13">
        <v>6</v>
      </c>
      <c r="L793" s="13"/>
      <c r="M793" s="13" t="s">
        <v>2046</v>
      </c>
    </row>
    <row r="794" spans="2:13" ht="15.75" hidden="1" outlineLevel="1" x14ac:dyDescent="0.3">
      <c r="B794" s="13" t="s">
        <v>1019</v>
      </c>
      <c r="C794" s="13" t="s">
        <v>2047</v>
      </c>
      <c r="D794" s="13" t="s">
        <v>11</v>
      </c>
      <c r="E794" s="13" t="s">
        <v>13</v>
      </c>
      <c r="F794" s="13" t="s">
        <v>1018</v>
      </c>
      <c r="G794" s="13" t="s">
        <v>1974</v>
      </c>
      <c r="H794" s="13" t="s">
        <v>1975</v>
      </c>
      <c r="I794" s="13">
        <v>2025</v>
      </c>
      <c r="J794" s="13" t="s">
        <v>2048</v>
      </c>
      <c r="K794" s="13">
        <v>6</v>
      </c>
      <c r="L794" s="13"/>
      <c r="M794" s="13" t="s">
        <v>2049</v>
      </c>
    </row>
    <row r="795" spans="2:13" ht="15.75" hidden="1" outlineLevel="1" x14ac:dyDescent="0.3">
      <c r="B795" s="13" t="s">
        <v>1273</v>
      </c>
      <c r="C795" s="13" t="s">
        <v>2050</v>
      </c>
      <c r="D795" s="13" t="s">
        <v>11</v>
      </c>
      <c r="E795" s="13" t="s">
        <v>13</v>
      </c>
      <c r="F795" s="13" t="s">
        <v>1268</v>
      </c>
      <c r="G795" s="13" t="s">
        <v>1974</v>
      </c>
      <c r="H795" s="13" t="s">
        <v>1975</v>
      </c>
      <c r="I795" s="13">
        <v>2025</v>
      </c>
      <c r="J795" s="13" t="s">
        <v>2051</v>
      </c>
      <c r="K795" s="13">
        <v>6</v>
      </c>
      <c r="L795" s="13"/>
      <c r="M795" s="13" t="s">
        <v>2052</v>
      </c>
    </row>
    <row r="796" spans="2:13" ht="15.75" hidden="1" outlineLevel="1" x14ac:dyDescent="0.3">
      <c r="B796" s="13" t="s">
        <v>1013</v>
      </c>
      <c r="C796" s="13" t="s">
        <v>2053</v>
      </c>
      <c r="D796" s="13" t="s">
        <v>11</v>
      </c>
      <c r="E796" s="13" t="s">
        <v>13</v>
      </c>
      <c r="F796" s="13" t="s">
        <v>1015</v>
      </c>
      <c r="G796" s="13" t="s">
        <v>1974</v>
      </c>
      <c r="H796" s="13" t="s">
        <v>1975</v>
      </c>
      <c r="I796" s="13">
        <v>2025</v>
      </c>
      <c r="J796" s="13" t="s">
        <v>2054</v>
      </c>
      <c r="K796" s="13">
        <v>6</v>
      </c>
      <c r="L796" s="13"/>
      <c r="M796" s="13" t="s">
        <v>2055</v>
      </c>
    </row>
    <row r="797" spans="2:13" ht="15.75" hidden="1" outlineLevel="1" x14ac:dyDescent="0.3">
      <c r="B797" s="13" t="s">
        <v>1236</v>
      </c>
      <c r="C797" s="13" t="s">
        <v>2056</v>
      </c>
      <c r="D797" s="13" t="s">
        <v>11</v>
      </c>
      <c r="E797" s="13" t="s">
        <v>13</v>
      </c>
      <c r="F797" s="13" t="s">
        <v>1232</v>
      </c>
      <c r="G797" s="13" t="s">
        <v>1974</v>
      </c>
      <c r="H797" s="13" t="s">
        <v>1975</v>
      </c>
      <c r="I797" s="13">
        <v>2025</v>
      </c>
      <c r="J797" s="13" t="s">
        <v>2057</v>
      </c>
      <c r="K797" s="13">
        <v>6</v>
      </c>
      <c r="L797" s="13"/>
      <c r="M797" s="13" t="s">
        <v>2058</v>
      </c>
    </row>
    <row r="798" spans="2:13" ht="15.75" hidden="1" outlineLevel="1" x14ac:dyDescent="0.3">
      <c r="B798" s="13" t="s">
        <v>1240</v>
      </c>
      <c r="C798" s="13" t="s">
        <v>2059</v>
      </c>
      <c r="D798" s="13" t="s">
        <v>11</v>
      </c>
      <c r="E798" s="13" t="s">
        <v>13</v>
      </c>
      <c r="F798" s="13" t="s">
        <v>1232</v>
      </c>
      <c r="G798" s="13" t="s">
        <v>1974</v>
      </c>
      <c r="H798" s="13" t="s">
        <v>1975</v>
      </c>
      <c r="I798" s="13">
        <v>2025</v>
      </c>
      <c r="J798" s="13" t="s">
        <v>2060</v>
      </c>
      <c r="K798" s="13">
        <v>6</v>
      </c>
      <c r="L798" s="13"/>
      <c r="M798" s="13" t="s">
        <v>2061</v>
      </c>
    </row>
    <row r="799" spans="2:13" ht="15.75" hidden="1" outlineLevel="1" x14ac:dyDescent="0.3">
      <c r="B799" s="13" t="s">
        <v>1187</v>
      </c>
      <c r="C799" s="13" t="s">
        <v>2062</v>
      </c>
      <c r="D799" s="13" t="s">
        <v>11</v>
      </c>
      <c r="E799" s="13" t="s">
        <v>13</v>
      </c>
      <c r="F799" s="13" t="s">
        <v>1186</v>
      </c>
      <c r="G799" s="13" t="s">
        <v>1974</v>
      </c>
      <c r="H799" s="13" t="s">
        <v>1975</v>
      </c>
      <c r="I799" s="13">
        <v>2025</v>
      </c>
      <c r="J799" s="13" t="s">
        <v>2063</v>
      </c>
      <c r="K799" s="13">
        <v>6</v>
      </c>
      <c r="L799" s="13"/>
      <c r="M799" s="13" t="s">
        <v>2064</v>
      </c>
    </row>
    <row r="800" spans="2:13" ht="15.75" hidden="1" outlineLevel="1" x14ac:dyDescent="0.3">
      <c r="B800" s="13" t="s">
        <v>1179</v>
      </c>
      <c r="C800" s="13" t="s">
        <v>2065</v>
      </c>
      <c r="D800" s="13" t="s">
        <v>11</v>
      </c>
      <c r="E800" s="13" t="s">
        <v>13</v>
      </c>
      <c r="F800" s="13" t="s">
        <v>1181</v>
      </c>
      <c r="G800" s="13" t="s">
        <v>1974</v>
      </c>
      <c r="H800" s="13" t="s">
        <v>1975</v>
      </c>
      <c r="I800" s="13">
        <v>2025</v>
      </c>
      <c r="J800" s="13" t="s">
        <v>2066</v>
      </c>
      <c r="K800" s="13">
        <v>6</v>
      </c>
      <c r="L800" s="13"/>
      <c r="M800" s="13" t="s">
        <v>2067</v>
      </c>
    </row>
    <row r="801" spans="2:13" ht="15.75" hidden="1" outlineLevel="1" x14ac:dyDescent="0.3">
      <c r="B801" s="13" t="s">
        <v>1176</v>
      </c>
      <c r="C801" s="13" t="s">
        <v>2068</v>
      </c>
      <c r="D801" s="13" t="s">
        <v>11</v>
      </c>
      <c r="E801" s="13" t="s">
        <v>13</v>
      </c>
      <c r="F801" s="13" t="s">
        <v>1178</v>
      </c>
      <c r="G801" s="13" t="s">
        <v>1974</v>
      </c>
      <c r="H801" s="13" t="s">
        <v>1975</v>
      </c>
      <c r="I801" s="13">
        <v>2025</v>
      </c>
      <c r="J801" s="13" t="s">
        <v>2069</v>
      </c>
      <c r="K801" s="13">
        <v>6</v>
      </c>
      <c r="L801" s="13"/>
      <c r="M801" s="13" t="s">
        <v>2070</v>
      </c>
    </row>
    <row r="802" spans="2:13" ht="15.75" hidden="1" outlineLevel="1" x14ac:dyDescent="0.3">
      <c r="B802" s="13" t="s">
        <v>1351</v>
      </c>
      <c r="C802" s="13" t="s">
        <v>2071</v>
      </c>
      <c r="D802" s="13" t="s">
        <v>11</v>
      </c>
      <c r="E802" s="13" t="s">
        <v>13</v>
      </c>
      <c r="F802" s="13" t="s">
        <v>1348</v>
      </c>
      <c r="G802" s="13" t="s">
        <v>1974</v>
      </c>
      <c r="H802" s="13" t="s">
        <v>1975</v>
      </c>
      <c r="I802" s="13">
        <v>2025</v>
      </c>
      <c r="J802" s="13" t="s">
        <v>2072</v>
      </c>
      <c r="K802" s="13">
        <v>6</v>
      </c>
      <c r="L802" s="13"/>
      <c r="M802" s="13" t="s">
        <v>2073</v>
      </c>
    </row>
    <row r="803" spans="2:13" ht="15.75" hidden="1" outlineLevel="1" x14ac:dyDescent="0.3">
      <c r="B803" s="13" t="s">
        <v>1349</v>
      </c>
      <c r="C803" s="13" t="s">
        <v>2074</v>
      </c>
      <c r="D803" s="13" t="s">
        <v>11</v>
      </c>
      <c r="E803" s="13" t="s">
        <v>13</v>
      </c>
      <c r="F803" s="13" t="s">
        <v>1348</v>
      </c>
      <c r="G803" s="13" t="s">
        <v>1974</v>
      </c>
      <c r="H803" s="13" t="s">
        <v>1975</v>
      </c>
      <c r="I803" s="13">
        <v>2025</v>
      </c>
      <c r="J803" s="13" t="s">
        <v>2075</v>
      </c>
      <c r="K803" s="13">
        <v>6</v>
      </c>
      <c r="L803" s="13"/>
      <c r="M803" s="13" t="s">
        <v>2076</v>
      </c>
    </row>
    <row r="804" spans="2:13" ht="15.75" hidden="1" outlineLevel="1" x14ac:dyDescent="0.3">
      <c r="B804" s="13" t="s">
        <v>1346</v>
      </c>
      <c r="C804" s="13" t="s">
        <v>2077</v>
      </c>
      <c r="D804" s="13" t="s">
        <v>11</v>
      </c>
      <c r="E804" s="13" t="s">
        <v>13</v>
      </c>
      <c r="F804" s="13" t="s">
        <v>1348</v>
      </c>
      <c r="G804" s="13" t="s">
        <v>1974</v>
      </c>
      <c r="H804" s="13" t="s">
        <v>1975</v>
      </c>
      <c r="I804" s="13">
        <v>2025</v>
      </c>
      <c r="J804" s="13" t="s">
        <v>2078</v>
      </c>
      <c r="K804" s="13">
        <v>6</v>
      </c>
      <c r="L804" s="13"/>
      <c r="M804" s="13" t="s">
        <v>2079</v>
      </c>
    </row>
    <row r="805" spans="2:13" ht="15.75" hidden="1" outlineLevel="1" x14ac:dyDescent="0.3">
      <c r="B805" s="13" t="s">
        <v>1164</v>
      </c>
      <c r="C805" s="13" t="s">
        <v>2080</v>
      </c>
      <c r="D805" s="13" t="s">
        <v>11</v>
      </c>
      <c r="E805" s="13" t="s">
        <v>13</v>
      </c>
      <c r="F805" s="13" t="s">
        <v>1166</v>
      </c>
      <c r="G805" s="13" t="s">
        <v>1974</v>
      </c>
      <c r="H805" s="13" t="s">
        <v>1975</v>
      </c>
      <c r="I805" s="13">
        <v>2025</v>
      </c>
      <c r="J805" s="13" t="s">
        <v>2081</v>
      </c>
      <c r="K805" s="13">
        <v>6</v>
      </c>
      <c r="L805" s="13"/>
      <c r="M805" s="13" t="s">
        <v>2082</v>
      </c>
    </row>
    <row r="806" spans="2:13" ht="15.75" hidden="1" outlineLevel="1" x14ac:dyDescent="0.3">
      <c r="B806" s="13" t="s">
        <v>1260</v>
      </c>
      <c r="C806" s="13" t="s">
        <v>2083</v>
      </c>
      <c r="D806" s="13" t="s">
        <v>11</v>
      </c>
      <c r="E806" s="13" t="s">
        <v>13</v>
      </c>
      <c r="F806" s="13" t="s">
        <v>1262</v>
      </c>
      <c r="G806" s="13" t="s">
        <v>1974</v>
      </c>
      <c r="H806" s="13" t="s">
        <v>1975</v>
      </c>
      <c r="I806" s="13">
        <v>2025</v>
      </c>
      <c r="J806" s="13" t="s">
        <v>2084</v>
      </c>
      <c r="K806" s="13">
        <v>6</v>
      </c>
      <c r="L806" s="13"/>
      <c r="M806" s="13" t="s">
        <v>2085</v>
      </c>
    </row>
    <row r="807" spans="2:13" ht="15.75" hidden="1" outlineLevel="1" x14ac:dyDescent="0.3">
      <c r="B807" s="13" t="s">
        <v>1266</v>
      </c>
      <c r="C807" s="13" t="s">
        <v>2086</v>
      </c>
      <c r="D807" s="13" t="s">
        <v>11</v>
      </c>
      <c r="E807" s="13" t="s">
        <v>13</v>
      </c>
      <c r="F807" s="13" t="s">
        <v>1268</v>
      </c>
      <c r="G807" s="13" t="s">
        <v>1974</v>
      </c>
      <c r="H807" s="13" t="s">
        <v>1975</v>
      </c>
      <c r="I807" s="13">
        <v>2025</v>
      </c>
      <c r="J807" s="13" t="s">
        <v>2087</v>
      </c>
      <c r="K807" s="13">
        <v>6</v>
      </c>
      <c r="L807" s="13"/>
      <c r="M807" s="13" t="s">
        <v>2088</v>
      </c>
    </row>
    <row r="808" spans="2:13" ht="15.75" hidden="1" outlineLevel="1" x14ac:dyDescent="0.3">
      <c r="B808" s="13" t="s">
        <v>1016</v>
      </c>
      <c r="C808" s="13" t="s">
        <v>2089</v>
      </c>
      <c r="D808" s="13" t="s">
        <v>11</v>
      </c>
      <c r="E808" s="13" t="s">
        <v>13</v>
      </c>
      <c r="F808" s="13" t="s">
        <v>1018</v>
      </c>
      <c r="G808" s="13" t="s">
        <v>1974</v>
      </c>
      <c r="H808" s="13" t="s">
        <v>1975</v>
      </c>
      <c r="I808" s="13">
        <v>2025</v>
      </c>
      <c r="J808" s="13" t="s">
        <v>2090</v>
      </c>
      <c r="K808" s="13">
        <v>6</v>
      </c>
      <c r="L808" s="13"/>
      <c r="M808" s="13" t="s">
        <v>2091</v>
      </c>
    </row>
    <row r="809" spans="2:13" ht="15.75" hidden="1" outlineLevel="1" x14ac:dyDescent="0.3">
      <c r="B809" s="13" t="s">
        <v>1271</v>
      </c>
      <c r="C809" s="13" t="s">
        <v>2092</v>
      </c>
      <c r="D809" s="13" t="s">
        <v>11</v>
      </c>
      <c r="E809" s="13" t="s">
        <v>13</v>
      </c>
      <c r="F809" s="13" t="s">
        <v>1268</v>
      </c>
      <c r="G809" s="13" t="s">
        <v>1974</v>
      </c>
      <c r="H809" s="13" t="s">
        <v>1975</v>
      </c>
      <c r="I809" s="13">
        <v>2025</v>
      </c>
      <c r="J809" s="13" t="s">
        <v>2093</v>
      </c>
      <c r="K809" s="13">
        <v>6</v>
      </c>
      <c r="L809" s="13"/>
      <c r="M809" s="13" t="s">
        <v>2094</v>
      </c>
    </row>
    <row r="810" spans="2:13" ht="15.75" hidden="1" outlineLevel="1" x14ac:dyDescent="0.3">
      <c r="B810" s="13" t="s">
        <v>1336</v>
      </c>
      <c r="C810" s="13" t="s">
        <v>2095</v>
      </c>
      <c r="D810" s="13" t="s">
        <v>11</v>
      </c>
      <c r="E810" s="13" t="s">
        <v>13</v>
      </c>
      <c r="F810" s="13" t="s">
        <v>1338</v>
      </c>
      <c r="G810" s="13" t="s">
        <v>1974</v>
      </c>
      <c r="H810" s="13" t="s">
        <v>1975</v>
      </c>
      <c r="I810" s="13">
        <v>2025</v>
      </c>
      <c r="J810" s="13" t="s">
        <v>2096</v>
      </c>
      <c r="K810" s="13">
        <v>6</v>
      </c>
      <c r="L810" s="13"/>
      <c r="M810" s="13" t="s">
        <v>2097</v>
      </c>
    </row>
    <row r="811" spans="2:13" ht="15.75" hidden="1" outlineLevel="1" x14ac:dyDescent="0.3">
      <c r="B811" s="13" t="s">
        <v>1333</v>
      </c>
      <c r="C811" s="13" t="s">
        <v>2098</v>
      </c>
      <c r="D811" s="13" t="s">
        <v>11</v>
      </c>
      <c r="E811" s="13" t="s">
        <v>13</v>
      </c>
      <c r="F811" s="13" t="s">
        <v>1335</v>
      </c>
      <c r="G811" s="13" t="s">
        <v>1974</v>
      </c>
      <c r="H811" s="13" t="s">
        <v>1975</v>
      </c>
      <c r="I811" s="13">
        <v>2025</v>
      </c>
      <c r="J811" s="13" t="s">
        <v>2099</v>
      </c>
      <c r="K811" s="13">
        <v>6</v>
      </c>
      <c r="L811" s="13"/>
      <c r="M811" s="13" t="s">
        <v>2100</v>
      </c>
    </row>
    <row r="812" spans="2:13" ht="15.75" hidden="1" outlineLevel="1" x14ac:dyDescent="0.3">
      <c r="B812" s="13" t="s">
        <v>1135</v>
      </c>
      <c r="C812" s="13" t="s">
        <v>2101</v>
      </c>
      <c r="D812" s="13" t="s">
        <v>11</v>
      </c>
      <c r="E812" s="13" t="s">
        <v>13</v>
      </c>
      <c r="F812" s="13" t="s">
        <v>1137</v>
      </c>
      <c r="G812" s="13" t="s">
        <v>1974</v>
      </c>
      <c r="H812" s="13" t="s">
        <v>1975</v>
      </c>
      <c r="I812" s="13">
        <v>2025</v>
      </c>
      <c r="J812" s="13" t="s">
        <v>2102</v>
      </c>
      <c r="K812" s="13">
        <v>6</v>
      </c>
      <c r="L812" s="13"/>
      <c r="M812" s="13" t="s">
        <v>2103</v>
      </c>
    </row>
    <row r="813" spans="2:13" ht="15.75" hidden="1" outlineLevel="1" x14ac:dyDescent="0.3">
      <c r="B813" s="13" t="s">
        <v>1327</v>
      </c>
      <c r="C813" s="13" t="s">
        <v>2104</v>
      </c>
      <c r="D813" s="13" t="s">
        <v>11</v>
      </c>
      <c r="E813" s="13" t="s">
        <v>13</v>
      </c>
      <c r="F813" s="13" t="s">
        <v>1329</v>
      </c>
      <c r="G813" s="13" t="s">
        <v>1974</v>
      </c>
      <c r="H813" s="13" t="s">
        <v>1975</v>
      </c>
      <c r="I813" s="13">
        <v>2025</v>
      </c>
      <c r="J813" s="13" t="s">
        <v>2105</v>
      </c>
      <c r="K813" s="13">
        <v>6</v>
      </c>
      <c r="L813" s="13"/>
      <c r="M813" s="13" t="s">
        <v>2106</v>
      </c>
    </row>
    <row r="814" spans="2:13" ht="15.75" hidden="1" outlineLevel="1" x14ac:dyDescent="0.3">
      <c r="B814" s="13" t="s">
        <v>1324</v>
      </c>
      <c r="C814" s="13" t="s">
        <v>2107</v>
      </c>
      <c r="D814" s="13" t="s">
        <v>11</v>
      </c>
      <c r="E814" s="13" t="s">
        <v>13</v>
      </c>
      <c r="F814" s="13" t="s">
        <v>1326</v>
      </c>
      <c r="G814" s="13" t="s">
        <v>1974</v>
      </c>
      <c r="H814" s="13" t="s">
        <v>1975</v>
      </c>
      <c r="I814" s="13">
        <v>2025</v>
      </c>
      <c r="J814" s="13" t="s">
        <v>2108</v>
      </c>
      <c r="K814" s="13">
        <v>6</v>
      </c>
      <c r="L814" s="13"/>
      <c r="M814" s="13" t="s">
        <v>2109</v>
      </c>
    </row>
    <row r="815" spans="2:13" ht="15.75" hidden="1" outlineLevel="1" x14ac:dyDescent="0.3">
      <c r="B815" s="13" t="s">
        <v>1321</v>
      </c>
      <c r="C815" s="13" t="s">
        <v>2110</v>
      </c>
      <c r="D815" s="13" t="s">
        <v>11</v>
      </c>
      <c r="E815" s="13" t="s">
        <v>13</v>
      </c>
      <c r="F815" s="13" t="s">
        <v>1323</v>
      </c>
      <c r="G815" s="13" t="s">
        <v>1974</v>
      </c>
      <c r="H815" s="13" t="s">
        <v>1975</v>
      </c>
      <c r="I815" s="13">
        <v>2025</v>
      </c>
      <c r="J815" s="13" t="s">
        <v>2111</v>
      </c>
      <c r="K815" s="13">
        <v>6</v>
      </c>
      <c r="L815" s="13"/>
      <c r="M815" s="13" t="s">
        <v>2112</v>
      </c>
    </row>
    <row r="816" spans="2:13" ht="15.75" hidden="1" outlineLevel="1" x14ac:dyDescent="0.3">
      <c r="B816" s="13" t="s">
        <v>1003</v>
      </c>
      <c r="C816" s="13" t="s">
        <v>2113</v>
      </c>
      <c r="D816" s="13" t="s">
        <v>11</v>
      </c>
      <c r="E816" s="13" t="s">
        <v>13</v>
      </c>
      <c r="F816" s="13" t="s">
        <v>1000</v>
      </c>
      <c r="G816" s="13" t="s">
        <v>1974</v>
      </c>
      <c r="H816" s="13" t="s">
        <v>1975</v>
      </c>
      <c r="I816" s="13">
        <v>2025</v>
      </c>
      <c r="J816" s="13" t="s">
        <v>2114</v>
      </c>
      <c r="K816" s="13">
        <v>6</v>
      </c>
      <c r="L816" s="13"/>
      <c r="M816" s="13" t="s">
        <v>2115</v>
      </c>
    </row>
    <row r="817" spans="2:13" ht="15.75" hidden="1" outlineLevel="1" x14ac:dyDescent="0.3">
      <c r="B817" s="13" t="s">
        <v>1319</v>
      </c>
      <c r="C817" s="13" t="s">
        <v>2116</v>
      </c>
      <c r="D817" s="13" t="s">
        <v>11</v>
      </c>
      <c r="E817" s="13" t="s">
        <v>13</v>
      </c>
      <c r="F817" s="13" t="s">
        <v>1315</v>
      </c>
      <c r="G817" s="13" t="s">
        <v>1974</v>
      </c>
      <c r="H817" s="13" t="s">
        <v>1975</v>
      </c>
      <c r="I817" s="13">
        <v>2025</v>
      </c>
      <c r="J817" s="13" t="s">
        <v>2117</v>
      </c>
      <c r="K817" s="13">
        <v>6</v>
      </c>
      <c r="L817" s="13"/>
      <c r="M817" s="13" t="s">
        <v>2118</v>
      </c>
    </row>
    <row r="818" spans="2:13" ht="15.75" hidden="1" outlineLevel="1" x14ac:dyDescent="0.3">
      <c r="B818" s="13" t="s">
        <v>1129</v>
      </c>
      <c r="C818" s="13" t="s">
        <v>2119</v>
      </c>
      <c r="D818" s="13" t="s">
        <v>11</v>
      </c>
      <c r="E818" s="13" t="s">
        <v>13</v>
      </c>
      <c r="F818" s="13" t="s">
        <v>1131</v>
      </c>
      <c r="G818" s="13" t="s">
        <v>1974</v>
      </c>
      <c r="H818" s="13" t="s">
        <v>1975</v>
      </c>
      <c r="I818" s="13">
        <v>2025</v>
      </c>
      <c r="J818" s="13" t="s">
        <v>2120</v>
      </c>
      <c r="K818" s="13">
        <v>6</v>
      </c>
      <c r="L818" s="13"/>
      <c r="M818" s="13" t="s">
        <v>2121</v>
      </c>
    </row>
    <row r="819" spans="2:13" ht="15.75" hidden="1" outlineLevel="1" x14ac:dyDescent="0.3">
      <c r="B819" s="13" t="s">
        <v>1313</v>
      </c>
      <c r="C819" s="13" t="s">
        <v>2122</v>
      </c>
      <c r="D819" s="13" t="s">
        <v>11</v>
      </c>
      <c r="E819" s="13" t="s">
        <v>13</v>
      </c>
      <c r="F819" s="13" t="s">
        <v>1315</v>
      </c>
      <c r="G819" s="13" t="s">
        <v>1974</v>
      </c>
      <c r="H819" s="13" t="s">
        <v>1975</v>
      </c>
      <c r="I819" s="13">
        <v>2025</v>
      </c>
      <c r="J819" s="13" t="s">
        <v>2123</v>
      </c>
      <c r="K819" s="13">
        <v>6</v>
      </c>
      <c r="L819" s="13"/>
      <c r="M819" s="13" t="s">
        <v>2124</v>
      </c>
    </row>
    <row r="820" spans="2:13" ht="15.75" hidden="1" outlineLevel="1" x14ac:dyDescent="0.3">
      <c r="B820" s="13" t="s">
        <v>1092</v>
      </c>
      <c r="C820" s="13" t="s">
        <v>2125</v>
      </c>
      <c r="D820" s="13" t="s">
        <v>11</v>
      </c>
      <c r="E820" s="13" t="s">
        <v>13</v>
      </c>
      <c r="F820" s="13" t="s">
        <v>1091</v>
      </c>
      <c r="G820" s="13" t="s">
        <v>1974</v>
      </c>
      <c r="H820" s="13" t="s">
        <v>1975</v>
      </c>
      <c r="I820" s="13">
        <v>2025</v>
      </c>
      <c r="J820" s="13" t="s">
        <v>2126</v>
      </c>
      <c r="K820" s="13">
        <v>6</v>
      </c>
      <c r="L820" s="13"/>
      <c r="M820" s="13" t="s">
        <v>2127</v>
      </c>
    </row>
    <row r="821" spans="2:13" ht="15.75" hidden="1" outlineLevel="1" x14ac:dyDescent="0.3">
      <c r="B821" s="13" t="s">
        <v>1094</v>
      </c>
      <c r="C821" s="13" t="s">
        <v>2128</v>
      </c>
      <c r="D821" s="13" t="s">
        <v>11</v>
      </c>
      <c r="E821" s="13" t="s">
        <v>13</v>
      </c>
      <c r="F821" s="13" t="s">
        <v>1091</v>
      </c>
      <c r="G821" s="13" t="s">
        <v>1974</v>
      </c>
      <c r="H821" s="13" t="s">
        <v>1975</v>
      </c>
      <c r="I821" s="13">
        <v>2025</v>
      </c>
      <c r="J821" s="13" t="s">
        <v>2129</v>
      </c>
      <c r="K821" s="13">
        <v>6</v>
      </c>
      <c r="L821" s="13"/>
      <c r="M821" s="13" t="s">
        <v>2130</v>
      </c>
    </row>
    <row r="822" spans="2:13" ht="15.75" hidden="1" outlineLevel="1" x14ac:dyDescent="0.3">
      <c r="B822" s="13" t="s">
        <v>1279</v>
      </c>
      <c r="C822" s="13" t="s">
        <v>2131</v>
      </c>
      <c r="D822" s="13" t="s">
        <v>11</v>
      </c>
      <c r="E822" s="13" t="s">
        <v>13</v>
      </c>
      <c r="F822" s="13" t="s">
        <v>1281</v>
      </c>
      <c r="G822" s="13" t="s">
        <v>1974</v>
      </c>
      <c r="H822" s="13" t="s">
        <v>1975</v>
      </c>
      <c r="I822" s="13">
        <v>2025</v>
      </c>
      <c r="J822" s="13" t="s">
        <v>2132</v>
      </c>
      <c r="K822" s="13">
        <v>6</v>
      </c>
      <c r="L822" s="13">
        <v>5</v>
      </c>
      <c r="M822" s="13" t="s">
        <v>2133</v>
      </c>
    </row>
    <row r="823" spans="2:13" ht="15.75" hidden="1" outlineLevel="1" x14ac:dyDescent="0.3">
      <c r="B823" s="13" t="s">
        <v>1300</v>
      </c>
      <c r="C823" s="13" t="s">
        <v>2134</v>
      </c>
      <c r="D823" s="13" t="s">
        <v>11</v>
      </c>
      <c r="E823" s="13" t="s">
        <v>13</v>
      </c>
      <c r="F823" s="13" t="s">
        <v>1302</v>
      </c>
      <c r="G823" s="13" t="s">
        <v>1974</v>
      </c>
      <c r="H823" s="13" t="s">
        <v>1975</v>
      </c>
      <c r="I823" s="13">
        <v>2025</v>
      </c>
      <c r="J823" s="13" t="s">
        <v>2135</v>
      </c>
      <c r="K823" s="13">
        <v>6</v>
      </c>
      <c r="L823" s="13">
        <v>6</v>
      </c>
      <c r="M823" s="13" t="s">
        <v>2136</v>
      </c>
    </row>
    <row r="824" spans="2:13" ht="15.75" hidden="1" outlineLevel="1" x14ac:dyDescent="0.3">
      <c r="B824" s="13" t="s">
        <v>1316</v>
      </c>
      <c r="C824" s="13" t="s">
        <v>2137</v>
      </c>
      <c r="D824" s="13" t="s">
        <v>11</v>
      </c>
      <c r="E824" s="13" t="s">
        <v>13</v>
      </c>
      <c r="F824" s="13" t="s">
        <v>1318</v>
      </c>
      <c r="G824" s="13" t="s">
        <v>1974</v>
      </c>
      <c r="H824" s="13" t="s">
        <v>1975</v>
      </c>
      <c r="I824" s="13">
        <v>2025</v>
      </c>
      <c r="J824" s="13" t="s">
        <v>2138</v>
      </c>
      <c r="K824" s="13">
        <v>6</v>
      </c>
      <c r="L824" s="13">
        <v>7</v>
      </c>
      <c r="M824" s="13" t="s">
        <v>2139</v>
      </c>
    </row>
    <row r="825" spans="2:13" ht="15.75" hidden="1" outlineLevel="1" x14ac:dyDescent="0.3">
      <c r="B825" s="13" t="s">
        <v>1330</v>
      </c>
      <c r="C825" s="13" t="s">
        <v>2140</v>
      </c>
      <c r="D825" s="13" t="s">
        <v>11</v>
      </c>
      <c r="E825" s="13" t="s">
        <v>13</v>
      </c>
      <c r="F825" s="13" t="s">
        <v>1332</v>
      </c>
      <c r="G825" s="13" t="s">
        <v>1974</v>
      </c>
      <c r="H825" s="13" t="s">
        <v>1975</v>
      </c>
      <c r="I825" s="13">
        <v>2025</v>
      </c>
      <c r="J825" s="13" t="s">
        <v>2141</v>
      </c>
      <c r="K825" s="13">
        <v>6</v>
      </c>
      <c r="L825" s="13">
        <v>8</v>
      </c>
      <c r="M825" s="13" t="s">
        <v>2142</v>
      </c>
    </row>
    <row r="826" spans="2:13" ht="15.75" hidden="1" outlineLevel="1" x14ac:dyDescent="0.3">
      <c r="B826" s="13" t="s">
        <v>1342</v>
      </c>
      <c r="C826" s="13" t="s">
        <v>2143</v>
      </c>
      <c r="D826" s="13" t="s">
        <v>11</v>
      </c>
      <c r="E826" s="13" t="s">
        <v>13</v>
      </c>
      <c r="F826" s="13" t="s">
        <v>1318</v>
      </c>
      <c r="G826" s="13" t="s">
        <v>1974</v>
      </c>
      <c r="H826" s="13" t="s">
        <v>1975</v>
      </c>
      <c r="I826" s="13">
        <v>2025</v>
      </c>
      <c r="J826" s="13" t="s">
        <v>2144</v>
      </c>
      <c r="K826" s="13">
        <v>6</v>
      </c>
      <c r="L826" s="13">
        <v>9</v>
      </c>
      <c r="M826" s="13" t="s">
        <v>2145</v>
      </c>
    </row>
    <row r="827" spans="2:13" ht="15.75" hidden="1" outlineLevel="1" x14ac:dyDescent="0.3">
      <c r="B827" s="13" t="s">
        <v>953</v>
      </c>
      <c r="C827" s="13" t="s">
        <v>2146</v>
      </c>
      <c r="D827" s="13" t="s">
        <v>11</v>
      </c>
      <c r="E827" s="13" t="s">
        <v>13</v>
      </c>
      <c r="F827" s="13" t="s">
        <v>955</v>
      </c>
      <c r="G827" s="13" t="s">
        <v>1974</v>
      </c>
      <c r="H827" s="13" t="s">
        <v>1975</v>
      </c>
      <c r="I827" s="13">
        <v>2025</v>
      </c>
      <c r="J827" s="13" t="s">
        <v>2147</v>
      </c>
      <c r="K827" s="13">
        <v>6</v>
      </c>
      <c r="L827" s="13">
        <v>10</v>
      </c>
      <c r="M827" s="13" t="s">
        <v>2148</v>
      </c>
    </row>
    <row r="828" spans="2:13" ht="15.75" hidden="1" outlineLevel="1" x14ac:dyDescent="0.3">
      <c r="B828" s="13" t="s">
        <v>973</v>
      </c>
      <c r="C828" s="13" t="s">
        <v>2149</v>
      </c>
      <c r="D828" s="13" t="s">
        <v>11</v>
      </c>
      <c r="E828" s="13" t="s">
        <v>13</v>
      </c>
      <c r="F828" s="13" t="s">
        <v>975</v>
      </c>
      <c r="G828" s="13" t="s">
        <v>1974</v>
      </c>
      <c r="H828" s="13" t="s">
        <v>1975</v>
      </c>
      <c r="I828" s="13">
        <v>2025</v>
      </c>
      <c r="J828" s="13" t="s">
        <v>2150</v>
      </c>
      <c r="K828" s="13">
        <v>6</v>
      </c>
      <c r="L828" s="13">
        <v>11</v>
      </c>
      <c r="M828" s="13" t="s">
        <v>2151</v>
      </c>
    </row>
    <row r="829" spans="2:13" ht="15.75" hidden="1" outlineLevel="1" x14ac:dyDescent="0.3">
      <c r="B829" s="13" t="s">
        <v>995</v>
      </c>
      <c r="C829" s="13" t="s">
        <v>2152</v>
      </c>
      <c r="D829" s="13" t="s">
        <v>11</v>
      </c>
      <c r="E829" s="13" t="s">
        <v>13</v>
      </c>
      <c r="F829" s="13" t="s">
        <v>997</v>
      </c>
      <c r="G829" s="13" t="s">
        <v>1974</v>
      </c>
      <c r="H829" s="13" t="s">
        <v>1975</v>
      </c>
      <c r="I829" s="13">
        <v>2025</v>
      </c>
      <c r="J829" s="13" t="s">
        <v>2153</v>
      </c>
      <c r="K829" s="13">
        <v>6</v>
      </c>
      <c r="L829" s="13">
        <v>12</v>
      </c>
      <c r="M829" s="13" t="s">
        <v>2154</v>
      </c>
    </row>
    <row r="830" spans="2:13" ht="15.75" hidden="1" outlineLevel="1" x14ac:dyDescent="0.3">
      <c r="B830" s="13" t="s">
        <v>1021</v>
      </c>
      <c r="C830" s="13" t="s">
        <v>2155</v>
      </c>
      <c r="D830" s="13" t="s">
        <v>11</v>
      </c>
      <c r="E830" s="13" t="s">
        <v>13</v>
      </c>
      <c r="F830" s="13" t="s">
        <v>1023</v>
      </c>
      <c r="G830" s="13" t="s">
        <v>1974</v>
      </c>
      <c r="H830" s="13" t="s">
        <v>1975</v>
      </c>
      <c r="I830" s="13">
        <v>2025</v>
      </c>
      <c r="J830" s="13" t="s">
        <v>2156</v>
      </c>
      <c r="K830" s="13">
        <v>6</v>
      </c>
      <c r="L830" s="13">
        <v>13</v>
      </c>
      <c r="M830" s="13" t="s">
        <v>2157</v>
      </c>
    </row>
    <row r="831" spans="2:13" ht="15.75" hidden="1" outlineLevel="1" x14ac:dyDescent="0.3">
      <c r="B831" s="13" t="s">
        <v>1046</v>
      </c>
      <c r="C831" s="13" t="s">
        <v>2158</v>
      </c>
      <c r="D831" s="13" t="s">
        <v>11</v>
      </c>
      <c r="E831" s="13" t="s">
        <v>13</v>
      </c>
      <c r="F831" s="13" t="s">
        <v>1048</v>
      </c>
      <c r="G831" s="13" t="s">
        <v>1974</v>
      </c>
      <c r="H831" s="13" t="s">
        <v>1975</v>
      </c>
      <c r="I831" s="13">
        <v>2025</v>
      </c>
      <c r="J831" s="13" t="s">
        <v>2159</v>
      </c>
      <c r="K831" s="13">
        <v>6</v>
      </c>
      <c r="L831" s="13">
        <v>15</v>
      </c>
      <c r="M831" s="13" t="s">
        <v>2160</v>
      </c>
    </row>
    <row r="832" spans="2:13" ht="15.75" hidden="1" outlineLevel="1" x14ac:dyDescent="0.3">
      <c r="B832" s="13" t="s">
        <v>1083</v>
      </c>
      <c r="C832" s="13" t="s">
        <v>2161</v>
      </c>
      <c r="D832" s="13" t="s">
        <v>11</v>
      </c>
      <c r="E832" s="13" t="s">
        <v>13</v>
      </c>
      <c r="F832" s="13" t="s">
        <v>1085</v>
      </c>
      <c r="G832" s="13" t="s">
        <v>1974</v>
      </c>
      <c r="H832" s="13" t="s">
        <v>1975</v>
      </c>
      <c r="I832" s="13">
        <v>2025</v>
      </c>
      <c r="J832" s="13" t="s">
        <v>2162</v>
      </c>
      <c r="K832" s="13">
        <v>6</v>
      </c>
      <c r="L832" s="13">
        <v>17</v>
      </c>
      <c r="M832" s="13" t="s">
        <v>2163</v>
      </c>
    </row>
    <row r="833" spans="2:13" ht="15.75" hidden="1" outlineLevel="1" x14ac:dyDescent="0.3">
      <c r="B833" s="13" t="s">
        <v>1098</v>
      </c>
      <c r="C833" s="13" t="s">
        <v>2164</v>
      </c>
      <c r="D833" s="13" t="s">
        <v>11</v>
      </c>
      <c r="E833" s="13" t="s">
        <v>13</v>
      </c>
      <c r="F833" s="13" t="s">
        <v>1100</v>
      </c>
      <c r="G833" s="13" t="s">
        <v>1974</v>
      </c>
      <c r="H833" s="13" t="s">
        <v>1975</v>
      </c>
      <c r="I833" s="13">
        <v>2025</v>
      </c>
      <c r="J833" s="13" t="s">
        <v>2165</v>
      </c>
      <c r="K833" s="13">
        <v>6</v>
      </c>
      <c r="L833" s="13">
        <v>18</v>
      </c>
      <c r="M833" s="13" t="s">
        <v>2166</v>
      </c>
    </row>
    <row r="834" spans="2:13" ht="15.75" hidden="1" outlineLevel="1" x14ac:dyDescent="0.3">
      <c r="B834" s="13" t="s">
        <v>1108</v>
      </c>
      <c r="C834" s="13" t="s">
        <v>2167</v>
      </c>
      <c r="D834" s="13" t="s">
        <v>11</v>
      </c>
      <c r="E834" s="13" t="s">
        <v>13</v>
      </c>
      <c r="F834" s="13" t="s">
        <v>1100</v>
      </c>
      <c r="G834" s="13" t="s">
        <v>1974</v>
      </c>
      <c r="H834" s="13" t="s">
        <v>1975</v>
      </c>
      <c r="I834" s="13">
        <v>2025</v>
      </c>
      <c r="J834" s="13" t="s">
        <v>2168</v>
      </c>
      <c r="K834" s="13">
        <v>6</v>
      </c>
      <c r="L834" s="13">
        <v>19</v>
      </c>
      <c r="M834" s="13" t="s">
        <v>2169</v>
      </c>
    </row>
    <row r="835" spans="2:13" ht="15.75" hidden="1" outlineLevel="1" x14ac:dyDescent="0.3">
      <c r="B835" s="13" t="s">
        <v>1118</v>
      </c>
      <c r="C835" s="13" t="s">
        <v>2170</v>
      </c>
      <c r="D835" s="13" t="s">
        <v>11</v>
      </c>
      <c r="E835" s="13" t="s">
        <v>13</v>
      </c>
      <c r="F835" s="13" t="s">
        <v>1120</v>
      </c>
      <c r="G835" s="13" t="s">
        <v>1974</v>
      </c>
      <c r="H835" s="13" t="s">
        <v>1975</v>
      </c>
      <c r="I835" s="13">
        <v>2025</v>
      </c>
      <c r="J835" s="13" t="s">
        <v>2171</v>
      </c>
      <c r="K835" s="13">
        <v>6</v>
      </c>
      <c r="L835" s="13">
        <v>21</v>
      </c>
      <c r="M835" s="13" t="s">
        <v>2172</v>
      </c>
    </row>
    <row r="836" spans="2:13" ht="15.75" hidden="1" outlineLevel="1" x14ac:dyDescent="0.3">
      <c r="B836" s="13" t="s">
        <v>1182</v>
      </c>
      <c r="C836" s="13" t="s">
        <v>2173</v>
      </c>
      <c r="D836" s="13" t="s">
        <v>11</v>
      </c>
      <c r="E836" s="13" t="s">
        <v>13</v>
      </c>
      <c r="F836" s="13" t="s">
        <v>1166</v>
      </c>
      <c r="G836" s="13" t="s">
        <v>1974</v>
      </c>
      <c r="H836" s="13" t="s">
        <v>1975</v>
      </c>
      <c r="I836" s="13">
        <v>2025</v>
      </c>
      <c r="J836" s="13" t="s">
        <v>2174</v>
      </c>
      <c r="K836" s="13">
        <v>6</v>
      </c>
      <c r="L836" s="13">
        <v>26</v>
      </c>
      <c r="M836" s="13" t="s">
        <v>2175</v>
      </c>
    </row>
    <row r="837" spans="2:13" ht="15.75" hidden="1" outlineLevel="1" x14ac:dyDescent="0.3">
      <c r="B837" s="13" t="s">
        <v>1195</v>
      </c>
      <c r="C837" s="13" t="s">
        <v>2176</v>
      </c>
      <c r="D837" s="13" t="s">
        <v>11</v>
      </c>
      <c r="E837" s="13" t="s">
        <v>13</v>
      </c>
      <c r="F837" s="13" t="s">
        <v>1166</v>
      </c>
      <c r="G837" s="13" t="s">
        <v>1974</v>
      </c>
      <c r="H837" s="13" t="s">
        <v>1975</v>
      </c>
      <c r="I837" s="13">
        <v>2025</v>
      </c>
      <c r="J837" s="13" t="s">
        <v>2177</v>
      </c>
      <c r="K837" s="13">
        <v>6</v>
      </c>
      <c r="L837" s="13">
        <v>27</v>
      </c>
      <c r="M837" s="13" t="s">
        <v>2178</v>
      </c>
    </row>
    <row r="838" spans="2:13" ht="15.75" hidden="1" outlineLevel="1" x14ac:dyDescent="0.3">
      <c r="B838" s="13" t="s">
        <v>1230</v>
      </c>
      <c r="C838" s="13" t="s">
        <v>2179</v>
      </c>
      <c r="D838" s="13" t="s">
        <v>11</v>
      </c>
      <c r="E838" s="13" t="s">
        <v>13</v>
      </c>
      <c r="F838" s="13" t="s">
        <v>1232</v>
      </c>
      <c r="G838" s="13" t="s">
        <v>1974</v>
      </c>
      <c r="H838" s="13" t="s">
        <v>1975</v>
      </c>
      <c r="I838" s="13">
        <v>2025</v>
      </c>
      <c r="J838" s="13" t="s">
        <v>2180</v>
      </c>
      <c r="K838" s="13">
        <v>6</v>
      </c>
      <c r="L838" s="13">
        <v>29</v>
      </c>
      <c r="M838" s="13" t="s">
        <v>2181</v>
      </c>
    </row>
    <row r="839" spans="2:13" ht="15.75" hidden="1" outlineLevel="1" x14ac:dyDescent="0.3">
      <c r="B839" s="13" t="s">
        <v>1238</v>
      </c>
      <c r="C839" s="13" t="s">
        <v>2182</v>
      </c>
      <c r="D839" s="13" t="s">
        <v>11</v>
      </c>
      <c r="E839" s="13" t="s">
        <v>13</v>
      </c>
      <c r="F839" s="13" t="s">
        <v>1232</v>
      </c>
      <c r="G839" s="13" t="s">
        <v>1974</v>
      </c>
      <c r="H839" s="13" t="s">
        <v>1975</v>
      </c>
      <c r="I839" s="13">
        <v>2025</v>
      </c>
      <c r="J839" s="13" t="s">
        <v>2183</v>
      </c>
      <c r="K839" s="13">
        <v>6</v>
      </c>
      <c r="L839" s="13">
        <v>31</v>
      </c>
      <c r="M839" s="13" t="s">
        <v>2184</v>
      </c>
    </row>
    <row r="840" spans="2:13" ht="15.75" hidden="1" outlineLevel="1" x14ac:dyDescent="0.3">
      <c r="B840" s="13" t="s">
        <v>1242</v>
      </c>
      <c r="C840" s="13" t="s">
        <v>2185</v>
      </c>
      <c r="D840" s="13" t="s">
        <v>11</v>
      </c>
      <c r="E840" s="13" t="s">
        <v>13</v>
      </c>
      <c r="F840" s="13" t="s">
        <v>1244</v>
      </c>
      <c r="G840" s="13" t="s">
        <v>1974</v>
      </c>
      <c r="H840" s="13" t="s">
        <v>1975</v>
      </c>
      <c r="I840" s="13">
        <v>2025</v>
      </c>
      <c r="J840" s="13" t="s">
        <v>2186</v>
      </c>
      <c r="K840" s="13">
        <v>6</v>
      </c>
      <c r="L840" s="13">
        <v>34</v>
      </c>
      <c r="M840" s="13" t="s">
        <v>2187</v>
      </c>
    </row>
    <row r="841" spans="2:13" ht="15.75" hidden="1" outlineLevel="1" x14ac:dyDescent="0.3">
      <c r="B841" s="13" t="s">
        <v>1245</v>
      </c>
      <c r="C841" s="13" t="s">
        <v>2188</v>
      </c>
      <c r="D841" s="13" t="s">
        <v>11</v>
      </c>
      <c r="E841" s="13" t="s">
        <v>13</v>
      </c>
      <c r="F841" s="13" t="s">
        <v>1244</v>
      </c>
      <c r="G841" s="13" t="s">
        <v>1974</v>
      </c>
      <c r="H841" s="13" t="s">
        <v>1975</v>
      </c>
      <c r="I841" s="13">
        <v>2025</v>
      </c>
      <c r="J841" s="13" t="s">
        <v>2189</v>
      </c>
      <c r="K841" s="13">
        <v>6</v>
      </c>
      <c r="L841" s="13">
        <v>35</v>
      </c>
      <c r="M841" s="13" t="s">
        <v>2190</v>
      </c>
    </row>
    <row r="842" spans="2:13" ht="15.75" hidden="1" outlineLevel="1" x14ac:dyDescent="0.3">
      <c r="B842" s="13" t="s">
        <v>1247</v>
      </c>
      <c r="C842" s="13" t="s">
        <v>2191</v>
      </c>
      <c r="D842" s="13" t="s">
        <v>11</v>
      </c>
      <c r="E842" s="13" t="s">
        <v>13</v>
      </c>
      <c r="F842" s="13" t="s">
        <v>1249</v>
      </c>
      <c r="G842" s="13" t="s">
        <v>1974</v>
      </c>
      <c r="H842" s="13" t="s">
        <v>1975</v>
      </c>
      <c r="I842" s="13">
        <v>2025</v>
      </c>
      <c r="J842" s="13" t="s">
        <v>2192</v>
      </c>
      <c r="K842" s="13">
        <v>6</v>
      </c>
      <c r="L842" s="13">
        <v>36</v>
      </c>
      <c r="M842" s="13" t="s">
        <v>2193</v>
      </c>
    </row>
    <row r="843" spans="2:13" ht="15.75" hidden="1" outlineLevel="1" x14ac:dyDescent="0.3">
      <c r="B843" s="13" t="s">
        <v>1250</v>
      </c>
      <c r="C843" s="13" t="s">
        <v>2194</v>
      </c>
      <c r="D843" s="13" t="s">
        <v>11</v>
      </c>
      <c r="E843" s="13" t="s">
        <v>13</v>
      </c>
      <c r="F843" s="13" t="s">
        <v>1249</v>
      </c>
      <c r="G843" s="13" t="s">
        <v>1974</v>
      </c>
      <c r="H843" s="13" t="s">
        <v>1975</v>
      </c>
      <c r="I843" s="13">
        <v>2025</v>
      </c>
      <c r="J843" s="13" t="s">
        <v>2195</v>
      </c>
      <c r="K843" s="13">
        <v>6</v>
      </c>
      <c r="L843" s="13">
        <v>37</v>
      </c>
      <c r="M843" s="13" t="s">
        <v>2196</v>
      </c>
    </row>
    <row r="844" spans="2:13" ht="15.75" hidden="1" outlineLevel="1" x14ac:dyDescent="0.3">
      <c r="B844" s="13" t="s">
        <v>1252</v>
      </c>
      <c r="C844" s="13" t="s">
        <v>2197</v>
      </c>
      <c r="D844" s="13" t="s">
        <v>11</v>
      </c>
      <c r="E844" s="13" t="s">
        <v>13</v>
      </c>
      <c r="F844" s="13" t="s">
        <v>1249</v>
      </c>
      <c r="G844" s="13" t="s">
        <v>1974</v>
      </c>
      <c r="H844" s="13" t="s">
        <v>1975</v>
      </c>
      <c r="I844" s="13">
        <v>2025</v>
      </c>
      <c r="J844" s="13" t="s">
        <v>2198</v>
      </c>
      <c r="K844" s="13">
        <v>6</v>
      </c>
      <c r="L844" s="13">
        <v>38</v>
      </c>
      <c r="M844" s="13" t="s">
        <v>2199</v>
      </c>
    </row>
    <row r="845" spans="2:13" ht="15.75" hidden="1" outlineLevel="1" x14ac:dyDescent="0.3">
      <c r="B845" s="13" t="s">
        <v>1254</v>
      </c>
      <c r="C845" s="13" t="s">
        <v>2200</v>
      </c>
      <c r="D845" s="13" t="s">
        <v>11</v>
      </c>
      <c r="E845" s="13" t="s">
        <v>13</v>
      </c>
      <c r="F845" s="13" t="s">
        <v>1256</v>
      </c>
      <c r="G845" s="13" t="s">
        <v>1974</v>
      </c>
      <c r="H845" s="13" t="s">
        <v>1975</v>
      </c>
      <c r="I845" s="13">
        <v>2025</v>
      </c>
      <c r="J845" s="13" t="s">
        <v>2201</v>
      </c>
      <c r="K845" s="13">
        <v>6</v>
      </c>
      <c r="L845" s="13">
        <v>39</v>
      </c>
      <c r="M845" s="13" t="s">
        <v>2202</v>
      </c>
    </row>
    <row r="846" spans="2:13" ht="15.75" hidden="1" outlineLevel="1" x14ac:dyDescent="0.3">
      <c r="B846" s="13" t="s">
        <v>1257</v>
      </c>
      <c r="C846" s="13" t="s">
        <v>2203</v>
      </c>
      <c r="D846" s="13" t="s">
        <v>11</v>
      </c>
      <c r="E846" s="13" t="s">
        <v>13</v>
      </c>
      <c r="F846" s="13" t="s">
        <v>1259</v>
      </c>
      <c r="G846" s="13" t="s">
        <v>1974</v>
      </c>
      <c r="H846" s="13" t="s">
        <v>1975</v>
      </c>
      <c r="I846" s="13">
        <v>2025</v>
      </c>
      <c r="J846" s="13" t="s">
        <v>2204</v>
      </c>
      <c r="K846" s="13">
        <v>6</v>
      </c>
      <c r="L846" s="13">
        <v>40</v>
      </c>
      <c r="M846" s="13" t="s">
        <v>2205</v>
      </c>
    </row>
    <row r="847" spans="2:13" ht="15.75" hidden="1" outlineLevel="1" x14ac:dyDescent="0.3">
      <c r="B847" s="13" t="s">
        <v>1263</v>
      </c>
      <c r="C847" s="13" t="s">
        <v>2206</v>
      </c>
      <c r="D847" s="13" t="s">
        <v>11</v>
      </c>
      <c r="E847" s="13" t="s">
        <v>13</v>
      </c>
      <c r="F847" s="13" t="s">
        <v>1265</v>
      </c>
      <c r="G847" s="13" t="s">
        <v>1974</v>
      </c>
      <c r="H847" s="13" t="s">
        <v>1975</v>
      </c>
      <c r="I847" s="13">
        <v>2025</v>
      </c>
      <c r="J847" s="13" t="s">
        <v>2207</v>
      </c>
      <c r="K847" s="13">
        <v>6</v>
      </c>
      <c r="L847" s="13">
        <v>42</v>
      </c>
      <c r="M847" s="13" t="s">
        <v>2208</v>
      </c>
    </row>
    <row r="848" spans="2:13" ht="15.75" hidden="1" outlineLevel="1" x14ac:dyDescent="0.3">
      <c r="B848" s="13" t="s">
        <v>1269</v>
      </c>
      <c r="C848" s="13" t="s">
        <v>2209</v>
      </c>
      <c r="D848" s="13" t="s">
        <v>11</v>
      </c>
      <c r="E848" s="13" t="s">
        <v>13</v>
      </c>
      <c r="F848" s="13" t="s">
        <v>1268</v>
      </c>
      <c r="G848" s="13" t="s">
        <v>1974</v>
      </c>
      <c r="H848" s="13" t="s">
        <v>1975</v>
      </c>
      <c r="I848" s="13">
        <v>2025</v>
      </c>
      <c r="J848" s="13" t="s">
        <v>2210</v>
      </c>
      <c r="K848" s="13">
        <v>6</v>
      </c>
      <c r="L848" s="13">
        <v>45</v>
      </c>
      <c r="M848" s="13" t="s">
        <v>2211</v>
      </c>
    </row>
    <row r="849" spans="2:13" ht="15.75" hidden="1" outlineLevel="1" x14ac:dyDescent="0.3">
      <c r="B849" s="13" t="s">
        <v>1275</v>
      </c>
      <c r="C849" s="13" t="s">
        <v>2212</v>
      </c>
      <c r="D849" s="13" t="s">
        <v>11</v>
      </c>
      <c r="E849" s="13" t="s">
        <v>13</v>
      </c>
      <c r="F849" s="13" t="s">
        <v>1268</v>
      </c>
      <c r="G849" s="13" t="s">
        <v>1974</v>
      </c>
      <c r="H849" s="13" t="s">
        <v>1975</v>
      </c>
      <c r="I849" s="13">
        <v>2025</v>
      </c>
      <c r="J849" s="13" t="s">
        <v>2213</v>
      </c>
      <c r="K849" s="13">
        <v>6</v>
      </c>
      <c r="L849" s="13">
        <v>48</v>
      </c>
      <c r="M849" s="13" t="s">
        <v>2214</v>
      </c>
    </row>
    <row r="850" spans="2:13" ht="15.75" hidden="1" outlineLevel="1" x14ac:dyDescent="0.3">
      <c r="B850" s="13" t="s">
        <v>1277</v>
      </c>
      <c r="C850" s="13" t="s">
        <v>2215</v>
      </c>
      <c r="D850" s="13" t="s">
        <v>11</v>
      </c>
      <c r="E850" s="13" t="s">
        <v>13</v>
      </c>
      <c r="F850" s="13" t="s">
        <v>1268</v>
      </c>
      <c r="G850" s="13" t="s">
        <v>1974</v>
      </c>
      <c r="H850" s="13" t="s">
        <v>1975</v>
      </c>
      <c r="I850" s="13">
        <v>2025</v>
      </c>
      <c r="J850" s="13" t="s">
        <v>2216</v>
      </c>
      <c r="K850" s="13">
        <v>6</v>
      </c>
      <c r="L850" s="13">
        <v>49</v>
      </c>
      <c r="M850" s="13" t="s">
        <v>2217</v>
      </c>
    </row>
    <row r="851" spans="2:13" ht="15.75" hidden="1" outlineLevel="1" x14ac:dyDescent="0.3">
      <c r="B851" s="13" t="s">
        <v>1285</v>
      </c>
      <c r="C851" s="13" t="s">
        <v>2218</v>
      </c>
      <c r="D851" s="13" t="s">
        <v>11</v>
      </c>
      <c r="E851" s="13" t="s">
        <v>13</v>
      </c>
      <c r="F851" s="13" t="s">
        <v>1287</v>
      </c>
      <c r="G851" s="13" t="s">
        <v>1974</v>
      </c>
      <c r="H851" s="13" t="s">
        <v>1975</v>
      </c>
      <c r="I851" s="13">
        <v>2025</v>
      </c>
      <c r="J851" s="13" t="s">
        <v>2219</v>
      </c>
      <c r="K851" s="13">
        <v>6</v>
      </c>
      <c r="L851" s="13">
        <v>52</v>
      </c>
      <c r="M851" s="13" t="s">
        <v>2220</v>
      </c>
    </row>
    <row r="852" spans="2:13" ht="15.75" hidden="1" outlineLevel="1" x14ac:dyDescent="0.3">
      <c r="B852" s="13" t="s">
        <v>1291</v>
      </c>
      <c r="C852" s="13" t="s">
        <v>2221</v>
      </c>
      <c r="D852" s="13" t="s">
        <v>11</v>
      </c>
      <c r="E852" s="13" t="s">
        <v>13</v>
      </c>
      <c r="F852" s="13" t="s">
        <v>1293</v>
      </c>
      <c r="G852" s="13" t="s">
        <v>1974</v>
      </c>
      <c r="H852" s="13" t="s">
        <v>1975</v>
      </c>
      <c r="I852" s="13">
        <v>2025</v>
      </c>
      <c r="J852" s="13" t="s">
        <v>2222</v>
      </c>
      <c r="K852" s="13">
        <v>6</v>
      </c>
      <c r="L852" s="13">
        <v>54</v>
      </c>
      <c r="M852" s="13" t="s">
        <v>2223</v>
      </c>
    </row>
    <row r="853" spans="2:13" ht="15.75" hidden="1" outlineLevel="1" x14ac:dyDescent="0.3">
      <c r="B853" s="13" t="s">
        <v>1294</v>
      </c>
      <c r="C853" s="13" t="s">
        <v>2224</v>
      </c>
      <c r="D853" s="13" t="s">
        <v>11</v>
      </c>
      <c r="E853" s="13" t="s">
        <v>13</v>
      </c>
      <c r="F853" s="13" t="s">
        <v>1296</v>
      </c>
      <c r="G853" s="13" t="s">
        <v>1974</v>
      </c>
      <c r="H853" s="13" t="s">
        <v>1975</v>
      </c>
      <c r="I853" s="13">
        <v>2025</v>
      </c>
      <c r="J853" s="13" t="s">
        <v>2225</v>
      </c>
      <c r="K853" s="13">
        <v>6</v>
      </c>
      <c r="L853" s="13">
        <v>56</v>
      </c>
      <c r="M853" s="13" t="s">
        <v>2226</v>
      </c>
    </row>
    <row r="854" spans="2:13" ht="15.75" hidden="1" outlineLevel="1" x14ac:dyDescent="0.3">
      <c r="B854" s="13" t="s">
        <v>1297</v>
      </c>
      <c r="C854" s="13" t="s">
        <v>2227</v>
      </c>
      <c r="D854" s="13" t="s">
        <v>11</v>
      </c>
      <c r="E854" s="13" t="s">
        <v>13</v>
      </c>
      <c r="F854" s="13" t="s">
        <v>1299</v>
      </c>
      <c r="G854" s="13" t="s">
        <v>1974</v>
      </c>
      <c r="H854" s="13" t="s">
        <v>1975</v>
      </c>
      <c r="I854" s="13">
        <v>2025</v>
      </c>
      <c r="J854" s="13" t="s">
        <v>2228</v>
      </c>
      <c r="K854" s="13">
        <v>6</v>
      </c>
      <c r="L854" s="13">
        <v>59</v>
      </c>
      <c r="M854" s="13" t="s">
        <v>2229</v>
      </c>
    </row>
    <row r="855" spans="2:13" ht="15.75" hidden="1" outlineLevel="1" x14ac:dyDescent="0.3">
      <c r="B855" s="13" t="s">
        <v>1303</v>
      </c>
      <c r="C855" s="13" t="s">
        <v>2230</v>
      </c>
      <c r="D855" s="13" t="s">
        <v>11</v>
      </c>
      <c r="E855" s="13" t="s">
        <v>13</v>
      </c>
      <c r="F855" s="13" t="s">
        <v>1299</v>
      </c>
      <c r="G855" s="13" t="s">
        <v>1974</v>
      </c>
      <c r="H855" s="13" t="s">
        <v>1975</v>
      </c>
      <c r="I855" s="13">
        <v>2025</v>
      </c>
      <c r="J855" s="13" t="s">
        <v>2231</v>
      </c>
      <c r="K855" s="13">
        <v>6</v>
      </c>
      <c r="L855" s="13">
        <v>60</v>
      </c>
      <c r="M855" s="13" t="s">
        <v>2232</v>
      </c>
    </row>
    <row r="856" spans="2:13" ht="15.75" hidden="1" outlineLevel="1" x14ac:dyDescent="0.3">
      <c r="B856" s="13" t="s">
        <v>1305</v>
      </c>
      <c r="C856" s="13" t="s">
        <v>2233</v>
      </c>
      <c r="D856" s="13" t="s">
        <v>11</v>
      </c>
      <c r="E856" s="13" t="s">
        <v>13</v>
      </c>
      <c r="F856" s="13" t="s">
        <v>1299</v>
      </c>
      <c r="G856" s="13" t="s">
        <v>1974</v>
      </c>
      <c r="H856" s="13" t="s">
        <v>1975</v>
      </c>
      <c r="I856" s="13">
        <v>2025</v>
      </c>
      <c r="J856" s="13" t="s">
        <v>2234</v>
      </c>
      <c r="K856" s="13">
        <v>6</v>
      </c>
      <c r="L856" s="13">
        <v>61</v>
      </c>
      <c r="M856" s="13" t="s">
        <v>2235</v>
      </c>
    </row>
    <row r="857" spans="2:13" ht="15.75" hidden="1" outlineLevel="1" x14ac:dyDescent="0.3">
      <c r="B857" s="13" t="s">
        <v>1307</v>
      </c>
      <c r="C857" s="13" t="s">
        <v>2236</v>
      </c>
      <c r="D857" s="13" t="s">
        <v>11</v>
      </c>
      <c r="E857" s="13" t="s">
        <v>13</v>
      </c>
      <c r="F857" s="13" t="s">
        <v>1309</v>
      </c>
      <c r="G857" s="13" t="s">
        <v>1974</v>
      </c>
      <c r="H857" s="13" t="s">
        <v>1975</v>
      </c>
      <c r="I857" s="13">
        <v>2025</v>
      </c>
      <c r="J857" s="13" t="s">
        <v>2237</v>
      </c>
      <c r="K857" s="13">
        <v>6</v>
      </c>
      <c r="L857" s="13">
        <v>65</v>
      </c>
      <c r="M857" s="13" t="s">
        <v>2238</v>
      </c>
    </row>
    <row r="858" spans="2:13" ht="15.75" hidden="1" outlineLevel="1" x14ac:dyDescent="0.3">
      <c r="B858" s="13" t="s">
        <v>1339</v>
      </c>
      <c r="C858" s="13" t="s">
        <v>2239</v>
      </c>
      <c r="D858" s="13" t="s">
        <v>11</v>
      </c>
      <c r="E858" s="13" t="s">
        <v>13</v>
      </c>
      <c r="F858" s="13" t="s">
        <v>1341</v>
      </c>
      <c r="G858" s="13" t="s">
        <v>1974</v>
      </c>
      <c r="H858" s="13" t="s">
        <v>1975</v>
      </c>
      <c r="I858" s="13">
        <v>2025</v>
      </c>
      <c r="J858" s="13" t="s">
        <v>2240</v>
      </c>
      <c r="K858" s="13">
        <v>6</v>
      </c>
      <c r="L858" s="13">
        <v>89</v>
      </c>
      <c r="M858" s="13" t="s">
        <v>2241</v>
      </c>
    </row>
    <row r="859" spans="2:13" ht="15.75" hidden="1" outlineLevel="1" x14ac:dyDescent="0.3">
      <c r="B859" s="13" t="s">
        <v>1344</v>
      </c>
      <c r="C859" s="13" t="s">
        <v>2242</v>
      </c>
      <c r="D859" s="13" t="s">
        <v>11</v>
      </c>
      <c r="E859" s="13" t="s">
        <v>13</v>
      </c>
      <c r="F859" s="13" t="s">
        <v>1341</v>
      </c>
      <c r="G859" s="13" t="s">
        <v>1974</v>
      </c>
      <c r="H859" s="13" t="s">
        <v>1975</v>
      </c>
      <c r="I859" s="13">
        <v>2025</v>
      </c>
      <c r="J859" s="13" t="s">
        <v>2243</v>
      </c>
      <c r="K859" s="13">
        <v>6</v>
      </c>
      <c r="L859" s="13">
        <v>90</v>
      </c>
      <c r="M859" s="13" t="s">
        <v>2244</v>
      </c>
    </row>
    <row r="860" spans="2:13" ht="15.75" hidden="1" outlineLevel="1" x14ac:dyDescent="0.3">
      <c r="B860" s="13" t="s">
        <v>1353</v>
      </c>
      <c r="C860" s="13" t="s">
        <v>2245</v>
      </c>
      <c r="D860" s="13" t="s">
        <v>11</v>
      </c>
      <c r="E860" s="13" t="s">
        <v>13</v>
      </c>
      <c r="F860" s="13" t="s">
        <v>1348</v>
      </c>
      <c r="G860" s="13" t="s">
        <v>1974</v>
      </c>
      <c r="H860" s="13" t="s">
        <v>1975</v>
      </c>
      <c r="I860" s="13">
        <v>2025</v>
      </c>
      <c r="J860" s="13" t="s">
        <v>2246</v>
      </c>
      <c r="K860" s="13">
        <v>6</v>
      </c>
      <c r="L860" s="13">
        <v>95</v>
      </c>
      <c r="M860" s="13" t="s">
        <v>2247</v>
      </c>
    </row>
    <row r="861" spans="2:13" ht="15.75" hidden="1" outlineLevel="1" x14ac:dyDescent="0.3">
      <c r="B861" s="13" t="s">
        <v>1355</v>
      </c>
      <c r="C861" s="13" t="s">
        <v>2248</v>
      </c>
      <c r="D861" s="13" t="s">
        <v>11</v>
      </c>
      <c r="E861" s="13" t="s">
        <v>13</v>
      </c>
      <c r="F861" s="13" t="s">
        <v>1348</v>
      </c>
      <c r="G861" s="13" t="s">
        <v>1974</v>
      </c>
      <c r="H861" s="13" t="s">
        <v>1975</v>
      </c>
      <c r="I861" s="13">
        <v>2025</v>
      </c>
      <c r="J861" s="13" t="s">
        <v>2249</v>
      </c>
      <c r="K861" s="13">
        <v>6</v>
      </c>
      <c r="L861" s="13">
        <v>96</v>
      </c>
      <c r="M861" s="13" t="s">
        <v>2250</v>
      </c>
    </row>
    <row r="862" spans="2:13" ht="15.75" hidden="1" outlineLevel="1" x14ac:dyDescent="0.3">
      <c r="B862" s="13" t="s">
        <v>1357</v>
      </c>
      <c r="C862" s="13" t="s">
        <v>2251</v>
      </c>
      <c r="D862" s="13" t="s">
        <v>11</v>
      </c>
      <c r="E862" s="13" t="s">
        <v>13</v>
      </c>
      <c r="F862" s="13" t="s">
        <v>1348</v>
      </c>
      <c r="G862" s="13" t="s">
        <v>1974</v>
      </c>
      <c r="H862" s="13" t="s">
        <v>1975</v>
      </c>
      <c r="I862" s="13">
        <v>2025</v>
      </c>
      <c r="J862" s="13" t="s">
        <v>2252</v>
      </c>
      <c r="K862" s="13">
        <v>6</v>
      </c>
      <c r="L862" s="13">
        <v>97</v>
      </c>
      <c r="M862" s="13" t="s">
        <v>2253</v>
      </c>
    </row>
    <row r="863" spans="2:13" ht="15.75" hidden="1" outlineLevel="1" x14ac:dyDescent="0.3">
      <c r="B863" s="13" t="s">
        <v>1359</v>
      </c>
      <c r="C863" s="13" t="s">
        <v>2254</v>
      </c>
      <c r="D863" s="13" t="s">
        <v>11</v>
      </c>
      <c r="E863" s="13" t="s">
        <v>13</v>
      </c>
      <c r="F863" s="13" t="s">
        <v>958</v>
      </c>
      <c r="G863" s="13" t="s">
        <v>1974</v>
      </c>
      <c r="H863" s="13" t="s">
        <v>1975</v>
      </c>
      <c r="I863" s="13">
        <v>2025</v>
      </c>
      <c r="J863" s="13" t="s">
        <v>2255</v>
      </c>
      <c r="K863" s="13">
        <v>6</v>
      </c>
      <c r="L863" s="13">
        <v>98</v>
      </c>
      <c r="M863" s="13" t="s">
        <v>2256</v>
      </c>
    </row>
    <row r="864" spans="2:13" ht="15.75" hidden="1" outlineLevel="1" x14ac:dyDescent="0.3">
      <c r="B864" s="13" t="s">
        <v>1361</v>
      </c>
      <c r="C864" s="13" t="s">
        <v>2257</v>
      </c>
      <c r="D864" s="13" t="s">
        <v>11</v>
      </c>
      <c r="E864" s="13" t="s">
        <v>13</v>
      </c>
      <c r="F864" s="13" t="s">
        <v>958</v>
      </c>
      <c r="G864" s="13" t="s">
        <v>1974</v>
      </c>
      <c r="H864" s="13" t="s">
        <v>1975</v>
      </c>
      <c r="I864" s="13">
        <v>2025</v>
      </c>
      <c r="J864" s="13" t="s">
        <v>2258</v>
      </c>
      <c r="K864" s="13">
        <v>6</v>
      </c>
      <c r="L864" s="13">
        <v>99</v>
      </c>
      <c r="M864" s="13" t="s">
        <v>2259</v>
      </c>
    </row>
    <row r="865" spans="2:13" ht="15.75" hidden="1" outlineLevel="1" x14ac:dyDescent="0.3">
      <c r="B865" s="13" t="s">
        <v>956</v>
      </c>
      <c r="C865" s="13" t="s">
        <v>2260</v>
      </c>
      <c r="D865" s="13" t="s">
        <v>11</v>
      </c>
      <c r="E865" s="13" t="s">
        <v>13</v>
      </c>
      <c r="F865" s="13" t="s">
        <v>958</v>
      </c>
      <c r="G865" s="13" t="s">
        <v>1974</v>
      </c>
      <c r="H865" s="13" t="s">
        <v>1975</v>
      </c>
      <c r="I865" s="13">
        <v>2025</v>
      </c>
      <c r="J865" s="13" t="s">
        <v>2261</v>
      </c>
      <c r="K865" s="13">
        <v>6</v>
      </c>
      <c r="L865" s="13">
        <v>100</v>
      </c>
      <c r="M865" s="13" t="s">
        <v>2262</v>
      </c>
    </row>
    <row r="866" spans="2:13" ht="15.75" hidden="1" outlineLevel="1" x14ac:dyDescent="0.3">
      <c r="B866" s="13" t="s">
        <v>959</v>
      </c>
      <c r="C866" s="13" t="s">
        <v>2263</v>
      </c>
      <c r="D866" s="13" t="s">
        <v>11</v>
      </c>
      <c r="E866" s="13" t="s">
        <v>13</v>
      </c>
      <c r="F866" s="13" t="s">
        <v>961</v>
      </c>
      <c r="G866" s="13" t="s">
        <v>1974</v>
      </c>
      <c r="H866" s="13" t="s">
        <v>1975</v>
      </c>
      <c r="I866" s="13">
        <v>2025</v>
      </c>
      <c r="J866" s="13" t="s">
        <v>2264</v>
      </c>
      <c r="K866" s="13">
        <v>6</v>
      </c>
      <c r="L866" s="13">
        <v>104</v>
      </c>
      <c r="M866" s="13" t="s">
        <v>2265</v>
      </c>
    </row>
    <row r="867" spans="2:13" ht="15.75" hidden="1" outlineLevel="1" x14ac:dyDescent="0.3">
      <c r="B867" s="13" t="s">
        <v>962</v>
      </c>
      <c r="C867" s="13" t="s">
        <v>2266</v>
      </c>
      <c r="D867" s="13" t="s">
        <v>11</v>
      </c>
      <c r="E867" s="13" t="s">
        <v>13</v>
      </c>
      <c r="F867" s="13" t="s">
        <v>961</v>
      </c>
      <c r="G867" s="13" t="s">
        <v>1974</v>
      </c>
      <c r="H867" s="13" t="s">
        <v>1975</v>
      </c>
      <c r="I867" s="13">
        <v>2025</v>
      </c>
      <c r="J867" s="13" t="s">
        <v>2267</v>
      </c>
      <c r="K867" s="13">
        <v>6</v>
      </c>
      <c r="L867" s="13">
        <v>105</v>
      </c>
      <c r="M867" s="13" t="s">
        <v>2268</v>
      </c>
    </row>
    <row r="868" spans="2:13" ht="15.75" hidden="1" outlineLevel="1" x14ac:dyDescent="0.3">
      <c r="B868" s="13" t="s">
        <v>964</v>
      </c>
      <c r="C868" s="13" t="s">
        <v>2269</v>
      </c>
      <c r="D868" s="13" t="s">
        <v>11</v>
      </c>
      <c r="E868" s="13" t="s">
        <v>13</v>
      </c>
      <c r="F868" s="13" t="s">
        <v>961</v>
      </c>
      <c r="G868" s="13" t="s">
        <v>1974</v>
      </c>
      <c r="H868" s="13" t="s">
        <v>1975</v>
      </c>
      <c r="I868" s="13">
        <v>2025</v>
      </c>
      <c r="J868" s="13" t="s">
        <v>2270</v>
      </c>
      <c r="K868" s="13">
        <v>6</v>
      </c>
      <c r="L868" s="13">
        <v>106</v>
      </c>
      <c r="M868" s="13" t="s">
        <v>2271</v>
      </c>
    </row>
    <row r="869" spans="2:13" ht="15.75" hidden="1" outlineLevel="1" x14ac:dyDescent="0.3">
      <c r="B869" s="13" t="s">
        <v>966</v>
      </c>
      <c r="C869" s="13" t="s">
        <v>2272</v>
      </c>
      <c r="D869" s="13" t="s">
        <v>11</v>
      </c>
      <c r="E869" s="13" t="s">
        <v>13</v>
      </c>
      <c r="F869" s="13" t="s">
        <v>968</v>
      </c>
      <c r="G869" s="13" t="s">
        <v>1974</v>
      </c>
      <c r="H869" s="13" t="s">
        <v>1975</v>
      </c>
      <c r="I869" s="13">
        <v>2025</v>
      </c>
      <c r="J869" s="13" t="s">
        <v>2273</v>
      </c>
      <c r="K869" s="13">
        <v>6</v>
      </c>
      <c r="L869" s="13">
        <v>107</v>
      </c>
      <c r="M869" s="13" t="s">
        <v>2274</v>
      </c>
    </row>
    <row r="870" spans="2:13" ht="15.75" hidden="1" outlineLevel="1" x14ac:dyDescent="0.3">
      <c r="B870" s="13" t="s">
        <v>969</v>
      </c>
      <c r="C870" s="13" t="s">
        <v>2275</v>
      </c>
      <c r="D870" s="13" t="s">
        <v>11</v>
      </c>
      <c r="E870" s="13" t="s">
        <v>13</v>
      </c>
      <c r="F870" s="13" t="s">
        <v>968</v>
      </c>
      <c r="G870" s="13" t="s">
        <v>1974</v>
      </c>
      <c r="H870" s="13" t="s">
        <v>1975</v>
      </c>
      <c r="I870" s="13">
        <v>2025</v>
      </c>
      <c r="J870" s="13" t="s">
        <v>2276</v>
      </c>
      <c r="K870" s="13">
        <v>6</v>
      </c>
      <c r="L870" s="13">
        <v>108</v>
      </c>
      <c r="M870" s="13" t="s">
        <v>2277</v>
      </c>
    </row>
    <row r="871" spans="2:13" ht="15.75" hidden="1" outlineLevel="1" x14ac:dyDescent="0.3">
      <c r="B871" s="13" t="s">
        <v>971</v>
      </c>
      <c r="C871" s="13" t="s">
        <v>2278</v>
      </c>
      <c r="D871" s="13" t="s">
        <v>11</v>
      </c>
      <c r="E871" s="13" t="s">
        <v>13</v>
      </c>
      <c r="F871" s="13" t="s">
        <v>968</v>
      </c>
      <c r="G871" s="13" t="s">
        <v>1974</v>
      </c>
      <c r="H871" s="13" t="s">
        <v>1975</v>
      </c>
      <c r="I871" s="13">
        <v>2025</v>
      </c>
      <c r="J871" s="13" t="s">
        <v>2279</v>
      </c>
      <c r="K871" s="13">
        <v>6</v>
      </c>
      <c r="L871" s="13">
        <v>109</v>
      </c>
      <c r="M871" s="13" t="s">
        <v>2280</v>
      </c>
    </row>
    <row r="872" spans="2:13" ht="15.75" hidden="1" outlineLevel="1" x14ac:dyDescent="0.3">
      <c r="B872" s="13" t="s">
        <v>976</v>
      </c>
      <c r="C872" s="13" t="s">
        <v>2281</v>
      </c>
      <c r="D872" s="13" t="s">
        <v>11</v>
      </c>
      <c r="E872" s="13" t="s">
        <v>13</v>
      </c>
      <c r="F872" s="13" t="s">
        <v>978</v>
      </c>
      <c r="G872" s="13" t="s">
        <v>1974</v>
      </c>
      <c r="H872" s="13" t="s">
        <v>1975</v>
      </c>
      <c r="I872" s="13">
        <v>2025</v>
      </c>
      <c r="J872" s="13" t="s">
        <v>2282</v>
      </c>
      <c r="K872" s="13">
        <v>6</v>
      </c>
      <c r="L872" s="13">
        <v>111</v>
      </c>
      <c r="M872" s="13" t="s">
        <v>2283</v>
      </c>
    </row>
    <row r="873" spans="2:13" ht="15.75" hidden="1" outlineLevel="1" x14ac:dyDescent="0.3">
      <c r="B873" s="13" t="s">
        <v>979</v>
      </c>
      <c r="C873" s="13" t="s">
        <v>2284</v>
      </c>
      <c r="D873" s="13" t="s">
        <v>11</v>
      </c>
      <c r="E873" s="13" t="s">
        <v>13</v>
      </c>
      <c r="F873" s="13" t="s">
        <v>978</v>
      </c>
      <c r="G873" s="13" t="s">
        <v>1974</v>
      </c>
      <c r="H873" s="13" t="s">
        <v>1975</v>
      </c>
      <c r="I873" s="13">
        <v>2025</v>
      </c>
      <c r="J873" s="13" t="s">
        <v>2285</v>
      </c>
      <c r="K873" s="13">
        <v>6</v>
      </c>
      <c r="L873" s="13">
        <v>112</v>
      </c>
      <c r="M873" s="13" t="s">
        <v>2286</v>
      </c>
    </row>
    <row r="874" spans="2:13" ht="15.75" hidden="1" outlineLevel="1" x14ac:dyDescent="0.3">
      <c r="B874" s="13" t="s">
        <v>981</v>
      </c>
      <c r="C874" s="13" t="s">
        <v>2287</v>
      </c>
      <c r="D874" s="13" t="s">
        <v>11</v>
      </c>
      <c r="E874" s="13" t="s">
        <v>13</v>
      </c>
      <c r="F874" s="13" t="s">
        <v>983</v>
      </c>
      <c r="G874" s="13" t="s">
        <v>1974</v>
      </c>
      <c r="H874" s="13" t="s">
        <v>1975</v>
      </c>
      <c r="I874" s="13">
        <v>2025</v>
      </c>
      <c r="J874" s="13" t="s">
        <v>2288</v>
      </c>
      <c r="K874" s="13">
        <v>6</v>
      </c>
      <c r="L874" s="13">
        <v>113</v>
      </c>
      <c r="M874" s="13" t="s">
        <v>2289</v>
      </c>
    </row>
    <row r="875" spans="2:13" ht="15.75" hidden="1" outlineLevel="1" x14ac:dyDescent="0.3">
      <c r="B875" s="13" t="s">
        <v>984</v>
      </c>
      <c r="C875" s="13" t="s">
        <v>2290</v>
      </c>
      <c r="D875" s="13" t="s">
        <v>11</v>
      </c>
      <c r="E875" s="13" t="s">
        <v>13</v>
      </c>
      <c r="F875" s="13" t="s">
        <v>986</v>
      </c>
      <c r="G875" s="13" t="s">
        <v>1974</v>
      </c>
      <c r="H875" s="13" t="s">
        <v>1975</v>
      </c>
      <c r="I875" s="13">
        <v>2025</v>
      </c>
      <c r="J875" s="13" t="s">
        <v>2291</v>
      </c>
      <c r="K875" s="13">
        <v>6</v>
      </c>
      <c r="L875" s="13">
        <v>114</v>
      </c>
      <c r="M875" s="13" t="s">
        <v>2292</v>
      </c>
    </row>
    <row r="876" spans="2:13" ht="15.75" hidden="1" outlineLevel="1" x14ac:dyDescent="0.3">
      <c r="B876" s="13" t="s">
        <v>987</v>
      </c>
      <c r="C876" s="13" t="s">
        <v>2293</v>
      </c>
      <c r="D876" s="13" t="s">
        <v>11</v>
      </c>
      <c r="E876" s="13" t="s">
        <v>13</v>
      </c>
      <c r="F876" s="13" t="s">
        <v>986</v>
      </c>
      <c r="G876" s="13" t="s">
        <v>1974</v>
      </c>
      <c r="H876" s="13" t="s">
        <v>1975</v>
      </c>
      <c r="I876" s="13">
        <v>2025</v>
      </c>
      <c r="J876" s="13" t="s">
        <v>2294</v>
      </c>
      <c r="K876" s="13">
        <v>6</v>
      </c>
      <c r="L876" s="13">
        <v>115</v>
      </c>
      <c r="M876" s="13" t="s">
        <v>2295</v>
      </c>
    </row>
    <row r="877" spans="2:13" ht="15.75" hidden="1" outlineLevel="1" x14ac:dyDescent="0.3">
      <c r="B877" s="13" t="s">
        <v>989</v>
      </c>
      <c r="C877" s="13" t="s">
        <v>2296</v>
      </c>
      <c r="D877" s="13" t="s">
        <v>11</v>
      </c>
      <c r="E877" s="13" t="s">
        <v>13</v>
      </c>
      <c r="F877" s="13" t="s">
        <v>991</v>
      </c>
      <c r="G877" s="13" t="s">
        <v>1974</v>
      </c>
      <c r="H877" s="13" t="s">
        <v>1975</v>
      </c>
      <c r="I877" s="13">
        <v>2025</v>
      </c>
      <c r="J877" s="13" t="s">
        <v>2297</v>
      </c>
      <c r="K877" s="13">
        <v>6</v>
      </c>
      <c r="L877" s="13">
        <v>117</v>
      </c>
      <c r="M877" s="13" t="s">
        <v>2298</v>
      </c>
    </row>
    <row r="878" spans="2:13" ht="15.75" hidden="1" outlineLevel="1" x14ac:dyDescent="0.3">
      <c r="B878" s="13" t="s">
        <v>992</v>
      </c>
      <c r="C878" s="13" t="s">
        <v>2299</v>
      </c>
      <c r="D878" s="13" t="s">
        <v>11</v>
      </c>
      <c r="E878" s="13" t="s">
        <v>13</v>
      </c>
      <c r="F878" s="13" t="s">
        <v>994</v>
      </c>
      <c r="G878" s="13" t="s">
        <v>1974</v>
      </c>
      <c r="H878" s="13" t="s">
        <v>1975</v>
      </c>
      <c r="I878" s="13">
        <v>2025</v>
      </c>
      <c r="J878" s="13" t="s">
        <v>2300</v>
      </c>
      <c r="K878" s="13">
        <v>6</v>
      </c>
      <c r="L878" s="13">
        <v>118</v>
      </c>
      <c r="M878" s="13" t="s">
        <v>2301</v>
      </c>
    </row>
    <row r="879" spans="2:13" ht="15.75" hidden="1" outlineLevel="1" x14ac:dyDescent="0.3">
      <c r="B879" s="13" t="s">
        <v>998</v>
      </c>
      <c r="C879" s="13" t="s">
        <v>2302</v>
      </c>
      <c r="D879" s="13" t="s">
        <v>11</v>
      </c>
      <c r="E879" s="13" t="s">
        <v>13</v>
      </c>
      <c r="F879" s="13" t="s">
        <v>1000</v>
      </c>
      <c r="G879" s="13" t="s">
        <v>1974</v>
      </c>
      <c r="H879" s="13" t="s">
        <v>1975</v>
      </c>
      <c r="I879" s="13">
        <v>2025</v>
      </c>
      <c r="J879" s="13" t="s">
        <v>2303</v>
      </c>
      <c r="K879" s="13">
        <v>6</v>
      </c>
      <c r="L879" s="13">
        <v>120</v>
      </c>
      <c r="M879" s="13" t="s">
        <v>2304</v>
      </c>
    </row>
    <row r="880" spans="2:13" ht="15.75" hidden="1" outlineLevel="1" x14ac:dyDescent="0.3">
      <c r="B880" s="13" t="s">
        <v>1001</v>
      </c>
      <c r="C880" s="13" t="s">
        <v>2305</v>
      </c>
      <c r="D880" s="13" t="s">
        <v>11</v>
      </c>
      <c r="E880" s="13" t="s">
        <v>13</v>
      </c>
      <c r="F880" s="13" t="s">
        <v>1000</v>
      </c>
      <c r="G880" s="13" t="s">
        <v>1974</v>
      </c>
      <c r="H880" s="13" t="s">
        <v>1975</v>
      </c>
      <c r="I880" s="13">
        <v>2025</v>
      </c>
      <c r="J880" s="13" t="s">
        <v>2306</v>
      </c>
      <c r="K880" s="13">
        <v>6</v>
      </c>
      <c r="L880" s="13">
        <v>121</v>
      </c>
      <c r="M880" s="13" t="s">
        <v>2307</v>
      </c>
    </row>
    <row r="881" spans="2:13" ht="15.75" hidden="1" outlineLevel="1" x14ac:dyDescent="0.3">
      <c r="B881" s="13" t="s">
        <v>1005</v>
      </c>
      <c r="C881" s="13" t="s">
        <v>2308</v>
      </c>
      <c r="D881" s="13" t="s">
        <v>11</v>
      </c>
      <c r="E881" s="13" t="s">
        <v>13</v>
      </c>
      <c r="F881" s="13" t="s">
        <v>1007</v>
      </c>
      <c r="G881" s="13" t="s">
        <v>1974</v>
      </c>
      <c r="H881" s="13" t="s">
        <v>1975</v>
      </c>
      <c r="I881" s="13">
        <v>2025</v>
      </c>
      <c r="J881" s="13" t="s">
        <v>2309</v>
      </c>
      <c r="K881" s="13">
        <v>6</v>
      </c>
      <c r="L881" s="13">
        <v>123</v>
      </c>
      <c r="M881" s="13" t="s">
        <v>2310</v>
      </c>
    </row>
    <row r="882" spans="2:13" ht="15.75" hidden="1" outlineLevel="1" x14ac:dyDescent="0.3">
      <c r="B882" s="13" t="s">
        <v>1008</v>
      </c>
      <c r="C882" s="13" t="s">
        <v>2311</v>
      </c>
      <c r="D882" s="13" t="s">
        <v>11</v>
      </c>
      <c r="E882" s="13" t="s">
        <v>13</v>
      </c>
      <c r="F882" s="13" t="s">
        <v>1007</v>
      </c>
      <c r="G882" s="13" t="s">
        <v>1974</v>
      </c>
      <c r="H882" s="13" t="s">
        <v>1975</v>
      </c>
      <c r="I882" s="13">
        <v>2025</v>
      </c>
      <c r="J882" s="13" t="s">
        <v>2312</v>
      </c>
      <c r="K882" s="13">
        <v>6</v>
      </c>
      <c r="L882" s="13">
        <v>124</v>
      </c>
      <c r="M882" s="13" t="s">
        <v>2313</v>
      </c>
    </row>
    <row r="883" spans="2:13" ht="15.75" hidden="1" outlineLevel="1" x14ac:dyDescent="0.3">
      <c r="B883" s="13" t="s">
        <v>1010</v>
      </c>
      <c r="C883" s="13" t="s">
        <v>2314</v>
      </c>
      <c r="D883" s="13" t="s">
        <v>11</v>
      </c>
      <c r="E883" s="13" t="s">
        <v>13</v>
      </c>
      <c r="F883" s="13" t="s">
        <v>1012</v>
      </c>
      <c r="G883" s="13" t="s">
        <v>1974</v>
      </c>
      <c r="H883" s="13" t="s">
        <v>1975</v>
      </c>
      <c r="I883" s="13">
        <v>2025</v>
      </c>
      <c r="J883" s="13" t="s">
        <v>2315</v>
      </c>
      <c r="K883" s="13">
        <v>6</v>
      </c>
      <c r="L883" s="13">
        <v>125</v>
      </c>
      <c r="M883" s="13" t="s">
        <v>2316</v>
      </c>
    </row>
    <row r="884" spans="2:13" ht="15.75" hidden="1" outlineLevel="1" x14ac:dyDescent="0.3">
      <c r="B884" s="13" t="s">
        <v>1027</v>
      </c>
      <c r="C884" s="13" t="s">
        <v>2317</v>
      </c>
      <c r="D884" s="13" t="s">
        <v>11</v>
      </c>
      <c r="E884" s="13" t="s">
        <v>13</v>
      </c>
      <c r="F884" s="13" t="s">
        <v>1029</v>
      </c>
      <c r="G884" s="13" t="s">
        <v>1974</v>
      </c>
      <c r="H884" s="13" t="s">
        <v>1975</v>
      </c>
      <c r="I884" s="13">
        <v>2025</v>
      </c>
      <c r="J884" s="13" t="s">
        <v>2318</v>
      </c>
      <c r="K884" s="13">
        <v>6</v>
      </c>
      <c r="L884" s="13">
        <v>133</v>
      </c>
      <c r="M884" s="13" t="s">
        <v>2319</v>
      </c>
    </row>
    <row r="885" spans="2:13" ht="15.75" hidden="1" outlineLevel="1" x14ac:dyDescent="0.3">
      <c r="B885" s="13" t="s">
        <v>1030</v>
      </c>
      <c r="C885" s="13" t="s">
        <v>2320</v>
      </c>
      <c r="D885" s="13" t="s">
        <v>11</v>
      </c>
      <c r="E885" s="13" t="s">
        <v>13</v>
      </c>
      <c r="F885" s="13" t="s">
        <v>1032</v>
      </c>
      <c r="G885" s="13" t="s">
        <v>1974</v>
      </c>
      <c r="H885" s="13" t="s">
        <v>1975</v>
      </c>
      <c r="I885" s="13">
        <v>2025</v>
      </c>
      <c r="J885" s="13" t="s">
        <v>2321</v>
      </c>
      <c r="K885" s="13">
        <v>6</v>
      </c>
      <c r="L885" s="13">
        <v>134</v>
      </c>
      <c r="M885" s="13" t="s">
        <v>2322</v>
      </c>
    </row>
    <row r="886" spans="2:13" ht="15.75" hidden="1" outlineLevel="1" x14ac:dyDescent="0.3">
      <c r="B886" s="13" t="s">
        <v>1033</v>
      </c>
      <c r="C886" s="13" t="s">
        <v>2323</v>
      </c>
      <c r="D886" s="13" t="s">
        <v>11</v>
      </c>
      <c r="E886" s="13" t="s">
        <v>13</v>
      </c>
      <c r="F886" s="13" t="s">
        <v>1035</v>
      </c>
      <c r="G886" s="13" t="s">
        <v>1974</v>
      </c>
      <c r="H886" s="13" t="s">
        <v>1975</v>
      </c>
      <c r="I886" s="13">
        <v>2025</v>
      </c>
      <c r="J886" s="13" t="s">
        <v>2324</v>
      </c>
      <c r="K886" s="13">
        <v>6</v>
      </c>
      <c r="L886" s="13">
        <v>142</v>
      </c>
      <c r="M886" s="13" t="s">
        <v>2325</v>
      </c>
    </row>
    <row r="887" spans="2:13" ht="15.75" hidden="1" outlineLevel="1" x14ac:dyDescent="0.3">
      <c r="B887" s="13" t="s">
        <v>1036</v>
      </c>
      <c r="C887" s="13" t="s">
        <v>2326</v>
      </c>
      <c r="D887" s="13" t="s">
        <v>11</v>
      </c>
      <c r="E887" s="13" t="s">
        <v>13</v>
      </c>
      <c r="F887" s="13" t="s">
        <v>1038</v>
      </c>
      <c r="G887" s="13" t="s">
        <v>1974</v>
      </c>
      <c r="H887" s="13" t="s">
        <v>1975</v>
      </c>
      <c r="I887" s="13">
        <v>2025</v>
      </c>
      <c r="J887" s="13" t="s">
        <v>2327</v>
      </c>
      <c r="K887" s="13">
        <v>6</v>
      </c>
      <c r="L887" s="13">
        <v>143</v>
      </c>
      <c r="M887" s="13" t="s">
        <v>2328</v>
      </c>
    </row>
    <row r="888" spans="2:13" ht="15.75" hidden="1" outlineLevel="1" x14ac:dyDescent="0.3">
      <c r="B888" s="13" t="s">
        <v>1039</v>
      </c>
      <c r="C888" s="13" t="s">
        <v>2329</v>
      </c>
      <c r="D888" s="13" t="s">
        <v>11</v>
      </c>
      <c r="E888" s="13" t="s">
        <v>13</v>
      </c>
      <c r="F888" s="13" t="s">
        <v>1041</v>
      </c>
      <c r="G888" s="13" t="s">
        <v>1974</v>
      </c>
      <c r="H888" s="13" t="s">
        <v>1975</v>
      </c>
      <c r="I888" s="13">
        <v>2025</v>
      </c>
      <c r="J888" s="13" t="s">
        <v>2330</v>
      </c>
      <c r="K888" s="13">
        <v>6</v>
      </c>
      <c r="L888" s="13">
        <v>146</v>
      </c>
      <c r="M888" s="13" t="s">
        <v>2331</v>
      </c>
    </row>
    <row r="889" spans="2:13" ht="15.75" hidden="1" outlineLevel="1" x14ac:dyDescent="0.3">
      <c r="B889" s="13" t="s">
        <v>1042</v>
      </c>
      <c r="C889" s="13" t="s">
        <v>2332</v>
      </c>
      <c r="D889" s="13" t="s">
        <v>11</v>
      </c>
      <c r="E889" s="13" t="s">
        <v>13</v>
      </c>
      <c r="F889" s="13" t="s">
        <v>1041</v>
      </c>
      <c r="G889" s="13" t="s">
        <v>1974</v>
      </c>
      <c r="H889" s="13" t="s">
        <v>1975</v>
      </c>
      <c r="I889" s="13">
        <v>2025</v>
      </c>
      <c r="J889" s="13" t="s">
        <v>2333</v>
      </c>
      <c r="K889" s="13">
        <v>6</v>
      </c>
      <c r="L889" s="13">
        <v>147</v>
      </c>
      <c r="M889" s="13" t="s">
        <v>2334</v>
      </c>
    </row>
    <row r="890" spans="2:13" ht="15.75" hidden="1" outlineLevel="1" x14ac:dyDescent="0.3">
      <c r="B890" s="13" t="s">
        <v>1044</v>
      </c>
      <c r="C890" s="13" t="s">
        <v>2335</v>
      </c>
      <c r="D890" s="13" t="s">
        <v>11</v>
      </c>
      <c r="E890" s="13" t="s">
        <v>13</v>
      </c>
      <c r="F890" s="13" t="s">
        <v>1041</v>
      </c>
      <c r="G890" s="13" t="s">
        <v>1974</v>
      </c>
      <c r="H890" s="13" t="s">
        <v>1975</v>
      </c>
      <c r="I890" s="13">
        <v>2025</v>
      </c>
      <c r="J890" s="13" t="s">
        <v>2336</v>
      </c>
      <c r="K890" s="13">
        <v>6</v>
      </c>
      <c r="L890" s="13">
        <v>148</v>
      </c>
      <c r="M890" s="13" t="s">
        <v>2337</v>
      </c>
    </row>
    <row r="891" spans="2:13" ht="15.75" hidden="1" outlineLevel="1" x14ac:dyDescent="0.3">
      <c r="B891" s="13" t="s">
        <v>1052</v>
      </c>
      <c r="C891" s="13" t="s">
        <v>2338</v>
      </c>
      <c r="D891" s="13" t="s">
        <v>11</v>
      </c>
      <c r="E891" s="13" t="s">
        <v>13</v>
      </c>
      <c r="F891" s="13" t="s">
        <v>1054</v>
      </c>
      <c r="G891" s="13" t="s">
        <v>1974</v>
      </c>
      <c r="H891" s="13" t="s">
        <v>1975</v>
      </c>
      <c r="I891" s="13">
        <v>2025</v>
      </c>
      <c r="J891" s="13" t="s">
        <v>2339</v>
      </c>
      <c r="K891" s="13">
        <v>6</v>
      </c>
      <c r="L891" s="13">
        <v>151</v>
      </c>
      <c r="M891" s="13" t="s">
        <v>2340</v>
      </c>
    </row>
    <row r="892" spans="2:13" ht="15.75" hidden="1" outlineLevel="1" x14ac:dyDescent="0.3">
      <c r="B892" s="13" t="s">
        <v>1080</v>
      </c>
      <c r="C892" s="13" t="s">
        <v>2341</v>
      </c>
      <c r="D892" s="13" t="s">
        <v>11</v>
      </c>
      <c r="E892" s="13" t="s">
        <v>13</v>
      </c>
      <c r="F892" s="13" t="s">
        <v>1082</v>
      </c>
      <c r="G892" s="13" t="s">
        <v>1974</v>
      </c>
      <c r="H892" s="13" t="s">
        <v>1975</v>
      </c>
      <c r="I892" s="13">
        <v>2025</v>
      </c>
      <c r="J892" s="13" t="s">
        <v>2342</v>
      </c>
      <c r="K892" s="13">
        <v>6</v>
      </c>
      <c r="L892" s="13">
        <v>169</v>
      </c>
      <c r="M892" s="13" t="s">
        <v>2343</v>
      </c>
    </row>
    <row r="893" spans="2:13" ht="15.75" hidden="1" outlineLevel="1" x14ac:dyDescent="0.3">
      <c r="B893" s="13" t="s">
        <v>1086</v>
      </c>
      <c r="C893" s="13" t="s">
        <v>2344</v>
      </c>
      <c r="D893" s="13" t="s">
        <v>11</v>
      </c>
      <c r="E893" s="13" t="s">
        <v>13</v>
      </c>
      <c r="F893" s="13" t="s">
        <v>1088</v>
      </c>
      <c r="G893" s="13" t="s">
        <v>1974</v>
      </c>
      <c r="H893" s="13" t="s">
        <v>1975</v>
      </c>
      <c r="I893" s="13">
        <v>2025</v>
      </c>
      <c r="J893" s="13" t="s">
        <v>2345</v>
      </c>
      <c r="K893" s="13">
        <v>6</v>
      </c>
      <c r="L893" s="13">
        <v>171</v>
      </c>
      <c r="M893" s="13" t="s">
        <v>2346</v>
      </c>
    </row>
    <row r="894" spans="2:13" ht="15.75" hidden="1" outlineLevel="1" x14ac:dyDescent="0.3">
      <c r="B894" s="13" t="s">
        <v>1121</v>
      </c>
      <c r="C894" s="13" t="s">
        <v>2347</v>
      </c>
      <c r="D894" s="13" t="s">
        <v>11</v>
      </c>
      <c r="E894" s="13" t="s">
        <v>13</v>
      </c>
      <c r="F894" s="13" t="s">
        <v>1123</v>
      </c>
      <c r="G894" s="13" t="s">
        <v>1974</v>
      </c>
      <c r="H894" s="13" t="s">
        <v>1975</v>
      </c>
      <c r="I894" s="13">
        <v>2025</v>
      </c>
      <c r="J894" s="13" t="s">
        <v>2348</v>
      </c>
      <c r="K894" s="13">
        <v>6</v>
      </c>
      <c r="L894" s="13">
        <v>210</v>
      </c>
      <c r="M894" s="13" t="s">
        <v>2349</v>
      </c>
    </row>
    <row r="895" spans="2:13" ht="15.75" hidden="1" outlineLevel="1" x14ac:dyDescent="0.3">
      <c r="B895" s="13" t="s">
        <v>1132</v>
      </c>
      <c r="C895" s="13" t="s">
        <v>2350</v>
      </c>
      <c r="D895" s="13" t="s">
        <v>11</v>
      </c>
      <c r="E895" s="13" t="s">
        <v>13</v>
      </c>
      <c r="F895" s="13" t="s">
        <v>1134</v>
      </c>
      <c r="G895" s="13" t="s">
        <v>1974</v>
      </c>
      <c r="H895" s="13" t="s">
        <v>1975</v>
      </c>
      <c r="I895" s="13">
        <v>2025</v>
      </c>
      <c r="J895" s="13" t="s">
        <v>2351</v>
      </c>
      <c r="K895" s="13">
        <v>6</v>
      </c>
      <c r="L895" s="13">
        <v>226</v>
      </c>
      <c r="M895" s="13" t="s">
        <v>2352</v>
      </c>
    </row>
    <row r="896" spans="2:13" ht="15.75" hidden="1" outlineLevel="1" x14ac:dyDescent="0.3">
      <c r="B896" s="13" t="s">
        <v>1138</v>
      </c>
      <c r="C896" s="13" t="s">
        <v>2353</v>
      </c>
      <c r="D896" s="13" t="s">
        <v>11</v>
      </c>
      <c r="E896" s="13" t="s">
        <v>13</v>
      </c>
      <c r="F896" s="13" t="s">
        <v>1140</v>
      </c>
      <c r="G896" s="13" t="s">
        <v>1974</v>
      </c>
      <c r="H896" s="13" t="s">
        <v>1975</v>
      </c>
      <c r="I896" s="13">
        <v>2025</v>
      </c>
      <c r="J896" s="13" t="s">
        <v>2354</v>
      </c>
      <c r="K896" s="13">
        <v>6</v>
      </c>
      <c r="L896" s="13">
        <v>238</v>
      </c>
      <c r="M896" s="13" t="s">
        <v>2355</v>
      </c>
    </row>
    <row r="897" spans="2:13" ht="15.75" hidden="1" outlineLevel="1" x14ac:dyDescent="0.3">
      <c r="B897" s="13" t="s">
        <v>1141</v>
      </c>
      <c r="C897" s="13" t="s">
        <v>2356</v>
      </c>
      <c r="D897" s="13" t="s">
        <v>11</v>
      </c>
      <c r="E897" s="13" t="s">
        <v>13</v>
      </c>
      <c r="F897" s="13" t="s">
        <v>1143</v>
      </c>
      <c r="G897" s="13" t="s">
        <v>1974</v>
      </c>
      <c r="H897" s="13" t="s">
        <v>1975</v>
      </c>
      <c r="I897" s="13">
        <v>2025</v>
      </c>
      <c r="J897" s="13" t="s">
        <v>2357</v>
      </c>
      <c r="K897" s="13">
        <v>6</v>
      </c>
      <c r="L897" s="13">
        <v>239</v>
      </c>
      <c r="M897" s="13" t="s">
        <v>2358</v>
      </c>
    </row>
    <row r="898" spans="2:13" ht="15.75" hidden="1" outlineLevel="1" x14ac:dyDescent="0.3">
      <c r="B898" s="13" t="s">
        <v>1144</v>
      </c>
      <c r="C898" s="13" t="s">
        <v>2359</v>
      </c>
      <c r="D898" s="13" t="s">
        <v>11</v>
      </c>
      <c r="E898" s="13" t="s">
        <v>13</v>
      </c>
      <c r="F898" s="13" t="s">
        <v>1146</v>
      </c>
      <c r="G898" s="13" t="s">
        <v>1974</v>
      </c>
      <c r="H898" s="13" t="s">
        <v>1975</v>
      </c>
      <c r="I898" s="13">
        <v>2025</v>
      </c>
      <c r="J898" s="13" t="s">
        <v>2360</v>
      </c>
      <c r="K898" s="13">
        <v>6</v>
      </c>
      <c r="L898" s="13">
        <v>241</v>
      </c>
      <c r="M898" s="13" t="s">
        <v>2361</v>
      </c>
    </row>
    <row r="899" spans="2:13" ht="15.75" hidden="1" outlineLevel="1" x14ac:dyDescent="0.3">
      <c r="B899" s="13" t="s">
        <v>1147</v>
      </c>
      <c r="C899" s="13" t="s">
        <v>2362</v>
      </c>
      <c r="D899" s="13" t="s">
        <v>11</v>
      </c>
      <c r="E899" s="13" t="s">
        <v>13</v>
      </c>
      <c r="F899" s="13" t="s">
        <v>1149</v>
      </c>
      <c r="G899" s="13" t="s">
        <v>1974</v>
      </c>
      <c r="H899" s="13" t="s">
        <v>1975</v>
      </c>
      <c r="I899" s="13">
        <v>2025</v>
      </c>
      <c r="J899" s="13" t="s">
        <v>2363</v>
      </c>
      <c r="K899" s="13">
        <v>6</v>
      </c>
      <c r="L899" s="13">
        <v>243</v>
      </c>
      <c r="M899" s="13" t="s">
        <v>2364</v>
      </c>
    </row>
    <row r="900" spans="2:13" ht="15.75" hidden="1" outlineLevel="1" x14ac:dyDescent="0.3">
      <c r="B900" s="13" t="s">
        <v>1150</v>
      </c>
      <c r="C900" s="13" t="s">
        <v>2365</v>
      </c>
      <c r="D900" s="13" t="s">
        <v>11</v>
      </c>
      <c r="E900" s="13" t="s">
        <v>13</v>
      </c>
      <c r="F900" s="13" t="s">
        <v>1152</v>
      </c>
      <c r="G900" s="13" t="s">
        <v>1974</v>
      </c>
      <c r="H900" s="13" t="s">
        <v>1975</v>
      </c>
      <c r="I900" s="13">
        <v>2025</v>
      </c>
      <c r="J900" s="13" t="s">
        <v>2366</v>
      </c>
      <c r="K900" s="13">
        <v>6</v>
      </c>
      <c r="L900" s="13">
        <v>244</v>
      </c>
      <c r="M900" s="13" t="s">
        <v>2367</v>
      </c>
    </row>
    <row r="901" spans="2:13" ht="15.75" hidden="1" outlineLevel="1" x14ac:dyDescent="0.3">
      <c r="B901" s="13" t="s">
        <v>1153</v>
      </c>
      <c r="C901" s="13" t="s">
        <v>2368</v>
      </c>
      <c r="D901" s="13" t="s">
        <v>11</v>
      </c>
      <c r="E901" s="13" t="s">
        <v>13</v>
      </c>
      <c r="F901" s="13" t="s">
        <v>1155</v>
      </c>
      <c r="G901" s="13" t="s">
        <v>1974</v>
      </c>
      <c r="H901" s="13" t="s">
        <v>1975</v>
      </c>
      <c r="I901" s="13">
        <v>2025</v>
      </c>
      <c r="J901" s="13" t="s">
        <v>2369</v>
      </c>
      <c r="K901" s="13">
        <v>6</v>
      </c>
      <c r="L901" s="13">
        <v>246</v>
      </c>
      <c r="M901" s="13" t="s">
        <v>2370</v>
      </c>
    </row>
    <row r="902" spans="2:13" ht="15.75" hidden="1" outlineLevel="1" x14ac:dyDescent="0.3">
      <c r="B902" s="13" t="s">
        <v>1156</v>
      </c>
      <c r="C902" s="13" t="s">
        <v>2371</v>
      </c>
      <c r="D902" s="13" t="s">
        <v>11</v>
      </c>
      <c r="E902" s="13" t="s">
        <v>13</v>
      </c>
      <c r="F902" s="13" t="s">
        <v>1158</v>
      </c>
      <c r="G902" s="13" t="s">
        <v>1974</v>
      </c>
      <c r="H902" s="13" t="s">
        <v>1975</v>
      </c>
      <c r="I902" s="13">
        <v>2025</v>
      </c>
      <c r="J902" s="13" t="s">
        <v>2372</v>
      </c>
      <c r="K902" s="13">
        <v>6</v>
      </c>
      <c r="L902" s="13">
        <v>247</v>
      </c>
      <c r="M902" s="13" t="s">
        <v>2373</v>
      </c>
    </row>
    <row r="903" spans="2:13" ht="15.75" hidden="1" outlineLevel="1" x14ac:dyDescent="0.3">
      <c r="B903" s="13" t="s">
        <v>1159</v>
      </c>
      <c r="C903" s="13" t="s">
        <v>2374</v>
      </c>
      <c r="D903" s="13" t="s">
        <v>11</v>
      </c>
      <c r="E903" s="13" t="s">
        <v>13</v>
      </c>
      <c r="F903" s="13" t="s">
        <v>1161</v>
      </c>
      <c r="G903" s="13" t="s">
        <v>1974</v>
      </c>
      <c r="H903" s="13" t="s">
        <v>1975</v>
      </c>
      <c r="I903" s="13">
        <v>2025</v>
      </c>
      <c r="J903" s="13" t="s">
        <v>2375</v>
      </c>
      <c r="K903" s="13">
        <v>6</v>
      </c>
      <c r="L903" s="13">
        <v>248</v>
      </c>
      <c r="M903" s="13" t="s">
        <v>2376</v>
      </c>
    </row>
    <row r="904" spans="2:13" ht="15.75" hidden="1" outlineLevel="1" x14ac:dyDescent="0.3">
      <c r="B904" s="13" t="s">
        <v>1162</v>
      </c>
      <c r="C904" s="13" t="s">
        <v>2377</v>
      </c>
      <c r="D904" s="13" t="s">
        <v>11</v>
      </c>
      <c r="E904" s="13" t="s">
        <v>13</v>
      </c>
      <c r="F904" s="13" t="s">
        <v>1149</v>
      </c>
      <c r="G904" s="13" t="s">
        <v>1974</v>
      </c>
      <c r="H904" s="13" t="s">
        <v>1975</v>
      </c>
      <c r="I904" s="13">
        <v>2025</v>
      </c>
      <c r="J904" s="13" t="s">
        <v>2378</v>
      </c>
      <c r="K904" s="13">
        <v>6</v>
      </c>
      <c r="L904" s="13">
        <v>249</v>
      </c>
      <c r="M904" s="13" t="s">
        <v>2379</v>
      </c>
    </row>
    <row r="905" spans="2:13" ht="15.75" hidden="1" outlineLevel="1" x14ac:dyDescent="0.3">
      <c r="B905" s="13" t="s">
        <v>1167</v>
      </c>
      <c r="C905" s="13" t="s">
        <v>2380</v>
      </c>
      <c r="D905" s="13" t="s">
        <v>11</v>
      </c>
      <c r="E905" s="13" t="s">
        <v>13</v>
      </c>
      <c r="F905" s="13" t="s">
        <v>1169</v>
      </c>
      <c r="G905" s="13" t="s">
        <v>1974</v>
      </c>
      <c r="H905" s="13" t="s">
        <v>1975</v>
      </c>
      <c r="I905" s="13">
        <v>2025</v>
      </c>
      <c r="J905" s="13" t="s">
        <v>2381</v>
      </c>
      <c r="K905" s="13">
        <v>6</v>
      </c>
      <c r="L905" s="13">
        <v>252</v>
      </c>
      <c r="M905" s="13" t="s">
        <v>2382</v>
      </c>
    </row>
    <row r="906" spans="2:13" ht="15.75" hidden="1" outlineLevel="1" x14ac:dyDescent="0.3">
      <c r="B906" s="13" t="s">
        <v>1170</v>
      </c>
      <c r="C906" s="13" t="s">
        <v>2383</v>
      </c>
      <c r="D906" s="13" t="s">
        <v>11</v>
      </c>
      <c r="E906" s="13" t="s">
        <v>13</v>
      </c>
      <c r="F906" s="13" t="s">
        <v>1172</v>
      </c>
      <c r="G906" s="13" t="s">
        <v>1974</v>
      </c>
      <c r="H906" s="13" t="s">
        <v>1975</v>
      </c>
      <c r="I906" s="13">
        <v>2025</v>
      </c>
      <c r="J906" s="13" t="s">
        <v>2384</v>
      </c>
      <c r="K906" s="13">
        <v>6</v>
      </c>
      <c r="L906" s="13">
        <v>254</v>
      </c>
      <c r="M906" s="13" t="s">
        <v>2385</v>
      </c>
    </row>
    <row r="907" spans="2:13" ht="15.75" hidden="1" outlineLevel="1" x14ac:dyDescent="0.3">
      <c r="B907" s="13" t="s">
        <v>1173</v>
      </c>
      <c r="C907" s="13" t="s">
        <v>2386</v>
      </c>
      <c r="D907" s="13" t="s">
        <v>11</v>
      </c>
      <c r="E907" s="13" t="s">
        <v>13</v>
      </c>
      <c r="F907" s="13" t="s">
        <v>1175</v>
      </c>
      <c r="G907" s="13" t="s">
        <v>1974</v>
      </c>
      <c r="H907" s="13" t="s">
        <v>1975</v>
      </c>
      <c r="I907" s="13">
        <v>2025</v>
      </c>
      <c r="J907" s="13" t="s">
        <v>2387</v>
      </c>
      <c r="K907" s="13">
        <v>6</v>
      </c>
      <c r="L907" s="13">
        <v>255</v>
      </c>
      <c r="M907" s="13" t="s">
        <v>2388</v>
      </c>
    </row>
    <row r="908" spans="2:13" ht="15.75" hidden="1" outlineLevel="1" x14ac:dyDescent="0.3">
      <c r="B908" s="13" t="s">
        <v>1184</v>
      </c>
      <c r="C908" s="13" t="s">
        <v>2389</v>
      </c>
      <c r="D908" s="13" t="s">
        <v>11</v>
      </c>
      <c r="E908" s="13" t="s">
        <v>13</v>
      </c>
      <c r="F908" s="13" t="s">
        <v>1186</v>
      </c>
      <c r="G908" s="13" t="s">
        <v>1974</v>
      </c>
      <c r="H908" s="13" t="s">
        <v>1975</v>
      </c>
      <c r="I908" s="13">
        <v>2025</v>
      </c>
      <c r="J908" s="13" t="s">
        <v>2390</v>
      </c>
      <c r="K908" s="13">
        <v>6</v>
      </c>
      <c r="L908" s="13">
        <v>261</v>
      </c>
      <c r="M908" s="13" t="s">
        <v>2391</v>
      </c>
    </row>
    <row r="909" spans="2:13" ht="15.75" hidden="1" outlineLevel="1" x14ac:dyDescent="0.3">
      <c r="B909" s="13" t="s">
        <v>1189</v>
      </c>
      <c r="C909" s="13" t="s">
        <v>2392</v>
      </c>
      <c r="D909" s="13" t="s">
        <v>11</v>
      </c>
      <c r="E909" s="13" t="s">
        <v>13</v>
      </c>
      <c r="F909" s="13" t="s">
        <v>1191</v>
      </c>
      <c r="G909" s="13" t="s">
        <v>1974</v>
      </c>
      <c r="H909" s="13" t="s">
        <v>1975</v>
      </c>
      <c r="I909" s="13">
        <v>2025</v>
      </c>
      <c r="J909" s="13" t="s">
        <v>2393</v>
      </c>
      <c r="K909" s="13">
        <v>6</v>
      </c>
      <c r="L909" s="13">
        <v>263</v>
      </c>
      <c r="M909" s="13" t="s">
        <v>2394</v>
      </c>
    </row>
    <row r="910" spans="2:13" ht="15.75" hidden="1" outlineLevel="1" x14ac:dyDescent="0.3">
      <c r="B910" s="13" t="s">
        <v>1192</v>
      </c>
      <c r="C910" s="13" t="s">
        <v>2395</v>
      </c>
      <c r="D910" s="13" t="s">
        <v>11</v>
      </c>
      <c r="E910" s="13" t="s">
        <v>13</v>
      </c>
      <c r="F910" s="13" t="s">
        <v>1194</v>
      </c>
      <c r="G910" s="13" t="s">
        <v>1974</v>
      </c>
      <c r="H910" s="13" t="s">
        <v>1975</v>
      </c>
      <c r="I910" s="13">
        <v>2025</v>
      </c>
      <c r="J910" s="13" t="s">
        <v>2396</v>
      </c>
      <c r="K910" s="13">
        <v>6</v>
      </c>
      <c r="L910" s="13">
        <v>268</v>
      </c>
      <c r="M910" s="13" t="s">
        <v>2397</v>
      </c>
    </row>
    <row r="911" spans="2:13" ht="15.75" hidden="1" outlineLevel="1" x14ac:dyDescent="0.3">
      <c r="B911" s="13" t="s">
        <v>1197</v>
      </c>
      <c r="C911" s="13" t="s">
        <v>2398</v>
      </c>
      <c r="D911" s="13" t="s">
        <v>11</v>
      </c>
      <c r="E911" s="13" t="s">
        <v>13</v>
      </c>
      <c r="F911" s="13" t="s">
        <v>1199</v>
      </c>
      <c r="G911" s="13" t="s">
        <v>1974</v>
      </c>
      <c r="H911" s="13" t="s">
        <v>1975</v>
      </c>
      <c r="I911" s="13">
        <v>2025</v>
      </c>
      <c r="J911" s="13" t="s">
        <v>2399</v>
      </c>
      <c r="K911" s="13">
        <v>6</v>
      </c>
      <c r="L911" s="13">
        <v>271</v>
      </c>
      <c r="M911" s="13" t="s">
        <v>2400</v>
      </c>
    </row>
    <row r="912" spans="2:13" ht="15.75" hidden="1" outlineLevel="1" x14ac:dyDescent="0.3">
      <c r="B912" s="13" t="s">
        <v>1200</v>
      </c>
      <c r="C912" s="13" t="s">
        <v>2401</v>
      </c>
      <c r="D912" s="13" t="s">
        <v>11</v>
      </c>
      <c r="E912" s="13" t="s">
        <v>13</v>
      </c>
      <c r="F912" s="13" t="s">
        <v>1202</v>
      </c>
      <c r="G912" s="13" t="s">
        <v>1974</v>
      </c>
      <c r="H912" s="13" t="s">
        <v>1975</v>
      </c>
      <c r="I912" s="13">
        <v>2025</v>
      </c>
      <c r="J912" s="13" t="s">
        <v>2402</v>
      </c>
      <c r="K912" s="13">
        <v>6</v>
      </c>
      <c r="L912" s="13">
        <v>274</v>
      </c>
      <c r="M912" s="13" t="s">
        <v>2403</v>
      </c>
    </row>
    <row r="913" spans="2:13" ht="15.75" hidden="1" outlineLevel="1" x14ac:dyDescent="0.3">
      <c r="B913" s="13" t="s">
        <v>1203</v>
      </c>
      <c r="C913" s="13" t="s">
        <v>2404</v>
      </c>
      <c r="D913" s="13" t="s">
        <v>11</v>
      </c>
      <c r="E913" s="13" t="s">
        <v>13</v>
      </c>
      <c r="F913" s="13" t="s">
        <v>1202</v>
      </c>
      <c r="G913" s="13" t="s">
        <v>1974</v>
      </c>
      <c r="H913" s="13" t="s">
        <v>1975</v>
      </c>
      <c r="I913" s="13">
        <v>2025</v>
      </c>
      <c r="J913" s="13" t="s">
        <v>2405</v>
      </c>
      <c r="K913" s="13">
        <v>6</v>
      </c>
      <c r="L913" s="13">
        <v>275</v>
      </c>
      <c r="M913" s="13" t="s">
        <v>2406</v>
      </c>
    </row>
    <row r="914" spans="2:13" ht="15.75" hidden="1" outlineLevel="1" x14ac:dyDescent="0.3">
      <c r="B914" s="13" t="s">
        <v>1205</v>
      </c>
      <c r="C914" s="13" t="s">
        <v>2407</v>
      </c>
      <c r="D914" s="13" t="s">
        <v>11</v>
      </c>
      <c r="E914" s="13" t="s">
        <v>13</v>
      </c>
      <c r="F914" s="13" t="s">
        <v>1207</v>
      </c>
      <c r="G914" s="13" t="s">
        <v>1974</v>
      </c>
      <c r="H914" s="13" t="s">
        <v>1975</v>
      </c>
      <c r="I914" s="13">
        <v>2025</v>
      </c>
      <c r="J914" s="13" t="s">
        <v>2408</v>
      </c>
      <c r="K914" s="13">
        <v>6</v>
      </c>
      <c r="L914" s="13">
        <v>277</v>
      </c>
      <c r="M914" s="13" t="s">
        <v>2409</v>
      </c>
    </row>
    <row r="915" spans="2:13" ht="15.75" hidden="1" outlineLevel="1" x14ac:dyDescent="0.3">
      <c r="B915" s="13" t="s">
        <v>1208</v>
      </c>
      <c r="C915" s="13" t="s">
        <v>2410</v>
      </c>
      <c r="D915" s="13" t="s">
        <v>11</v>
      </c>
      <c r="E915" s="13" t="s">
        <v>13</v>
      </c>
      <c r="F915" s="13" t="s">
        <v>1210</v>
      </c>
      <c r="G915" s="13" t="s">
        <v>1974</v>
      </c>
      <c r="H915" s="13" t="s">
        <v>1975</v>
      </c>
      <c r="I915" s="13">
        <v>2025</v>
      </c>
      <c r="J915" s="13" t="s">
        <v>2411</v>
      </c>
      <c r="K915" s="13">
        <v>6</v>
      </c>
      <c r="L915" s="13">
        <v>278</v>
      </c>
      <c r="M915" s="13" t="s">
        <v>2412</v>
      </c>
    </row>
    <row r="916" spans="2:13" ht="15.75" hidden="1" outlineLevel="1" x14ac:dyDescent="0.3">
      <c r="B916" s="13" t="s">
        <v>1211</v>
      </c>
      <c r="C916" s="13" t="s">
        <v>2413</v>
      </c>
      <c r="D916" s="13" t="s">
        <v>11</v>
      </c>
      <c r="E916" s="13" t="s">
        <v>13</v>
      </c>
      <c r="F916" s="13" t="s">
        <v>1213</v>
      </c>
      <c r="G916" s="13" t="s">
        <v>1974</v>
      </c>
      <c r="H916" s="13" t="s">
        <v>1975</v>
      </c>
      <c r="I916" s="13">
        <v>2025</v>
      </c>
      <c r="J916" s="13" t="s">
        <v>2414</v>
      </c>
      <c r="K916" s="13">
        <v>6</v>
      </c>
      <c r="L916" s="13">
        <v>279</v>
      </c>
      <c r="M916" s="13" t="s">
        <v>2415</v>
      </c>
    </row>
    <row r="917" spans="2:13" ht="15.75" hidden="1" outlineLevel="1" x14ac:dyDescent="0.3">
      <c r="B917" s="13" t="s">
        <v>1214</v>
      </c>
      <c r="C917" s="13" t="s">
        <v>2416</v>
      </c>
      <c r="D917" s="13" t="s">
        <v>11</v>
      </c>
      <c r="E917" s="13" t="s">
        <v>13</v>
      </c>
      <c r="F917" s="13" t="s">
        <v>1216</v>
      </c>
      <c r="G917" s="13" t="s">
        <v>1974</v>
      </c>
      <c r="H917" s="13" t="s">
        <v>1975</v>
      </c>
      <c r="I917" s="13">
        <v>2025</v>
      </c>
      <c r="J917" s="13" t="s">
        <v>2417</v>
      </c>
      <c r="K917" s="13">
        <v>6</v>
      </c>
      <c r="L917" s="13">
        <v>281</v>
      </c>
      <c r="M917" s="13" t="s">
        <v>2418</v>
      </c>
    </row>
    <row r="918" spans="2:13" ht="15.75" hidden="1" outlineLevel="1" x14ac:dyDescent="0.3">
      <c r="B918" s="13" t="s">
        <v>1217</v>
      </c>
      <c r="C918" s="13" t="s">
        <v>2419</v>
      </c>
      <c r="D918" s="13" t="s">
        <v>11</v>
      </c>
      <c r="E918" s="13" t="s">
        <v>13</v>
      </c>
      <c r="F918" s="13" t="s">
        <v>1219</v>
      </c>
      <c r="G918" s="13" t="s">
        <v>1974</v>
      </c>
      <c r="H918" s="13" t="s">
        <v>1975</v>
      </c>
      <c r="I918" s="13">
        <v>2025</v>
      </c>
      <c r="J918" s="13" t="s">
        <v>2420</v>
      </c>
      <c r="K918" s="13">
        <v>6</v>
      </c>
      <c r="L918" s="13">
        <v>283</v>
      </c>
      <c r="M918" s="13" t="s">
        <v>2421</v>
      </c>
    </row>
    <row r="919" spans="2:13" ht="15.75" hidden="1" outlineLevel="1" x14ac:dyDescent="0.3">
      <c r="B919" s="13" t="s">
        <v>1220</v>
      </c>
      <c r="C919" s="13" t="s">
        <v>2422</v>
      </c>
      <c r="D919" s="13" t="s">
        <v>11</v>
      </c>
      <c r="E919" s="13" t="s">
        <v>13</v>
      </c>
      <c r="F919" s="13" t="s">
        <v>1219</v>
      </c>
      <c r="G919" s="13" t="s">
        <v>1974</v>
      </c>
      <c r="H919" s="13" t="s">
        <v>1975</v>
      </c>
      <c r="I919" s="13">
        <v>2025</v>
      </c>
      <c r="J919" s="13" t="s">
        <v>2423</v>
      </c>
      <c r="K919" s="13">
        <v>6</v>
      </c>
      <c r="L919" s="13">
        <v>284</v>
      </c>
      <c r="M919" s="13" t="s">
        <v>2424</v>
      </c>
    </row>
    <row r="920" spans="2:13" ht="15.75" hidden="1" outlineLevel="1" x14ac:dyDescent="0.3">
      <c r="B920" s="13" t="s">
        <v>1222</v>
      </c>
      <c r="C920" s="13" t="s">
        <v>2425</v>
      </c>
      <c r="D920" s="13" t="s">
        <v>11</v>
      </c>
      <c r="E920" s="13" t="s">
        <v>13</v>
      </c>
      <c r="F920" s="13" t="s">
        <v>1219</v>
      </c>
      <c r="G920" s="13" t="s">
        <v>1974</v>
      </c>
      <c r="H920" s="13" t="s">
        <v>1975</v>
      </c>
      <c r="I920" s="13">
        <v>2025</v>
      </c>
      <c r="J920" s="13" t="s">
        <v>2426</v>
      </c>
      <c r="K920" s="13">
        <v>6</v>
      </c>
      <c r="L920" s="13">
        <v>285</v>
      </c>
      <c r="M920" s="13" t="s">
        <v>2427</v>
      </c>
    </row>
    <row r="921" spans="2:13" ht="15.75" hidden="1" outlineLevel="1" x14ac:dyDescent="0.3">
      <c r="B921" s="13" t="s">
        <v>1224</v>
      </c>
      <c r="C921" s="13" t="s">
        <v>2428</v>
      </c>
      <c r="D921" s="13" t="s">
        <v>11</v>
      </c>
      <c r="E921" s="13" t="s">
        <v>13</v>
      </c>
      <c r="F921" s="13" t="s">
        <v>1226</v>
      </c>
      <c r="G921" s="13" t="s">
        <v>1974</v>
      </c>
      <c r="H921" s="13" t="s">
        <v>1975</v>
      </c>
      <c r="I921" s="13">
        <v>2025</v>
      </c>
      <c r="J921" s="13" t="s">
        <v>2429</v>
      </c>
      <c r="K921" s="13">
        <v>6</v>
      </c>
      <c r="L921" s="13">
        <v>287</v>
      </c>
      <c r="M921" s="13" t="s">
        <v>2430</v>
      </c>
    </row>
    <row r="922" spans="2:13" ht="15.75" hidden="1" outlineLevel="1" x14ac:dyDescent="0.3">
      <c r="B922" s="13" t="s">
        <v>1227</v>
      </c>
      <c r="C922" s="13" t="s">
        <v>2431</v>
      </c>
      <c r="D922" s="13" t="s">
        <v>11</v>
      </c>
      <c r="E922" s="13" t="s">
        <v>13</v>
      </c>
      <c r="F922" s="13" t="s">
        <v>1229</v>
      </c>
      <c r="G922" s="13" t="s">
        <v>1974</v>
      </c>
      <c r="H922" s="13" t="s">
        <v>1975</v>
      </c>
      <c r="I922" s="13">
        <v>2025</v>
      </c>
      <c r="J922" s="13" t="s">
        <v>2432</v>
      </c>
      <c r="K922" s="13">
        <v>6</v>
      </c>
      <c r="L922" s="13">
        <v>288</v>
      </c>
      <c r="M922" s="13" t="s">
        <v>2433</v>
      </c>
    </row>
    <row r="923" spans="2:13" ht="15.75" hidden="1" outlineLevel="1" x14ac:dyDescent="0.3">
      <c r="B923" s="13" t="s">
        <v>1233</v>
      </c>
      <c r="C923" s="13" t="s">
        <v>2434</v>
      </c>
      <c r="D923" s="13" t="s">
        <v>11</v>
      </c>
      <c r="E923" s="13" t="s">
        <v>13</v>
      </c>
      <c r="F923" s="13" t="s">
        <v>1235</v>
      </c>
      <c r="G923" s="13" t="s">
        <v>1974</v>
      </c>
      <c r="H923" s="13" t="s">
        <v>1975</v>
      </c>
      <c r="I923" s="13">
        <v>2025</v>
      </c>
      <c r="J923" s="13" t="s">
        <v>2435</v>
      </c>
      <c r="K923" s="13">
        <v>6</v>
      </c>
      <c r="L923" s="13">
        <v>292</v>
      </c>
      <c r="M923" s="13" t="s">
        <v>2436</v>
      </c>
    </row>
    <row r="924" spans="2:13" hidden="1" outlineLevel="1" x14ac:dyDescent="0.25"/>
    <row r="925" spans="2:13" collapsed="1" x14ac:dyDescent="0.25"/>
    <row r="926" spans="2:13" ht="21" collapsed="1" x14ac:dyDescent="0.4">
      <c r="B926" s="22" t="s">
        <v>2498</v>
      </c>
      <c r="C926" s="9"/>
      <c r="D926" s="9"/>
      <c r="E926" s="9"/>
    </row>
    <row r="927" spans="2:13" hidden="1" outlineLevel="1" x14ac:dyDescent="0.25"/>
    <row r="928" spans="2:13" s="13" customFormat="1" hidden="1" outlineLevel="1" x14ac:dyDescent="0.3">
      <c r="B928" s="20" t="s">
        <v>0</v>
      </c>
      <c r="C928" s="20" t="s">
        <v>1</v>
      </c>
      <c r="D928" s="20" t="s">
        <v>2</v>
      </c>
      <c r="E928" s="20" t="s">
        <v>3</v>
      </c>
      <c r="F928" s="20" t="s">
        <v>4</v>
      </c>
      <c r="G928" s="20" t="s">
        <v>5</v>
      </c>
      <c r="H928" s="20" t="s">
        <v>6</v>
      </c>
      <c r="I928" s="20" t="s">
        <v>7</v>
      </c>
    </row>
    <row r="929" spans="2:9" s="13" customFormat="1" hidden="1" outlineLevel="1" x14ac:dyDescent="0.3">
      <c r="B929" s="13" t="s">
        <v>8</v>
      </c>
      <c r="C929" s="13" t="s">
        <v>9</v>
      </c>
      <c r="D929" s="13">
        <v>-6</v>
      </c>
      <c r="E929" s="13" t="s">
        <v>10</v>
      </c>
      <c r="F929" s="13" t="s">
        <v>11</v>
      </c>
      <c r="G929" s="13" t="s">
        <v>12</v>
      </c>
      <c r="H929" s="13" t="s">
        <v>13</v>
      </c>
      <c r="I929" s="13" t="s">
        <v>14</v>
      </c>
    </row>
    <row r="930" spans="2:9" s="13" customFormat="1" hidden="1" outlineLevel="1" x14ac:dyDescent="0.3">
      <c r="B930" s="13" t="s">
        <v>15</v>
      </c>
      <c r="C930" s="13" t="s">
        <v>16</v>
      </c>
      <c r="D930" s="13">
        <v>-6</v>
      </c>
      <c r="E930" s="13" t="s">
        <v>10</v>
      </c>
      <c r="F930" s="13" t="s">
        <v>11</v>
      </c>
      <c r="G930" s="13" t="s">
        <v>12</v>
      </c>
      <c r="H930" s="13" t="s">
        <v>13</v>
      </c>
      <c r="I930" s="13" t="s">
        <v>17</v>
      </c>
    </row>
    <row r="931" spans="2:9" s="13" customFormat="1" hidden="1" outlineLevel="1" x14ac:dyDescent="0.3">
      <c r="B931" s="13" t="s">
        <v>18</v>
      </c>
      <c r="C931" s="13" t="s">
        <v>19</v>
      </c>
      <c r="D931" s="13">
        <v>-6</v>
      </c>
      <c r="E931" s="13" t="s">
        <v>10</v>
      </c>
      <c r="F931" s="13" t="s">
        <v>11</v>
      </c>
      <c r="G931" s="13" t="s">
        <v>12</v>
      </c>
      <c r="H931" s="13" t="s">
        <v>13</v>
      </c>
      <c r="I931" s="13" t="s">
        <v>20</v>
      </c>
    </row>
    <row r="932" spans="2:9" s="13" customFormat="1" hidden="1" outlineLevel="1" x14ac:dyDescent="0.3">
      <c r="B932" s="13" t="s">
        <v>21</v>
      </c>
      <c r="C932" s="13" t="s">
        <v>22</v>
      </c>
      <c r="D932" s="13">
        <v>-6</v>
      </c>
      <c r="E932" s="13" t="s">
        <v>10</v>
      </c>
      <c r="F932" s="13" t="s">
        <v>11</v>
      </c>
      <c r="G932" s="13" t="s">
        <v>12</v>
      </c>
      <c r="H932" s="13" t="s">
        <v>13</v>
      </c>
      <c r="I932" s="13" t="s">
        <v>23</v>
      </c>
    </row>
    <row r="933" spans="2:9" s="13" customFormat="1" hidden="1" outlineLevel="1" x14ac:dyDescent="0.3">
      <c r="B933" s="13" t="s">
        <v>24</v>
      </c>
      <c r="C933" s="13" t="s">
        <v>25</v>
      </c>
      <c r="D933" s="13">
        <v>-6</v>
      </c>
      <c r="E933" s="13" t="s">
        <v>10</v>
      </c>
      <c r="F933" s="13" t="s">
        <v>11</v>
      </c>
      <c r="G933" s="13" t="s">
        <v>12</v>
      </c>
      <c r="H933" s="13" t="s">
        <v>13</v>
      </c>
      <c r="I933" s="13" t="s">
        <v>26</v>
      </c>
    </row>
    <row r="934" spans="2:9" s="13" customFormat="1" hidden="1" outlineLevel="1" x14ac:dyDescent="0.3">
      <c r="B934" s="13" t="s">
        <v>27</v>
      </c>
      <c r="C934" s="13" t="s">
        <v>28</v>
      </c>
      <c r="D934" s="13">
        <v>-6</v>
      </c>
      <c r="E934" s="13" t="s">
        <v>10</v>
      </c>
      <c r="F934" s="13" t="s">
        <v>11</v>
      </c>
      <c r="G934" s="13" t="s">
        <v>12</v>
      </c>
      <c r="H934" s="13" t="s">
        <v>13</v>
      </c>
      <c r="I934" s="13" t="s">
        <v>29</v>
      </c>
    </row>
    <row r="935" spans="2:9" s="13" customFormat="1" hidden="1" outlineLevel="1" x14ac:dyDescent="0.3">
      <c r="B935" s="13" t="s">
        <v>30</v>
      </c>
      <c r="C935" s="13" t="s">
        <v>31</v>
      </c>
      <c r="D935" s="13">
        <v>-6</v>
      </c>
      <c r="E935" s="13" t="s">
        <v>10</v>
      </c>
      <c r="F935" s="13" t="s">
        <v>11</v>
      </c>
      <c r="G935" s="13" t="s">
        <v>12</v>
      </c>
      <c r="H935" s="13" t="s">
        <v>13</v>
      </c>
      <c r="I935" s="13" t="s">
        <v>32</v>
      </c>
    </row>
    <row r="936" spans="2:9" s="13" customFormat="1" hidden="1" outlineLevel="1" x14ac:dyDescent="0.3">
      <c r="B936" s="13" t="s">
        <v>33</v>
      </c>
      <c r="C936" s="13" t="s">
        <v>34</v>
      </c>
      <c r="D936" s="13">
        <v>-6</v>
      </c>
      <c r="E936" s="13" t="s">
        <v>10</v>
      </c>
      <c r="F936" s="13" t="s">
        <v>11</v>
      </c>
      <c r="G936" s="13" t="s">
        <v>12</v>
      </c>
      <c r="H936" s="13" t="s">
        <v>13</v>
      </c>
      <c r="I936" s="13" t="s">
        <v>35</v>
      </c>
    </row>
    <row r="937" spans="2:9" s="13" customFormat="1" hidden="1" outlineLevel="1" x14ac:dyDescent="0.3">
      <c r="B937" s="13" t="s">
        <v>36</v>
      </c>
      <c r="C937" s="13" t="s">
        <v>37</v>
      </c>
      <c r="D937" s="13">
        <v>-6</v>
      </c>
      <c r="E937" s="13" t="s">
        <v>10</v>
      </c>
      <c r="F937" s="13" t="s">
        <v>11</v>
      </c>
      <c r="G937" s="13" t="s">
        <v>12</v>
      </c>
      <c r="H937" s="13" t="s">
        <v>13</v>
      </c>
      <c r="I937" s="13" t="s">
        <v>38</v>
      </c>
    </row>
    <row r="938" spans="2:9" s="13" customFormat="1" hidden="1" outlineLevel="1" x14ac:dyDescent="0.3">
      <c r="B938" s="13" t="s">
        <v>39</v>
      </c>
      <c r="C938" s="13" t="s">
        <v>40</v>
      </c>
      <c r="D938" s="13">
        <v>-6</v>
      </c>
      <c r="E938" s="13" t="s">
        <v>10</v>
      </c>
      <c r="F938" s="13" t="s">
        <v>11</v>
      </c>
      <c r="G938" s="13" t="s">
        <v>12</v>
      </c>
      <c r="H938" s="13" t="s">
        <v>13</v>
      </c>
      <c r="I938" s="13" t="s">
        <v>41</v>
      </c>
    </row>
    <row r="939" spans="2:9" s="13" customFormat="1" hidden="1" outlineLevel="1" x14ac:dyDescent="0.3">
      <c r="B939" s="13" t="s">
        <v>42</v>
      </c>
      <c r="C939" s="13" t="s">
        <v>43</v>
      </c>
      <c r="D939" s="13">
        <v>-6</v>
      </c>
      <c r="E939" s="13" t="s">
        <v>10</v>
      </c>
      <c r="F939" s="13" t="s">
        <v>11</v>
      </c>
      <c r="G939" s="13" t="s">
        <v>12</v>
      </c>
      <c r="H939" s="13" t="s">
        <v>13</v>
      </c>
      <c r="I939" s="13" t="s">
        <v>44</v>
      </c>
    </row>
    <row r="940" spans="2:9" s="13" customFormat="1" hidden="1" outlineLevel="1" x14ac:dyDescent="0.3">
      <c r="B940" s="13" t="s">
        <v>45</v>
      </c>
      <c r="C940" s="13" t="s">
        <v>46</v>
      </c>
      <c r="D940" s="13">
        <v>-6</v>
      </c>
      <c r="E940" s="13" t="s">
        <v>10</v>
      </c>
      <c r="F940" s="13" t="s">
        <v>11</v>
      </c>
      <c r="G940" s="13" t="s">
        <v>12</v>
      </c>
      <c r="H940" s="13" t="s">
        <v>13</v>
      </c>
      <c r="I940" s="13" t="s">
        <v>47</v>
      </c>
    </row>
    <row r="941" spans="2:9" s="13" customFormat="1" hidden="1" outlineLevel="1" x14ac:dyDescent="0.3">
      <c r="B941" s="13" t="s">
        <v>48</v>
      </c>
      <c r="C941" s="13" t="s">
        <v>40</v>
      </c>
      <c r="D941" s="13">
        <v>-6</v>
      </c>
      <c r="E941" s="13" t="s">
        <v>10</v>
      </c>
      <c r="F941" s="13" t="s">
        <v>11</v>
      </c>
      <c r="G941" s="13" t="s">
        <v>12</v>
      </c>
      <c r="H941" s="13" t="s">
        <v>13</v>
      </c>
      <c r="I941" s="13" t="s">
        <v>41</v>
      </c>
    </row>
    <row r="942" spans="2:9" s="13" customFormat="1" hidden="1" outlineLevel="1" x14ac:dyDescent="0.3">
      <c r="B942" s="13" t="s">
        <v>49</v>
      </c>
      <c r="C942" s="13" t="s">
        <v>50</v>
      </c>
      <c r="D942" s="13">
        <v>2</v>
      </c>
      <c r="E942" s="13" t="s">
        <v>10</v>
      </c>
      <c r="F942" s="13" t="s">
        <v>11</v>
      </c>
      <c r="G942" s="13" t="s">
        <v>51</v>
      </c>
      <c r="H942" s="13" t="s">
        <v>13</v>
      </c>
      <c r="I942" s="13" t="s">
        <v>52</v>
      </c>
    </row>
    <row r="943" spans="2:9" s="13" customFormat="1" hidden="1" outlineLevel="1" x14ac:dyDescent="0.3">
      <c r="B943" s="13" t="s">
        <v>53</v>
      </c>
      <c r="C943" s="13" t="s">
        <v>54</v>
      </c>
      <c r="D943" s="13">
        <v>2</v>
      </c>
      <c r="E943" s="13" t="s">
        <v>10</v>
      </c>
      <c r="F943" s="13" t="s">
        <v>11</v>
      </c>
      <c r="G943" s="13" t="s">
        <v>51</v>
      </c>
      <c r="H943" s="13" t="s">
        <v>13</v>
      </c>
      <c r="I943" s="13" t="s">
        <v>52</v>
      </c>
    </row>
    <row r="944" spans="2:9" s="13" customFormat="1" hidden="1" outlineLevel="1" x14ac:dyDescent="0.3">
      <c r="B944" s="13" t="s">
        <v>55</v>
      </c>
      <c r="C944" s="13" t="s">
        <v>56</v>
      </c>
      <c r="D944" s="13">
        <v>-6</v>
      </c>
      <c r="E944" s="13" t="s">
        <v>10</v>
      </c>
      <c r="F944" s="13" t="s">
        <v>11</v>
      </c>
      <c r="G944" s="13" t="s">
        <v>12</v>
      </c>
      <c r="H944" s="13" t="s">
        <v>13</v>
      </c>
      <c r="I944" s="13" t="s">
        <v>57</v>
      </c>
    </row>
    <row r="945" spans="2:9" s="13" customFormat="1" hidden="1" outlineLevel="1" x14ac:dyDescent="0.3">
      <c r="B945" s="13" t="s">
        <v>58</v>
      </c>
      <c r="C945" s="13" t="s">
        <v>59</v>
      </c>
      <c r="D945" s="13">
        <v>-6</v>
      </c>
      <c r="E945" s="13" t="s">
        <v>10</v>
      </c>
      <c r="F945" s="13" t="s">
        <v>11</v>
      </c>
      <c r="G945" s="13" t="s">
        <v>12</v>
      </c>
      <c r="H945" s="13" t="s">
        <v>13</v>
      </c>
      <c r="I945" s="13" t="s">
        <v>60</v>
      </c>
    </row>
    <row r="946" spans="2:9" s="13" customFormat="1" hidden="1" outlineLevel="1" x14ac:dyDescent="0.3">
      <c r="B946" s="13" t="s">
        <v>61</v>
      </c>
      <c r="C946" s="13" t="s">
        <v>62</v>
      </c>
      <c r="D946" s="13">
        <v>-6</v>
      </c>
      <c r="E946" s="13" t="s">
        <v>10</v>
      </c>
      <c r="F946" s="13" t="s">
        <v>11</v>
      </c>
      <c r="G946" s="13" t="s">
        <v>12</v>
      </c>
      <c r="H946" s="13" t="s">
        <v>13</v>
      </c>
      <c r="I946" s="13" t="s">
        <v>63</v>
      </c>
    </row>
    <row r="947" spans="2:9" s="13" customFormat="1" hidden="1" outlineLevel="1" x14ac:dyDescent="0.3">
      <c r="B947" s="13" t="s">
        <v>64</v>
      </c>
      <c r="C947" s="13" t="s">
        <v>65</v>
      </c>
      <c r="D947" s="13">
        <v>-6</v>
      </c>
      <c r="E947" s="13" t="s">
        <v>10</v>
      </c>
      <c r="F947" s="13" t="s">
        <v>11</v>
      </c>
      <c r="G947" s="13" t="s">
        <v>12</v>
      </c>
      <c r="H947" s="13" t="s">
        <v>13</v>
      </c>
      <c r="I947" s="13" t="s">
        <v>66</v>
      </c>
    </row>
    <row r="948" spans="2:9" s="13" customFormat="1" hidden="1" outlineLevel="1" x14ac:dyDescent="0.3">
      <c r="B948" s="13" t="s">
        <v>67</v>
      </c>
      <c r="C948" s="13" t="s">
        <v>68</v>
      </c>
      <c r="D948" s="13">
        <v>-6</v>
      </c>
      <c r="E948" s="13" t="s">
        <v>10</v>
      </c>
      <c r="F948" s="13" t="s">
        <v>11</v>
      </c>
      <c r="G948" s="13" t="s">
        <v>12</v>
      </c>
      <c r="H948" s="13" t="s">
        <v>13</v>
      </c>
      <c r="I948" s="13" t="s">
        <v>69</v>
      </c>
    </row>
    <row r="949" spans="2:9" s="13" customFormat="1" hidden="1" outlineLevel="1" x14ac:dyDescent="0.3">
      <c r="B949" s="13" t="s">
        <v>70</v>
      </c>
      <c r="C949" s="13" t="s">
        <v>9</v>
      </c>
      <c r="D949" s="13">
        <v>-6</v>
      </c>
      <c r="E949" s="13" t="s">
        <v>10</v>
      </c>
      <c r="F949" s="13" t="s">
        <v>71</v>
      </c>
      <c r="G949" s="13" t="s">
        <v>12</v>
      </c>
      <c r="H949" s="13" t="s">
        <v>13</v>
      </c>
      <c r="I949" s="13" t="s">
        <v>72</v>
      </c>
    </row>
    <row r="950" spans="2:9" s="13" customFormat="1" hidden="1" outlineLevel="1" x14ac:dyDescent="0.3">
      <c r="B950" s="13" t="s">
        <v>73</v>
      </c>
      <c r="C950" s="13" t="s">
        <v>16</v>
      </c>
      <c r="D950" s="13">
        <v>-6</v>
      </c>
      <c r="E950" s="13" t="s">
        <v>10</v>
      </c>
      <c r="F950" s="13" t="s">
        <v>71</v>
      </c>
      <c r="G950" s="13" t="s">
        <v>12</v>
      </c>
      <c r="H950" s="13" t="s">
        <v>13</v>
      </c>
      <c r="I950" s="13" t="s">
        <v>74</v>
      </c>
    </row>
    <row r="951" spans="2:9" s="13" customFormat="1" hidden="1" outlineLevel="1" x14ac:dyDescent="0.3">
      <c r="B951" s="13" t="s">
        <v>75</v>
      </c>
      <c r="C951" s="13" t="s">
        <v>19</v>
      </c>
      <c r="D951" s="13">
        <v>-6</v>
      </c>
      <c r="E951" s="13" t="s">
        <v>10</v>
      </c>
      <c r="F951" s="13" t="s">
        <v>71</v>
      </c>
      <c r="G951" s="13" t="s">
        <v>12</v>
      </c>
      <c r="H951" s="13" t="s">
        <v>13</v>
      </c>
      <c r="I951" s="13" t="s">
        <v>76</v>
      </c>
    </row>
    <row r="952" spans="2:9" s="13" customFormat="1" hidden="1" outlineLevel="1" x14ac:dyDescent="0.3">
      <c r="B952" s="13" t="s">
        <v>77</v>
      </c>
      <c r="C952" s="13" t="s">
        <v>22</v>
      </c>
      <c r="D952" s="13">
        <v>-6</v>
      </c>
      <c r="E952" s="13" t="s">
        <v>10</v>
      </c>
      <c r="F952" s="13" t="s">
        <v>71</v>
      </c>
      <c r="G952" s="13" t="s">
        <v>12</v>
      </c>
      <c r="H952" s="13" t="s">
        <v>13</v>
      </c>
      <c r="I952" s="13" t="s">
        <v>78</v>
      </c>
    </row>
    <row r="953" spans="2:9" s="13" customFormat="1" hidden="1" outlineLevel="1" x14ac:dyDescent="0.3">
      <c r="B953" s="13" t="s">
        <v>79</v>
      </c>
      <c r="C953" s="13" t="s">
        <v>25</v>
      </c>
      <c r="D953" s="13">
        <v>-6</v>
      </c>
      <c r="E953" s="13" t="s">
        <v>10</v>
      </c>
      <c r="F953" s="13" t="s">
        <v>71</v>
      </c>
      <c r="G953" s="13" t="s">
        <v>12</v>
      </c>
      <c r="H953" s="13" t="s">
        <v>13</v>
      </c>
      <c r="I953" s="13" t="s">
        <v>80</v>
      </c>
    </row>
    <row r="954" spans="2:9" s="13" customFormat="1" hidden="1" outlineLevel="1" x14ac:dyDescent="0.3">
      <c r="B954" s="13" t="s">
        <v>81</v>
      </c>
      <c r="C954" s="13" t="s">
        <v>28</v>
      </c>
      <c r="D954" s="13">
        <v>-6</v>
      </c>
      <c r="E954" s="13" t="s">
        <v>10</v>
      </c>
      <c r="F954" s="13" t="s">
        <v>71</v>
      </c>
      <c r="G954" s="13" t="s">
        <v>12</v>
      </c>
      <c r="H954" s="13" t="s">
        <v>13</v>
      </c>
      <c r="I954" s="13" t="s">
        <v>82</v>
      </c>
    </row>
    <row r="955" spans="2:9" s="13" customFormat="1" hidden="1" outlineLevel="1" x14ac:dyDescent="0.3">
      <c r="B955" s="13" t="s">
        <v>83</v>
      </c>
      <c r="C955" s="13" t="s">
        <v>31</v>
      </c>
      <c r="D955" s="13">
        <v>-6</v>
      </c>
      <c r="E955" s="13" t="s">
        <v>10</v>
      </c>
      <c r="F955" s="13" t="s">
        <v>71</v>
      </c>
      <c r="G955" s="13" t="s">
        <v>12</v>
      </c>
      <c r="H955" s="13" t="s">
        <v>13</v>
      </c>
      <c r="I955" s="13" t="s">
        <v>84</v>
      </c>
    </row>
    <row r="956" spans="2:9" s="13" customFormat="1" hidden="1" outlineLevel="1" x14ac:dyDescent="0.3">
      <c r="B956" s="13" t="s">
        <v>85</v>
      </c>
      <c r="C956" s="13" t="s">
        <v>34</v>
      </c>
      <c r="D956" s="13">
        <v>-6</v>
      </c>
      <c r="E956" s="13" t="s">
        <v>10</v>
      </c>
      <c r="F956" s="13" t="s">
        <v>71</v>
      </c>
      <c r="G956" s="13" t="s">
        <v>12</v>
      </c>
      <c r="H956" s="13" t="s">
        <v>13</v>
      </c>
      <c r="I956" s="13" t="s">
        <v>86</v>
      </c>
    </row>
    <row r="957" spans="2:9" s="13" customFormat="1" hidden="1" outlineLevel="1" x14ac:dyDescent="0.3">
      <c r="B957" s="13" t="s">
        <v>87</v>
      </c>
      <c r="C957" s="13" t="s">
        <v>37</v>
      </c>
      <c r="D957" s="13">
        <v>-6</v>
      </c>
      <c r="E957" s="13" t="s">
        <v>10</v>
      </c>
      <c r="F957" s="13" t="s">
        <v>71</v>
      </c>
      <c r="G957" s="13" t="s">
        <v>12</v>
      </c>
      <c r="H957" s="13" t="s">
        <v>13</v>
      </c>
      <c r="I957" s="13" t="s">
        <v>88</v>
      </c>
    </row>
    <row r="958" spans="2:9" s="13" customFormat="1" hidden="1" outlineLevel="1" x14ac:dyDescent="0.3">
      <c r="B958" s="13" t="s">
        <v>89</v>
      </c>
      <c r="C958" s="13" t="s">
        <v>40</v>
      </c>
      <c r="D958" s="13">
        <v>-6</v>
      </c>
      <c r="E958" s="13" t="s">
        <v>10</v>
      </c>
      <c r="F958" s="13" t="s">
        <v>71</v>
      </c>
      <c r="G958" s="13" t="s">
        <v>12</v>
      </c>
      <c r="H958" s="13" t="s">
        <v>13</v>
      </c>
      <c r="I958" s="13" t="s">
        <v>90</v>
      </c>
    </row>
    <row r="959" spans="2:9" s="13" customFormat="1" hidden="1" outlineLevel="1" x14ac:dyDescent="0.3">
      <c r="B959" s="13" t="s">
        <v>91</v>
      </c>
      <c r="C959" s="13" t="s">
        <v>43</v>
      </c>
      <c r="D959" s="13">
        <v>-6</v>
      </c>
      <c r="E959" s="13" t="s">
        <v>10</v>
      </c>
      <c r="F959" s="13" t="s">
        <v>71</v>
      </c>
      <c r="G959" s="13" t="s">
        <v>12</v>
      </c>
      <c r="H959" s="13" t="s">
        <v>13</v>
      </c>
      <c r="I959" s="13" t="s">
        <v>92</v>
      </c>
    </row>
    <row r="960" spans="2:9" s="13" customFormat="1" hidden="1" outlineLevel="1" x14ac:dyDescent="0.3">
      <c r="B960" s="13" t="s">
        <v>93</v>
      </c>
      <c r="C960" s="13" t="s">
        <v>46</v>
      </c>
      <c r="D960" s="13">
        <v>-6</v>
      </c>
      <c r="E960" s="13" t="s">
        <v>10</v>
      </c>
      <c r="F960" s="13" t="s">
        <v>71</v>
      </c>
      <c r="G960" s="13" t="s">
        <v>12</v>
      </c>
      <c r="H960" s="13" t="s">
        <v>13</v>
      </c>
      <c r="I960" s="13" t="s">
        <v>94</v>
      </c>
    </row>
    <row r="961" spans="2:9" s="13" customFormat="1" hidden="1" outlineLevel="1" x14ac:dyDescent="0.3">
      <c r="B961" s="13" t="s">
        <v>95</v>
      </c>
      <c r="C961" s="13" t="s">
        <v>40</v>
      </c>
      <c r="D961" s="13">
        <v>-6</v>
      </c>
      <c r="E961" s="13" t="s">
        <v>10</v>
      </c>
      <c r="F961" s="13" t="s">
        <v>71</v>
      </c>
      <c r="G961" s="13" t="s">
        <v>12</v>
      </c>
      <c r="H961" s="13" t="s">
        <v>13</v>
      </c>
      <c r="I961" s="13" t="s">
        <v>90</v>
      </c>
    </row>
    <row r="962" spans="2:9" s="13" customFormat="1" hidden="1" outlineLevel="1" x14ac:dyDescent="0.3">
      <c r="B962" s="13" t="s">
        <v>96</v>
      </c>
      <c r="C962" s="13" t="s">
        <v>50</v>
      </c>
      <c r="D962" s="13">
        <v>2</v>
      </c>
      <c r="E962" s="13" t="s">
        <v>10</v>
      </c>
      <c r="F962" s="13" t="s">
        <v>71</v>
      </c>
      <c r="G962" s="13" t="s">
        <v>51</v>
      </c>
      <c r="H962" s="13" t="s">
        <v>13</v>
      </c>
      <c r="I962" s="13" t="s">
        <v>97</v>
      </c>
    </row>
    <row r="963" spans="2:9" s="13" customFormat="1" hidden="1" outlineLevel="1" x14ac:dyDescent="0.3">
      <c r="B963" s="13" t="s">
        <v>98</v>
      </c>
      <c r="C963" s="13" t="s">
        <v>54</v>
      </c>
      <c r="D963" s="13">
        <v>2</v>
      </c>
      <c r="E963" s="13" t="s">
        <v>10</v>
      </c>
      <c r="F963" s="13" t="s">
        <v>71</v>
      </c>
      <c r="G963" s="13" t="s">
        <v>51</v>
      </c>
      <c r="H963" s="13" t="s">
        <v>13</v>
      </c>
      <c r="I963" s="13" t="s">
        <v>97</v>
      </c>
    </row>
    <row r="964" spans="2:9" s="13" customFormat="1" hidden="1" outlineLevel="1" x14ac:dyDescent="0.3">
      <c r="B964" s="13" t="s">
        <v>99</v>
      </c>
      <c r="C964" s="13" t="s">
        <v>56</v>
      </c>
      <c r="D964" s="13">
        <v>-6</v>
      </c>
      <c r="E964" s="13" t="s">
        <v>10</v>
      </c>
      <c r="F964" s="13" t="s">
        <v>71</v>
      </c>
      <c r="G964" s="13" t="s">
        <v>12</v>
      </c>
      <c r="H964" s="13" t="s">
        <v>13</v>
      </c>
      <c r="I964" s="13" t="s">
        <v>100</v>
      </c>
    </row>
    <row r="965" spans="2:9" s="13" customFormat="1" hidden="1" outlineLevel="1" x14ac:dyDescent="0.3">
      <c r="B965" s="13" t="s">
        <v>101</v>
      </c>
      <c r="C965" s="13" t="s">
        <v>59</v>
      </c>
      <c r="D965" s="13">
        <v>-6</v>
      </c>
      <c r="E965" s="13" t="s">
        <v>10</v>
      </c>
      <c r="F965" s="13" t="s">
        <v>71</v>
      </c>
      <c r="G965" s="13" t="s">
        <v>12</v>
      </c>
      <c r="H965" s="13" t="s">
        <v>13</v>
      </c>
      <c r="I965" s="13" t="s">
        <v>102</v>
      </c>
    </row>
    <row r="966" spans="2:9" s="13" customFormat="1" hidden="1" outlineLevel="1" x14ac:dyDescent="0.3">
      <c r="B966" s="13" t="s">
        <v>103</v>
      </c>
      <c r="C966" s="13" t="s">
        <v>62</v>
      </c>
      <c r="D966" s="13">
        <v>-6</v>
      </c>
      <c r="E966" s="13" t="s">
        <v>10</v>
      </c>
      <c r="F966" s="13" t="s">
        <v>71</v>
      </c>
      <c r="G966" s="13" t="s">
        <v>12</v>
      </c>
      <c r="H966" s="13" t="s">
        <v>13</v>
      </c>
      <c r="I966" s="13" t="s">
        <v>104</v>
      </c>
    </row>
    <row r="967" spans="2:9" s="13" customFormat="1" hidden="1" outlineLevel="1" x14ac:dyDescent="0.3">
      <c r="B967" s="13" t="s">
        <v>105</v>
      </c>
      <c r="C967" s="13" t="s">
        <v>65</v>
      </c>
      <c r="D967" s="13">
        <v>-6</v>
      </c>
      <c r="E967" s="13" t="s">
        <v>10</v>
      </c>
      <c r="F967" s="13" t="s">
        <v>71</v>
      </c>
      <c r="G967" s="13" t="s">
        <v>12</v>
      </c>
      <c r="H967" s="13" t="s">
        <v>13</v>
      </c>
      <c r="I967" s="13" t="s">
        <v>106</v>
      </c>
    </row>
    <row r="968" spans="2:9" s="13" customFormat="1" hidden="1" outlineLevel="1" x14ac:dyDescent="0.3">
      <c r="B968" s="13" t="s">
        <v>107</v>
      </c>
      <c r="C968" s="13" t="s">
        <v>68</v>
      </c>
      <c r="D968" s="13">
        <v>-6</v>
      </c>
      <c r="E968" s="13" t="s">
        <v>10</v>
      </c>
      <c r="F968" s="13" t="s">
        <v>71</v>
      </c>
      <c r="G968" s="13" t="s">
        <v>12</v>
      </c>
      <c r="H968" s="13" t="s">
        <v>13</v>
      </c>
      <c r="I968" s="13" t="s">
        <v>108</v>
      </c>
    </row>
    <row r="969" spans="2:9" s="13" customFormat="1" hidden="1" outlineLevel="1" x14ac:dyDescent="0.3">
      <c r="B969" s="13" t="s">
        <v>109</v>
      </c>
      <c r="C969" s="13" t="s">
        <v>110</v>
      </c>
      <c r="D969" s="13">
        <v>-6</v>
      </c>
      <c r="E969" s="13" t="s">
        <v>10</v>
      </c>
      <c r="F969" s="13" t="s">
        <v>11</v>
      </c>
      <c r="G969" s="13" t="s">
        <v>12</v>
      </c>
      <c r="H969" s="13" t="s">
        <v>13</v>
      </c>
      <c r="I969" s="13" t="s">
        <v>111</v>
      </c>
    </row>
    <row r="970" spans="2:9" s="13" customFormat="1" hidden="1" outlineLevel="1" x14ac:dyDescent="0.3">
      <c r="B970" s="13" t="s">
        <v>112</v>
      </c>
      <c r="C970" s="13" t="s">
        <v>113</v>
      </c>
      <c r="D970" s="13">
        <v>-6</v>
      </c>
      <c r="E970" s="13" t="s">
        <v>10</v>
      </c>
      <c r="F970" s="13" t="s">
        <v>11</v>
      </c>
      <c r="G970" s="13" t="s">
        <v>12</v>
      </c>
      <c r="H970" s="13" t="s">
        <v>13</v>
      </c>
      <c r="I970" s="13" t="s">
        <v>114</v>
      </c>
    </row>
    <row r="971" spans="2:9" s="13" customFormat="1" hidden="1" outlineLevel="1" x14ac:dyDescent="0.3">
      <c r="B971" s="13" t="s">
        <v>115</v>
      </c>
      <c r="C971" s="13" t="s">
        <v>116</v>
      </c>
      <c r="D971" s="13">
        <v>-6</v>
      </c>
      <c r="E971" s="13" t="s">
        <v>10</v>
      </c>
      <c r="F971" s="13" t="s">
        <v>11</v>
      </c>
      <c r="G971" s="13" t="s">
        <v>12</v>
      </c>
      <c r="H971" s="13" t="s">
        <v>13</v>
      </c>
      <c r="I971" s="13" t="s">
        <v>117</v>
      </c>
    </row>
    <row r="972" spans="2:9" s="13" customFormat="1" hidden="1" outlineLevel="1" x14ac:dyDescent="0.3">
      <c r="B972" s="13" t="s">
        <v>118</v>
      </c>
      <c r="C972" s="13" t="s">
        <v>119</v>
      </c>
      <c r="D972" s="13">
        <v>-6</v>
      </c>
      <c r="E972" s="13" t="s">
        <v>10</v>
      </c>
      <c r="F972" s="13" t="s">
        <v>11</v>
      </c>
      <c r="G972" s="13" t="s">
        <v>12</v>
      </c>
      <c r="H972" s="13" t="s">
        <v>13</v>
      </c>
      <c r="I972" s="13" t="s">
        <v>120</v>
      </c>
    </row>
    <row r="973" spans="2:9" s="13" customFormat="1" hidden="1" outlineLevel="1" x14ac:dyDescent="0.3">
      <c r="B973" s="13" t="s">
        <v>121</v>
      </c>
      <c r="C973" s="13" t="s">
        <v>122</v>
      </c>
      <c r="D973" s="13">
        <v>-6</v>
      </c>
      <c r="E973" s="13" t="s">
        <v>10</v>
      </c>
      <c r="F973" s="13" t="s">
        <v>11</v>
      </c>
      <c r="G973" s="13" t="s">
        <v>12</v>
      </c>
      <c r="H973" s="13" t="s">
        <v>13</v>
      </c>
      <c r="I973" s="13" t="s">
        <v>123</v>
      </c>
    </row>
    <row r="974" spans="2:9" s="13" customFormat="1" hidden="1" outlineLevel="1" x14ac:dyDescent="0.3">
      <c r="B974" s="13" t="s">
        <v>124</v>
      </c>
      <c r="C974" s="13" t="s">
        <v>125</v>
      </c>
      <c r="D974" s="13">
        <v>-6</v>
      </c>
      <c r="E974" s="13" t="s">
        <v>10</v>
      </c>
      <c r="F974" s="13" t="s">
        <v>11</v>
      </c>
      <c r="G974" s="13" t="s">
        <v>12</v>
      </c>
      <c r="H974" s="13" t="s">
        <v>13</v>
      </c>
      <c r="I974" s="13" t="s">
        <v>126</v>
      </c>
    </row>
    <row r="975" spans="2:9" s="13" customFormat="1" hidden="1" outlineLevel="1" x14ac:dyDescent="0.3">
      <c r="B975" s="13" t="s">
        <v>127</v>
      </c>
      <c r="C975" s="13" t="s">
        <v>119</v>
      </c>
      <c r="D975" s="13">
        <v>-6</v>
      </c>
      <c r="E975" s="13" t="s">
        <v>10</v>
      </c>
      <c r="F975" s="13" t="s">
        <v>11</v>
      </c>
      <c r="G975" s="13" t="s">
        <v>12</v>
      </c>
      <c r="H975" s="13" t="s">
        <v>13</v>
      </c>
      <c r="I975" s="13" t="s">
        <v>120</v>
      </c>
    </row>
    <row r="976" spans="2:9" s="13" customFormat="1" hidden="1" outlineLevel="1" x14ac:dyDescent="0.3">
      <c r="B976" s="13" t="s">
        <v>128</v>
      </c>
      <c r="C976" s="13" t="s">
        <v>40</v>
      </c>
      <c r="D976" s="13">
        <v>-6</v>
      </c>
      <c r="E976" s="13" t="s">
        <v>10</v>
      </c>
      <c r="F976" s="13" t="s">
        <v>11</v>
      </c>
      <c r="G976" s="13" t="s">
        <v>12</v>
      </c>
      <c r="H976" s="13" t="s">
        <v>13</v>
      </c>
      <c r="I976" s="13" t="s">
        <v>41</v>
      </c>
    </row>
    <row r="977" spans="2:9" s="13" customFormat="1" hidden="1" outlineLevel="1" x14ac:dyDescent="0.3">
      <c r="B977" s="13" t="s">
        <v>129</v>
      </c>
      <c r="C977" s="13" t="s">
        <v>130</v>
      </c>
      <c r="D977" s="13">
        <v>-6</v>
      </c>
      <c r="E977" s="13" t="s">
        <v>10</v>
      </c>
      <c r="F977" s="13" t="s">
        <v>11</v>
      </c>
      <c r="G977" s="13" t="s">
        <v>12</v>
      </c>
      <c r="H977" s="13" t="s">
        <v>13</v>
      </c>
      <c r="I977" s="13" t="s">
        <v>131</v>
      </c>
    </row>
    <row r="978" spans="2:9" s="13" customFormat="1" hidden="1" outlineLevel="1" x14ac:dyDescent="0.3">
      <c r="B978" s="13" t="s">
        <v>132</v>
      </c>
      <c r="C978" s="13" t="s">
        <v>133</v>
      </c>
      <c r="D978" s="13">
        <v>-6</v>
      </c>
      <c r="E978" s="13" t="s">
        <v>10</v>
      </c>
      <c r="F978" s="13" t="s">
        <v>11</v>
      </c>
      <c r="G978" s="13" t="s">
        <v>12</v>
      </c>
      <c r="H978" s="13" t="s">
        <v>13</v>
      </c>
      <c r="I978" s="13" t="s">
        <v>134</v>
      </c>
    </row>
    <row r="979" spans="2:9" s="13" customFormat="1" hidden="1" outlineLevel="1" x14ac:dyDescent="0.3">
      <c r="B979" s="13" t="s">
        <v>135</v>
      </c>
      <c r="C979" s="13" t="s">
        <v>136</v>
      </c>
      <c r="D979" s="13">
        <v>-6</v>
      </c>
      <c r="E979" s="13" t="s">
        <v>10</v>
      </c>
      <c r="F979" s="13" t="s">
        <v>11</v>
      </c>
      <c r="G979" s="13" t="s">
        <v>12</v>
      </c>
      <c r="H979" s="13" t="s">
        <v>13</v>
      </c>
      <c r="I979" s="13" t="s">
        <v>137</v>
      </c>
    </row>
    <row r="980" spans="2:9" s="13" customFormat="1" hidden="1" outlineLevel="1" x14ac:dyDescent="0.3">
      <c r="B980" s="13" t="s">
        <v>138</v>
      </c>
      <c r="C980" s="13" t="s">
        <v>139</v>
      </c>
      <c r="D980" s="13">
        <v>-6</v>
      </c>
      <c r="E980" s="13" t="s">
        <v>10</v>
      </c>
      <c r="F980" s="13" t="s">
        <v>11</v>
      </c>
      <c r="G980" s="13" t="s">
        <v>12</v>
      </c>
      <c r="H980" s="13" t="s">
        <v>13</v>
      </c>
      <c r="I980" s="13" t="s">
        <v>140</v>
      </c>
    </row>
    <row r="981" spans="2:9" s="13" customFormat="1" hidden="1" outlineLevel="1" x14ac:dyDescent="0.3">
      <c r="B981" s="13" t="s">
        <v>141</v>
      </c>
      <c r="C981" s="13" t="s">
        <v>110</v>
      </c>
      <c r="D981" s="13">
        <v>-6</v>
      </c>
      <c r="E981" s="13" t="s">
        <v>10</v>
      </c>
      <c r="F981" s="13" t="s">
        <v>71</v>
      </c>
      <c r="G981" s="13" t="s">
        <v>12</v>
      </c>
      <c r="H981" s="13" t="s">
        <v>13</v>
      </c>
      <c r="I981" s="13" t="s">
        <v>142</v>
      </c>
    </row>
    <row r="982" spans="2:9" s="13" customFormat="1" hidden="1" outlineLevel="1" x14ac:dyDescent="0.3">
      <c r="B982" s="13" t="s">
        <v>143</v>
      </c>
      <c r="C982" s="13" t="s">
        <v>113</v>
      </c>
      <c r="D982" s="13">
        <v>-6</v>
      </c>
      <c r="E982" s="13" t="s">
        <v>10</v>
      </c>
      <c r="F982" s="13" t="s">
        <v>71</v>
      </c>
      <c r="G982" s="13" t="s">
        <v>12</v>
      </c>
      <c r="H982" s="13" t="s">
        <v>13</v>
      </c>
      <c r="I982" s="13" t="s">
        <v>144</v>
      </c>
    </row>
    <row r="983" spans="2:9" s="13" customFormat="1" hidden="1" outlineLevel="1" x14ac:dyDescent="0.3">
      <c r="B983" s="13" t="s">
        <v>145</v>
      </c>
      <c r="C983" s="13" t="s">
        <v>116</v>
      </c>
      <c r="D983" s="13">
        <v>-6</v>
      </c>
      <c r="E983" s="13" t="s">
        <v>10</v>
      </c>
      <c r="F983" s="13" t="s">
        <v>71</v>
      </c>
      <c r="G983" s="13" t="s">
        <v>12</v>
      </c>
      <c r="H983" s="13" t="s">
        <v>13</v>
      </c>
      <c r="I983" s="13" t="s">
        <v>146</v>
      </c>
    </row>
    <row r="984" spans="2:9" s="13" customFormat="1" hidden="1" outlineLevel="1" x14ac:dyDescent="0.3">
      <c r="B984" s="13" t="s">
        <v>147</v>
      </c>
      <c r="C984" s="13" t="s">
        <v>119</v>
      </c>
      <c r="D984" s="13">
        <v>-6</v>
      </c>
      <c r="E984" s="13" t="s">
        <v>10</v>
      </c>
      <c r="F984" s="13" t="s">
        <v>71</v>
      </c>
      <c r="G984" s="13" t="s">
        <v>12</v>
      </c>
      <c r="H984" s="13" t="s">
        <v>13</v>
      </c>
      <c r="I984" s="13" t="s">
        <v>148</v>
      </c>
    </row>
    <row r="985" spans="2:9" s="13" customFormat="1" hidden="1" outlineLevel="1" x14ac:dyDescent="0.3">
      <c r="B985" s="13" t="s">
        <v>149</v>
      </c>
      <c r="C985" s="13" t="s">
        <v>122</v>
      </c>
      <c r="D985" s="13">
        <v>-6</v>
      </c>
      <c r="E985" s="13" t="s">
        <v>10</v>
      </c>
      <c r="F985" s="13" t="s">
        <v>71</v>
      </c>
      <c r="G985" s="13" t="s">
        <v>12</v>
      </c>
      <c r="H985" s="13" t="s">
        <v>13</v>
      </c>
      <c r="I985" s="13" t="s">
        <v>150</v>
      </c>
    </row>
    <row r="986" spans="2:9" s="13" customFormat="1" hidden="1" outlineLevel="1" x14ac:dyDescent="0.3">
      <c r="B986" s="13" t="s">
        <v>151</v>
      </c>
      <c r="C986" s="13" t="s">
        <v>125</v>
      </c>
      <c r="D986" s="13">
        <v>-6</v>
      </c>
      <c r="E986" s="13" t="s">
        <v>10</v>
      </c>
      <c r="F986" s="13" t="s">
        <v>71</v>
      </c>
      <c r="G986" s="13" t="s">
        <v>12</v>
      </c>
      <c r="H986" s="13" t="s">
        <v>13</v>
      </c>
      <c r="I986" s="13" t="s">
        <v>152</v>
      </c>
    </row>
    <row r="987" spans="2:9" s="13" customFormat="1" hidden="1" outlineLevel="1" x14ac:dyDescent="0.3">
      <c r="B987" s="13" t="s">
        <v>153</v>
      </c>
      <c r="C987" s="13" t="s">
        <v>119</v>
      </c>
      <c r="D987" s="13">
        <v>-6</v>
      </c>
      <c r="E987" s="13" t="s">
        <v>10</v>
      </c>
      <c r="F987" s="13" t="s">
        <v>71</v>
      </c>
      <c r="G987" s="13" t="s">
        <v>12</v>
      </c>
      <c r="H987" s="13" t="s">
        <v>13</v>
      </c>
      <c r="I987" s="13" t="s">
        <v>148</v>
      </c>
    </row>
    <row r="988" spans="2:9" s="13" customFormat="1" hidden="1" outlineLevel="1" x14ac:dyDescent="0.3">
      <c r="B988" s="13" t="s">
        <v>154</v>
      </c>
      <c r="C988" s="13" t="s">
        <v>40</v>
      </c>
      <c r="D988" s="13">
        <v>-6</v>
      </c>
      <c r="E988" s="13" t="s">
        <v>10</v>
      </c>
      <c r="F988" s="13" t="s">
        <v>71</v>
      </c>
      <c r="G988" s="13" t="s">
        <v>12</v>
      </c>
      <c r="H988" s="13" t="s">
        <v>13</v>
      </c>
      <c r="I988" s="13" t="s">
        <v>90</v>
      </c>
    </row>
    <row r="989" spans="2:9" s="13" customFormat="1" hidden="1" outlineLevel="1" x14ac:dyDescent="0.3">
      <c r="B989" s="13" t="s">
        <v>155</v>
      </c>
      <c r="C989" s="13" t="s">
        <v>130</v>
      </c>
      <c r="D989" s="13">
        <v>-6</v>
      </c>
      <c r="E989" s="13" t="s">
        <v>10</v>
      </c>
      <c r="F989" s="13" t="s">
        <v>71</v>
      </c>
      <c r="G989" s="13" t="s">
        <v>12</v>
      </c>
      <c r="H989" s="13" t="s">
        <v>13</v>
      </c>
      <c r="I989" s="13" t="s">
        <v>156</v>
      </c>
    </row>
    <row r="990" spans="2:9" s="13" customFormat="1" hidden="1" outlineLevel="1" x14ac:dyDescent="0.3">
      <c r="B990" s="13" t="s">
        <v>157</v>
      </c>
      <c r="C990" s="13" t="s">
        <v>133</v>
      </c>
      <c r="D990" s="13">
        <v>-6</v>
      </c>
      <c r="E990" s="13" t="s">
        <v>10</v>
      </c>
      <c r="F990" s="13" t="s">
        <v>71</v>
      </c>
      <c r="G990" s="13" t="s">
        <v>12</v>
      </c>
      <c r="H990" s="13" t="s">
        <v>13</v>
      </c>
      <c r="I990" s="13" t="s">
        <v>158</v>
      </c>
    </row>
    <row r="991" spans="2:9" s="13" customFormat="1" hidden="1" outlineLevel="1" x14ac:dyDescent="0.3">
      <c r="B991" s="13" t="s">
        <v>159</v>
      </c>
      <c r="C991" s="13" t="s">
        <v>136</v>
      </c>
      <c r="D991" s="13">
        <v>-6</v>
      </c>
      <c r="E991" s="13" t="s">
        <v>10</v>
      </c>
      <c r="F991" s="13" t="s">
        <v>71</v>
      </c>
      <c r="G991" s="13" t="s">
        <v>12</v>
      </c>
      <c r="H991" s="13" t="s">
        <v>13</v>
      </c>
      <c r="I991" s="13" t="s">
        <v>160</v>
      </c>
    </row>
    <row r="992" spans="2:9" s="13" customFormat="1" hidden="1" outlineLevel="1" x14ac:dyDescent="0.3">
      <c r="B992" s="13" t="s">
        <v>161</v>
      </c>
      <c r="C992" s="13" t="s">
        <v>139</v>
      </c>
      <c r="D992" s="13">
        <v>-6</v>
      </c>
      <c r="E992" s="13" t="s">
        <v>10</v>
      </c>
      <c r="F992" s="13" t="s">
        <v>71</v>
      </c>
      <c r="G992" s="13" t="s">
        <v>12</v>
      </c>
      <c r="H992" s="13" t="s">
        <v>13</v>
      </c>
      <c r="I992" s="13" t="s">
        <v>162</v>
      </c>
    </row>
    <row r="993" spans="2:9" s="13" customFormat="1" hidden="1" outlineLevel="1" x14ac:dyDescent="0.3">
      <c r="B993" s="13" t="s">
        <v>163</v>
      </c>
      <c r="C993" s="13" t="s">
        <v>164</v>
      </c>
      <c r="D993" s="13">
        <v>-6</v>
      </c>
      <c r="E993" s="13" t="s">
        <v>10</v>
      </c>
      <c r="F993" s="13" t="s">
        <v>165</v>
      </c>
      <c r="G993" s="13" t="s">
        <v>12</v>
      </c>
      <c r="H993" s="13" t="s">
        <v>13</v>
      </c>
      <c r="I993" s="13" t="s">
        <v>166</v>
      </c>
    </row>
    <row r="994" spans="2:9" s="13" customFormat="1" hidden="1" outlineLevel="1" x14ac:dyDescent="0.3">
      <c r="B994" s="13" t="s">
        <v>167</v>
      </c>
      <c r="C994" s="13" t="s">
        <v>168</v>
      </c>
      <c r="D994" s="13">
        <v>-6</v>
      </c>
      <c r="E994" s="13" t="s">
        <v>10</v>
      </c>
      <c r="F994" s="13" t="s">
        <v>165</v>
      </c>
      <c r="G994" s="13" t="s">
        <v>12</v>
      </c>
      <c r="H994" s="13" t="s">
        <v>13</v>
      </c>
      <c r="I994" s="13" t="s">
        <v>169</v>
      </c>
    </row>
    <row r="995" spans="2:9" s="13" customFormat="1" hidden="1" outlineLevel="1" x14ac:dyDescent="0.3">
      <c r="B995" s="13" t="s">
        <v>170</v>
      </c>
      <c r="C995" s="13" t="s">
        <v>171</v>
      </c>
      <c r="D995" s="13">
        <v>-6</v>
      </c>
      <c r="E995" s="13" t="s">
        <v>10</v>
      </c>
      <c r="F995" s="13" t="s">
        <v>165</v>
      </c>
      <c r="G995" s="13" t="s">
        <v>12</v>
      </c>
      <c r="H995" s="13" t="s">
        <v>13</v>
      </c>
      <c r="I995" s="13" t="s">
        <v>172</v>
      </c>
    </row>
    <row r="996" spans="2:9" s="13" customFormat="1" hidden="1" outlineLevel="1" x14ac:dyDescent="0.3">
      <c r="B996" s="13" t="s">
        <v>173</v>
      </c>
      <c r="C996" s="13" t="s">
        <v>174</v>
      </c>
      <c r="D996" s="13">
        <v>-6</v>
      </c>
      <c r="E996" s="13" t="s">
        <v>10</v>
      </c>
      <c r="F996" s="13" t="s">
        <v>165</v>
      </c>
      <c r="G996" s="13" t="s">
        <v>12</v>
      </c>
      <c r="H996" s="13" t="s">
        <v>13</v>
      </c>
      <c r="I996" s="13" t="s">
        <v>175</v>
      </c>
    </row>
    <row r="997" spans="2:9" s="13" customFormat="1" hidden="1" outlineLevel="1" x14ac:dyDescent="0.3">
      <c r="B997" s="13" t="s">
        <v>176</v>
      </c>
      <c r="C997" s="13" t="s">
        <v>177</v>
      </c>
      <c r="D997" s="13">
        <v>-6</v>
      </c>
      <c r="E997" s="13" t="s">
        <v>10</v>
      </c>
      <c r="F997" s="13" t="s">
        <v>165</v>
      </c>
      <c r="G997" s="13" t="s">
        <v>12</v>
      </c>
      <c r="H997" s="13" t="s">
        <v>13</v>
      </c>
      <c r="I997" s="13" t="s">
        <v>178</v>
      </c>
    </row>
    <row r="998" spans="2:9" s="13" customFormat="1" hidden="1" outlineLevel="1" x14ac:dyDescent="0.3">
      <c r="B998" s="13" t="s">
        <v>179</v>
      </c>
      <c r="C998" s="13" t="s">
        <v>180</v>
      </c>
      <c r="D998" s="13">
        <v>-6</v>
      </c>
      <c r="E998" s="13" t="s">
        <v>10</v>
      </c>
      <c r="F998" s="13" t="s">
        <v>165</v>
      </c>
      <c r="G998" s="13" t="s">
        <v>12</v>
      </c>
      <c r="H998" s="13" t="s">
        <v>13</v>
      </c>
      <c r="I998" s="13" t="s">
        <v>181</v>
      </c>
    </row>
    <row r="999" spans="2:9" s="13" customFormat="1" hidden="1" outlineLevel="1" x14ac:dyDescent="0.3">
      <c r="B999" s="13" t="s">
        <v>182</v>
      </c>
      <c r="C999" s="13" t="s">
        <v>183</v>
      </c>
      <c r="D999" s="13">
        <v>-6</v>
      </c>
      <c r="E999" s="13" t="s">
        <v>10</v>
      </c>
      <c r="F999" s="13" t="s">
        <v>165</v>
      </c>
      <c r="G999" s="13" t="s">
        <v>12</v>
      </c>
      <c r="H999" s="13" t="s">
        <v>13</v>
      </c>
      <c r="I999" s="13" t="s">
        <v>184</v>
      </c>
    </row>
    <row r="1000" spans="2:9" s="13" customFormat="1" hidden="1" outlineLevel="1" x14ac:dyDescent="0.3">
      <c r="B1000" s="13" t="s">
        <v>185</v>
      </c>
      <c r="C1000" s="13" t="s">
        <v>186</v>
      </c>
      <c r="D1000" s="13">
        <v>-6</v>
      </c>
      <c r="E1000" s="13" t="s">
        <v>10</v>
      </c>
      <c r="F1000" s="13" t="s">
        <v>165</v>
      </c>
      <c r="G1000" s="13" t="s">
        <v>12</v>
      </c>
      <c r="H1000" s="13" t="s">
        <v>13</v>
      </c>
      <c r="I1000" s="13" t="s">
        <v>187</v>
      </c>
    </row>
    <row r="1001" spans="2:9" s="13" customFormat="1" hidden="1" outlineLevel="1" x14ac:dyDescent="0.3">
      <c r="B1001" s="13" t="s">
        <v>188</v>
      </c>
      <c r="C1001" s="13" t="s">
        <v>189</v>
      </c>
      <c r="D1001" s="13">
        <v>-6</v>
      </c>
      <c r="E1001" s="13" t="s">
        <v>10</v>
      </c>
      <c r="F1001" s="13" t="s">
        <v>165</v>
      </c>
      <c r="G1001" s="13" t="s">
        <v>12</v>
      </c>
      <c r="H1001" s="13" t="s">
        <v>13</v>
      </c>
      <c r="I1001" s="13" t="s">
        <v>190</v>
      </c>
    </row>
    <row r="1002" spans="2:9" s="13" customFormat="1" hidden="1" outlineLevel="1" x14ac:dyDescent="0.3">
      <c r="B1002" s="13" t="s">
        <v>191</v>
      </c>
      <c r="C1002" s="13" t="s">
        <v>192</v>
      </c>
      <c r="D1002" s="13">
        <v>-6</v>
      </c>
      <c r="E1002" s="13" t="s">
        <v>10</v>
      </c>
      <c r="F1002" s="13" t="s">
        <v>165</v>
      </c>
      <c r="G1002" s="13" t="s">
        <v>12</v>
      </c>
      <c r="H1002" s="13" t="s">
        <v>13</v>
      </c>
      <c r="I1002" s="13" t="s">
        <v>193</v>
      </c>
    </row>
    <row r="1003" spans="2:9" s="13" customFormat="1" hidden="1" outlineLevel="1" x14ac:dyDescent="0.3">
      <c r="B1003" s="13" t="s">
        <v>194</v>
      </c>
      <c r="C1003" s="13" t="s">
        <v>195</v>
      </c>
      <c r="D1003" s="13">
        <v>-6</v>
      </c>
      <c r="E1003" s="13" t="s">
        <v>10</v>
      </c>
      <c r="F1003" s="13" t="s">
        <v>165</v>
      </c>
      <c r="G1003" s="13" t="s">
        <v>12</v>
      </c>
      <c r="H1003" s="13" t="s">
        <v>13</v>
      </c>
      <c r="I1003" s="13" t="s">
        <v>196</v>
      </c>
    </row>
    <row r="1004" spans="2:9" s="13" customFormat="1" hidden="1" outlineLevel="1" x14ac:dyDescent="0.3">
      <c r="B1004" s="13" t="s">
        <v>197</v>
      </c>
      <c r="C1004" s="13" t="s">
        <v>198</v>
      </c>
      <c r="D1004" s="13">
        <v>-6</v>
      </c>
      <c r="E1004" s="13" t="s">
        <v>10</v>
      </c>
      <c r="F1004" s="13" t="s">
        <v>165</v>
      </c>
      <c r="G1004" s="13" t="s">
        <v>12</v>
      </c>
      <c r="H1004" s="13" t="s">
        <v>13</v>
      </c>
      <c r="I1004" s="13" t="s">
        <v>199</v>
      </c>
    </row>
    <row r="1005" spans="2:9" s="13" customFormat="1" hidden="1" outlineLevel="1" x14ac:dyDescent="0.3">
      <c r="B1005" s="13" t="s">
        <v>200</v>
      </c>
      <c r="C1005" s="13" t="s">
        <v>201</v>
      </c>
      <c r="D1005" s="13">
        <v>-6</v>
      </c>
      <c r="E1005" s="13" t="s">
        <v>10</v>
      </c>
      <c r="F1005" s="13" t="s">
        <v>165</v>
      </c>
      <c r="G1005" s="13" t="s">
        <v>12</v>
      </c>
      <c r="H1005" s="13" t="s">
        <v>13</v>
      </c>
      <c r="I1005" s="13" t="s">
        <v>202</v>
      </c>
    </row>
    <row r="1006" spans="2:9" s="13" customFormat="1" hidden="1" outlineLevel="1" x14ac:dyDescent="0.3">
      <c r="B1006" s="13" t="s">
        <v>203</v>
      </c>
      <c r="C1006" s="13" t="s">
        <v>204</v>
      </c>
      <c r="D1006" s="13">
        <v>-6</v>
      </c>
      <c r="E1006" s="13" t="s">
        <v>10</v>
      </c>
      <c r="F1006" s="13" t="s">
        <v>165</v>
      </c>
      <c r="G1006" s="13" t="s">
        <v>12</v>
      </c>
      <c r="H1006" s="13" t="s">
        <v>13</v>
      </c>
      <c r="I1006" s="13" t="s">
        <v>205</v>
      </c>
    </row>
    <row r="1007" spans="2:9" s="13" customFormat="1" hidden="1" outlineLevel="1" x14ac:dyDescent="0.3">
      <c r="B1007" s="13" t="s">
        <v>206</v>
      </c>
      <c r="C1007" s="13" t="s">
        <v>207</v>
      </c>
      <c r="D1007" s="13">
        <v>-6</v>
      </c>
      <c r="E1007" s="13" t="s">
        <v>10</v>
      </c>
      <c r="F1007" s="13" t="s">
        <v>165</v>
      </c>
      <c r="G1007" s="13" t="s">
        <v>12</v>
      </c>
      <c r="H1007" s="13" t="s">
        <v>13</v>
      </c>
      <c r="I1007" s="13" t="s">
        <v>208</v>
      </c>
    </row>
    <row r="1008" spans="2:9" s="13" customFormat="1" hidden="1" outlineLevel="1" x14ac:dyDescent="0.3">
      <c r="B1008" s="13" t="s">
        <v>209</v>
      </c>
      <c r="C1008" s="13" t="s">
        <v>210</v>
      </c>
      <c r="D1008" s="13">
        <v>-6</v>
      </c>
      <c r="E1008" s="13" t="s">
        <v>10</v>
      </c>
      <c r="F1008" s="13" t="s">
        <v>165</v>
      </c>
      <c r="G1008" s="13" t="s">
        <v>12</v>
      </c>
      <c r="H1008" s="13" t="s">
        <v>13</v>
      </c>
      <c r="I1008" s="13" t="s">
        <v>211</v>
      </c>
    </row>
    <row r="1009" spans="2:9" s="13" customFormat="1" hidden="1" outlineLevel="1" x14ac:dyDescent="0.3">
      <c r="B1009" s="13" t="s">
        <v>212</v>
      </c>
      <c r="C1009" s="13" t="s">
        <v>213</v>
      </c>
      <c r="D1009" s="13">
        <v>-6</v>
      </c>
      <c r="E1009" s="13" t="s">
        <v>10</v>
      </c>
      <c r="F1009" s="13" t="s">
        <v>165</v>
      </c>
      <c r="G1009" s="13" t="s">
        <v>12</v>
      </c>
      <c r="H1009" s="13" t="s">
        <v>13</v>
      </c>
      <c r="I1009" s="13" t="s">
        <v>214</v>
      </c>
    </row>
    <row r="1010" spans="2:9" s="13" customFormat="1" hidden="1" outlineLevel="1" x14ac:dyDescent="0.3">
      <c r="B1010" s="13" t="s">
        <v>215</v>
      </c>
      <c r="C1010" s="13" t="s">
        <v>216</v>
      </c>
      <c r="D1010" s="13">
        <v>-6</v>
      </c>
      <c r="E1010" s="13" t="s">
        <v>10</v>
      </c>
      <c r="F1010" s="13" t="s">
        <v>165</v>
      </c>
      <c r="G1010" s="13" t="s">
        <v>12</v>
      </c>
      <c r="H1010" s="13" t="s">
        <v>13</v>
      </c>
      <c r="I1010" s="13" t="s">
        <v>217</v>
      </c>
    </row>
    <row r="1011" spans="2:9" s="13" customFormat="1" hidden="1" outlineLevel="1" x14ac:dyDescent="0.3">
      <c r="B1011" s="13" t="s">
        <v>218</v>
      </c>
      <c r="C1011" s="13" t="s">
        <v>219</v>
      </c>
      <c r="D1011" s="13">
        <v>-6</v>
      </c>
      <c r="E1011" s="13" t="s">
        <v>10</v>
      </c>
      <c r="F1011" s="13" t="s">
        <v>165</v>
      </c>
      <c r="G1011" s="13" t="s">
        <v>12</v>
      </c>
      <c r="H1011" s="13" t="s">
        <v>13</v>
      </c>
      <c r="I1011" s="13" t="s">
        <v>220</v>
      </c>
    </row>
    <row r="1012" spans="2:9" s="13" customFormat="1" hidden="1" outlineLevel="1" x14ac:dyDescent="0.3">
      <c r="B1012" s="13" t="s">
        <v>221</v>
      </c>
      <c r="C1012" s="13" t="s">
        <v>222</v>
      </c>
      <c r="D1012" s="13">
        <v>-6</v>
      </c>
      <c r="E1012" s="13" t="s">
        <v>10</v>
      </c>
      <c r="F1012" s="13" t="s">
        <v>165</v>
      </c>
      <c r="G1012" s="13" t="s">
        <v>12</v>
      </c>
      <c r="H1012" s="13" t="s">
        <v>13</v>
      </c>
      <c r="I1012" s="13" t="s">
        <v>223</v>
      </c>
    </row>
    <row r="1013" spans="2:9" s="13" customFormat="1" hidden="1" outlineLevel="1" x14ac:dyDescent="0.3">
      <c r="B1013" s="13" t="s">
        <v>224</v>
      </c>
      <c r="C1013" s="13" t="s">
        <v>225</v>
      </c>
      <c r="D1013" s="13">
        <v>-6</v>
      </c>
      <c r="E1013" s="13" t="s">
        <v>10</v>
      </c>
      <c r="F1013" s="13" t="s">
        <v>165</v>
      </c>
      <c r="G1013" s="13" t="s">
        <v>12</v>
      </c>
      <c r="H1013" s="13" t="s">
        <v>13</v>
      </c>
      <c r="I1013" s="13" t="s">
        <v>226</v>
      </c>
    </row>
    <row r="1014" spans="2:9" s="13" customFormat="1" hidden="1" outlineLevel="1" x14ac:dyDescent="0.3">
      <c r="B1014" s="13" t="s">
        <v>227</v>
      </c>
      <c r="C1014" s="13" t="s">
        <v>228</v>
      </c>
      <c r="D1014" s="13">
        <v>-6</v>
      </c>
      <c r="E1014" s="13" t="s">
        <v>10</v>
      </c>
      <c r="F1014" s="13" t="s">
        <v>165</v>
      </c>
      <c r="G1014" s="13" t="s">
        <v>12</v>
      </c>
      <c r="H1014" s="13" t="s">
        <v>13</v>
      </c>
      <c r="I1014" s="13" t="s">
        <v>229</v>
      </c>
    </row>
    <row r="1015" spans="2:9" s="13" customFormat="1" hidden="1" outlineLevel="1" x14ac:dyDescent="0.3">
      <c r="B1015" s="13" t="s">
        <v>230</v>
      </c>
      <c r="C1015" s="13" t="s">
        <v>231</v>
      </c>
      <c r="D1015" s="13">
        <v>-6</v>
      </c>
      <c r="E1015" s="13" t="s">
        <v>10</v>
      </c>
      <c r="F1015" s="13" t="s">
        <v>165</v>
      </c>
      <c r="G1015" s="13" t="s">
        <v>12</v>
      </c>
      <c r="H1015" s="13" t="s">
        <v>13</v>
      </c>
      <c r="I1015" s="13" t="s">
        <v>232</v>
      </c>
    </row>
    <row r="1016" spans="2:9" s="13" customFormat="1" hidden="1" outlineLevel="1" x14ac:dyDescent="0.3">
      <c r="B1016" s="13" t="s">
        <v>233</v>
      </c>
      <c r="C1016" s="13" t="s">
        <v>234</v>
      </c>
      <c r="D1016" s="13">
        <v>-6</v>
      </c>
      <c r="E1016" s="13" t="s">
        <v>10</v>
      </c>
      <c r="F1016" s="13" t="s">
        <v>165</v>
      </c>
      <c r="G1016" s="13" t="s">
        <v>12</v>
      </c>
      <c r="H1016" s="13" t="s">
        <v>13</v>
      </c>
      <c r="I1016" s="13" t="s">
        <v>235</v>
      </c>
    </row>
    <row r="1017" spans="2:9" s="13" customFormat="1" hidden="1" outlineLevel="1" x14ac:dyDescent="0.3">
      <c r="B1017" s="13" t="s">
        <v>236</v>
      </c>
      <c r="C1017" s="13" t="s">
        <v>237</v>
      </c>
      <c r="D1017" s="13">
        <v>-6</v>
      </c>
      <c r="E1017" s="13" t="s">
        <v>10</v>
      </c>
      <c r="F1017" s="13" t="s">
        <v>165</v>
      </c>
      <c r="G1017" s="13" t="s">
        <v>12</v>
      </c>
      <c r="H1017" s="13" t="s">
        <v>13</v>
      </c>
      <c r="I1017" s="13" t="s">
        <v>238</v>
      </c>
    </row>
    <row r="1018" spans="2:9" s="13" customFormat="1" hidden="1" outlineLevel="1" x14ac:dyDescent="0.3">
      <c r="B1018" s="13" t="s">
        <v>239</v>
      </c>
      <c r="C1018" s="13" t="s">
        <v>240</v>
      </c>
      <c r="D1018" s="13">
        <v>-6</v>
      </c>
      <c r="E1018" s="13" t="s">
        <v>10</v>
      </c>
      <c r="F1018" s="13" t="s">
        <v>165</v>
      </c>
      <c r="G1018" s="13" t="s">
        <v>12</v>
      </c>
      <c r="H1018" s="13" t="s">
        <v>13</v>
      </c>
      <c r="I1018" s="13" t="s">
        <v>241</v>
      </c>
    </row>
    <row r="1019" spans="2:9" s="13" customFormat="1" hidden="1" outlineLevel="1" x14ac:dyDescent="0.3">
      <c r="B1019" s="13" t="s">
        <v>242</v>
      </c>
      <c r="C1019" s="13" t="s">
        <v>243</v>
      </c>
      <c r="D1019" s="13">
        <v>-6</v>
      </c>
      <c r="E1019" s="13" t="s">
        <v>10</v>
      </c>
      <c r="F1019" s="13" t="s">
        <v>165</v>
      </c>
      <c r="G1019" s="13" t="s">
        <v>12</v>
      </c>
      <c r="H1019" s="13" t="s">
        <v>13</v>
      </c>
      <c r="I1019" s="13" t="s">
        <v>244</v>
      </c>
    </row>
    <row r="1020" spans="2:9" s="13" customFormat="1" hidden="1" outlineLevel="1" x14ac:dyDescent="0.3">
      <c r="B1020" s="13" t="s">
        <v>245</v>
      </c>
      <c r="C1020" s="13" t="s">
        <v>246</v>
      </c>
      <c r="D1020" s="13">
        <v>-6</v>
      </c>
      <c r="E1020" s="13" t="s">
        <v>10</v>
      </c>
      <c r="F1020" s="13" t="s">
        <v>165</v>
      </c>
      <c r="G1020" s="13" t="s">
        <v>12</v>
      </c>
      <c r="H1020" s="13" t="s">
        <v>13</v>
      </c>
      <c r="I1020" s="13" t="s">
        <v>247</v>
      </c>
    </row>
    <row r="1021" spans="2:9" s="13" customFormat="1" hidden="1" outlineLevel="1" x14ac:dyDescent="0.3">
      <c r="B1021" s="13" t="s">
        <v>248</v>
      </c>
      <c r="C1021" s="13" t="s">
        <v>249</v>
      </c>
      <c r="D1021" s="13">
        <v>-6</v>
      </c>
      <c r="E1021" s="13" t="s">
        <v>10</v>
      </c>
      <c r="F1021" s="13" t="s">
        <v>165</v>
      </c>
      <c r="G1021" s="13" t="s">
        <v>12</v>
      </c>
      <c r="H1021" s="13" t="s">
        <v>13</v>
      </c>
      <c r="I1021" s="13" t="s">
        <v>250</v>
      </c>
    </row>
    <row r="1022" spans="2:9" s="13" customFormat="1" hidden="1" outlineLevel="1" x14ac:dyDescent="0.3">
      <c r="B1022" s="13" t="s">
        <v>251</v>
      </c>
      <c r="C1022" s="13" t="s">
        <v>252</v>
      </c>
      <c r="D1022" s="13">
        <v>-6</v>
      </c>
      <c r="E1022" s="13" t="s">
        <v>10</v>
      </c>
      <c r="F1022" s="13" t="s">
        <v>165</v>
      </c>
      <c r="G1022" s="13" t="s">
        <v>12</v>
      </c>
      <c r="H1022" s="13" t="s">
        <v>13</v>
      </c>
      <c r="I1022" s="13" t="s">
        <v>253</v>
      </c>
    </row>
    <row r="1023" spans="2:9" s="13" customFormat="1" hidden="1" outlineLevel="1" x14ac:dyDescent="0.3">
      <c r="B1023" s="13" t="s">
        <v>254</v>
      </c>
      <c r="C1023" s="13" t="s">
        <v>255</v>
      </c>
      <c r="D1023" s="13">
        <v>-6</v>
      </c>
      <c r="E1023" s="13" t="s">
        <v>10</v>
      </c>
      <c r="F1023" s="13" t="s">
        <v>165</v>
      </c>
      <c r="G1023" s="13" t="s">
        <v>12</v>
      </c>
      <c r="H1023" s="13" t="s">
        <v>13</v>
      </c>
      <c r="I1023" s="13" t="s">
        <v>256</v>
      </c>
    </row>
    <row r="1024" spans="2:9" s="13" customFormat="1" hidden="1" outlineLevel="1" x14ac:dyDescent="0.3">
      <c r="B1024" s="13" t="s">
        <v>257</v>
      </c>
      <c r="C1024" s="13" t="s">
        <v>258</v>
      </c>
      <c r="D1024" s="13">
        <v>-6</v>
      </c>
      <c r="E1024" s="13" t="s">
        <v>10</v>
      </c>
      <c r="F1024" s="13" t="s">
        <v>165</v>
      </c>
      <c r="G1024" s="13" t="s">
        <v>12</v>
      </c>
      <c r="H1024" s="13" t="s">
        <v>13</v>
      </c>
      <c r="I1024" s="13" t="s">
        <v>259</v>
      </c>
    </row>
    <row r="1025" spans="2:9" s="13" customFormat="1" hidden="1" outlineLevel="1" x14ac:dyDescent="0.3">
      <c r="B1025" s="13" t="s">
        <v>260</v>
      </c>
      <c r="C1025" s="13" t="s">
        <v>261</v>
      </c>
      <c r="D1025" s="13">
        <v>-6</v>
      </c>
      <c r="E1025" s="13" t="s">
        <v>10</v>
      </c>
      <c r="F1025" s="13" t="s">
        <v>165</v>
      </c>
      <c r="G1025" s="13" t="s">
        <v>12</v>
      </c>
      <c r="H1025" s="13" t="s">
        <v>13</v>
      </c>
      <c r="I1025" s="13" t="s">
        <v>262</v>
      </c>
    </row>
    <row r="1026" spans="2:9" s="13" customFormat="1" hidden="1" outlineLevel="1" x14ac:dyDescent="0.3">
      <c r="B1026" s="13" t="s">
        <v>263</v>
      </c>
      <c r="C1026" s="13" t="s">
        <v>264</v>
      </c>
      <c r="D1026" s="13">
        <v>-6</v>
      </c>
      <c r="E1026" s="13" t="s">
        <v>10</v>
      </c>
      <c r="F1026" s="13" t="s">
        <v>165</v>
      </c>
      <c r="G1026" s="13" t="s">
        <v>12</v>
      </c>
      <c r="H1026" s="13" t="s">
        <v>13</v>
      </c>
      <c r="I1026" s="13" t="s">
        <v>265</v>
      </c>
    </row>
    <row r="1027" spans="2:9" s="13" customFormat="1" hidden="1" outlineLevel="1" x14ac:dyDescent="0.3">
      <c r="B1027" s="13" t="s">
        <v>266</v>
      </c>
      <c r="C1027" s="13" t="s">
        <v>267</v>
      </c>
      <c r="D1027" s="13">
        <v>-6</v>
      </c>
      <c r="E1027" s="13" t="s">
        <v>10</v>
      </c>
      <c r="F1027" s="13" t="s">
        <v>165</v>
      </c>
      <c r="G1027" s="13" t="s">
        <v>12</v>
      </c>
      <c r="H1027" s="13" t="s">
        <v>13</v>
      </c>
      <c r="I1027" s="13" t="s">
        <v>268</v>
      </c>
    </row>
    <row r="1028" spans="2:9" s="13" customFormat="1" hidden="1" outlineLevel="1" x14ac:dyDescent="0.3">
      <c r="B1028" s="13" t="s">
        <v>269</v>
      </c>
      <c r="C1028" s="13" t="s">
        <v>270</v>
      </c>
      <c r="D1028" s="13">
        <v>-6</v>
      </c>
      <c r="E1028" s="13" t="s">
        <v>10</v>
      </c>
      <c r="F1028" s="13" t="s">
        <v>165</v>
      </c>
      <c r="G1028" s="13" t="s">
        <v>12</v>
      </c>
      <c r="H1028" s="13" t="s">
        <v>13</v>
      </c>
      <c r="I1028" s="13" t="s">
        <v>271</v>
      </c>
    </row>
    <row r="1029" spans="2:9" s="13" customFormat="1" hidden="1" outlineLevel="1" x14ac:dyDescent="0.3">
      <c r="B1029" s="13" t="s">
        <v>272</v>
      </c>
      <c r="C1029" s="13" t="s">
        <v>273</v>
      </c>
      <c r="D1029" s="13">
        <v>-6</v>
      </c>
      <c r="E1029" s="13" t="s">
        <v>10</v>
      </c>
      <c r="F1029" s="13" t="s">
        <v>165</v>
      </c>
      <c r="G1029" s="13" t="s">
        <v>12</v>
      </c>
      <c r="H1029" s="13" t="s">
        <v>13</v>
      </c>
      <c r="I1029" s="13" t="s">
        <v>274</v>
      </c>
    </row>
    <row r="1030" spans="2:9" s="13" customFormat="1" hidden="1" outlineLevel="1" x14ac:dyDescent="0.3">
      <c r="B1030" s="13" t="s">
        <v>275</v>
      </c>
      <c r="C1030" s="13" t="s">
        <v>276</v>
      </c>
      <c r="D1030" s="13">
        <v>-6</v>
      </c>
      <c r="E1030" s="13" t="s">
        <v>10</v>
      </c>
      <c r="F1030" s="13" t="s">
        <v>165</v>
      </c>
      <c r="G1030" s="13" t="s">
        <v>12</v>
      </c>
      <c r="H1030" s="13" t="s">
        <v>13</v>
      </c>
      <c r="I1030" s="13" t="s">
        <v>202</v>
      </c>
    </row>
    <row r="1031" spans="2:9" s="13" customFormat="1" hidden="1" outlineLevel="1" x14ac:dyDescent="0.3">
      <c r="B1031" s="13" t="s">
        <v>277</v>
      </c>
      <c r="C1031" s="13" t="s">
        <v>278</v>
      </c>
      <c r="D1031" s="13">
        <v>-6</v>
      </c>
      <c r="E1031" s="13" t="s">
        <v>10</v>
      </c>
      <c r="F1031" s="13" t="s">
        <v>165</v>
      </c>
      <c r="G1031" s="13" t="s">
        <v>12</v>
      </c>
      <c r="H1031" s="13" t="s">
        <v>13</v>
      </c>
      <c r="I1031" s="13" t="s">
        <v>279</v>
      </c>
    </row>
    <row r="1032" spans="2:9" s="13" customFormat="1" hidden="1" outlineLevel="1" x14ac:dyDescent="0.3">
      <c r="B1032" s="13" t="s">
        <v>280</v>
      </c>
      <c r="C1032" s="13" t="s">
        <v>281</v>
      </c>
      <c r="D1032" s="13">
        <v>-6</v>
      </c>
      <c r="E1032" s="13" t="s">
        <v>10</v>
      </c>
      <c r="F1032" s="13" t="s">
        <v>165</v>
      </c>
      <c r="G1032" s="13" t="s">
        <v>12</v>
      </c>
      <c r="H1032" s="13" t="s">
        <v>13</v>
      </c>
      <c r="I1032" s="13" t="s">
        <v>282</v>
      </c>
    </row>
    <row r="1033" spans="2:9" s="13" customFormat="1" hidden="1" outlineLevel="1" x14ac:dyDescent="0.3">
      <c r="B1033" s="13" t="s">
        <v>283</v>
      </c>
      <c r="C1033" s="13" t="s">
        <v>284</v>
      </c>
      <c r="D1033" s="13">
        <v>-6</v>
      </c>
      <c r="E1033" s="13" t="s">
        <v>10</v>
      </c>
      <c r="F1033" s="13" t="s">
        <v>165</v>
      </c>
      <c r="G1033" s="13" t="s">
        <v>12</v>
      </c>
      <c r="H1033" s="13" t="s">
        <v>13</v>
      </c>
      <c r="I1033" s="13" t="s">
        <v>285</v>
      </c>
    </row>
    <row r="1034" spans="2:9" s="13" customFormat="1" hidden="1" outlineLevel="1" x14ac:dyDescent="0.3">
      <c r="B1034" s="13" t="s">
        <v>286</v>
      </c>
      <c r="C1034" s="13" t="s">
        <v>287</v>
      </c>
      <c r="D1034" s="13">
        <v>-6</v>
      </c>
      <c r="E1034" s="13" t="s">
        <v>10</v>
      </c>
      <c r="F1034" s="13" t="s">
        <v>165</v>
      </c>
      <c r="G1034" s="13" t="s">
        <v>12</v>
      </c>
      <c r="H1034" s="13" t="s">
        <v>13</v>
      </c>
      <c r="I1034" s="13" t="s">
        <v>288</v>
      </c>
    </row>
    <row r="1035" spans="2:9" s="13" customFormat="1" hidden="1" outlineLevel="1" x14ac:dyDescent="0.3">
      <c r="B1035" s="13" t="s">
        <v>289</v>
      </c>
      <c r="C1035" s="13" t="s">
        <v>164</v>
      </c>
      <c r="D1035" s="13">
        <v>-6</v>
      </c>
      <c r="E1035" s="13" t="s">
        <v>10</v>
      </c>
      <c r="F1035" s="13" t="s">
        <v>290</v>
      </c>
      <c r="G1035" s="13" t="s">
        <v>12</v>
      </c>
      <c r="H1035" s="13" t="s">
        <v>13</v>
      </c>
      <c r="I1035" s="13" t="s">
        <v>291</v>
      </c>
    </row>
    <row r="1036" spans="2:9" s="13" customFormat="1" hidden="1" outlineLevel="1" x14ac:dyDescent="0.3">
      <c r="B1036" s="13" t="s">
        <v>292</v>
      </c>
      <c r="C1036" s="13" t="s">
        <v>168</v>
      </c>
      <c r="D1036" s="13">
        <v>-6</v>
      </c>
      <c r="E1036" s="13" t="s">
        <v>10</v>
      </c>
      <c r="F1036" s="13" t="s">
        <v>290</v>
      </c>
      <c r="G1036" s="13" t="s">
        <v>12</v>
      </c>
      <c r="H1036" s="13" t="s">
        <v>13</v>
      </c>
      <c r="I1036" s="13" t="s">
        <v>293</v>
      </c>
    </row>
    <row r="1037" spans="2:9" s="13" customFormat="1" hidden="1" outlineLevel="1" x14ac:dyDescent="0.3">
      <c r="B1037" s="13" t="s">
        <v>294</v>
      </c>
      <c r="C1037" s="13" t="s">
        <v>171</v>
      </c>
      <c r="D1037" s="13">
        <v>-6</v>
      </c>
      <c r="E1037" s="13" t="s">
        <v>10</v>
      </c>
      <c r="F1037" s="13" t="s">
        <v>290</v>
      </c>
      <c r="G1037" s="13" t="s">
        <v>12</v>
      </c>
      <c r="H1037" s="13" t="s">
        <v>13</v>
      </c>
      <c r="I1037" s="13" t="s">
        <v>295</v>
      </c>
    </row>
    <row r="1038" spans="2:9" s="13" customFormat="1" hidden="1" outlineLevel="1" x14ac:dyDescent="0.3">
      <c r="B1038" s="13" t="s">
        <v>296</v>
      </c>
      <c r="C1038" s="13" t="s">
        <v>174</v>
      </c>
      <c r="D1038" s="13">
        <v>-6</v>
      </c>
      <c r="E1038" s="13" t="s">
        <v>10</v>
      </c>
      <c r="F1038" s="13" t="s">
        <v>290</v>
      </c>
      <c r="G1038" s="13" t="s">
        <v>12</v>
      </c>
      <c r="H1038" s="13" t="s">
        <v>13</v>
      </c>
      <c r="I1038" s="13" t="s">
        <v>297</v>
      </c>
    </row>
    <row r="1039" spans="2:9" s="13" customFormat="1" hidden="1" outlineLevel="1" x14ac:dyDescent="0.3">
      <c r="B1039" s="13" t="s">
        <v>298</v>
      </c>
      <c r="C1039" s="13" t="s">
        <v>177</v>
      </c>
      <c r="D1039" s="13">
        <v>-6</v>
      </c>
      <c r="E1039" s="13" t="s">
        <v>10</v>
      </c>
      <c r="F1039" s="13" t="s">
        <v>290</v>
      </c>
      <c r="G1039" s="13" t="s">
        <v>12</v>
      </c>
      <c r="H1039" s="13" t="s">
        <v>13</v>
      </c>
      <c r="I1039" s="13" t="s">
        <v>299</v>
      </c>
    </row>
    <row r="1040" spans="2:9" s="13" customFormat="1" hidden="1" outlineLevel="1" x14ac:dyDescent="0.3">
      <c r="B1040" s="13" t="s">
        <v>300</v>
      </c>
      <c r="C1040" s="13" t="s">
        <v>180</v>
      </c>
      <c r="D1040" s="13">
        <v>-6</v>
      </c>
      <c r="E1040" s="13" t="s">
        <v>10</v>
      </c>
      <c r="F1040" s="13" t="s">
        <v>290</v>
      </c>
      <c r="G1040" s="13" t="s">
        <v>12</v>
      </c>
      <c r="H1040" s="13" t="s">
        <v>13</v>
      </c>
      <c r="I1040" s="13" t="s">
        <v>301</v>
      </c>
    </row>
    <row r="1041" spans="2:9" s="13" customFormat="1" hidden="1" outlineLevel="1" x14ac:dyDescent="0.3">
      <c r="B1041" s="13" t="s">
        <v>302</v>
      </c>
      <c r="C1041" s="13" t="s">
        <v>183</v>
      </c>
      <c r="D1041" s="13">
        <v>-6</v>
      </c>
      <c r="E1041" s="13" t="s">
        <v>10</v>
      </c>
      <c r="F1041" s="13" t="s">
        <v>290</v>
      </c>
      <c r="G1041" s="13" t="s">
        <v>12</v>
      </c>
      <c r="H1041" s="13" t="s">
        <v>13</v>
      </c>
      <c r="I1041" s="13" t="s">
        <v>303</v>
      </c>
    </row>
    <row r="1042" spans="2:9" s="13" customFormat="1" hidden="1" outlineLevel="1" x14ac:dyDescent="0.3">
      <c r="B1042" s="13" t="s">
        <v>304</v>
      </c>
      <c r="C1042" s="13" t="s">
        <v>186</v>
      </c>
      <c r="D1042" s="13">
        <v>-6</v>
      </c>
      <c r="E1042" s="13" t="s">
        <v>10</v>
      </c>
      <c r="F1042" s="13" t="s">
        <v>290</v>
      </c>
      <c r="G1042" s="13" t="s">
        <v>12</v>
      </c>
      <c r="H1042" s="13" t="s">
        <v>13</v>
      </c>
      <c r="I1042" s="13" t="s">
        <v>268</v>
      </c>
    </row>
    <row r="1043" spans="2:9" s="13" customFormat="1" hidden="1" outlineLevel="1" x14ac:dyDescent="0.3">
      <c r="B1043" s="13" t="s">
        <v>305</v>
      </c>
      <c r="C1043" s="13" t="s">
        <v>189</v>
      </c>
      <c r="D1043" s="13">
        <v>-6</v>
      </c>
      <c r="E1043" s="13" t="s">
        <v>10</v>
      </c>
      <c r="F1043" s="13" t="s">
        <v>290</v>
      </c>
      <c r="G1043" s="13" t="s">
        <v>12</v>
      </c>
      <c r="H1043" s="13" t="s">
        <v>13</v>
      </c>
      <c r="I1043" s="13" t="s">
        <v>306</v>
      </c>
    </row>
    <row r="1044" spans="2:9" s="13" customFormat="1" hidden="1" outlineLevel="1" x14ac:dyDescent="0.3">
      <c r="B1044" s="13" t="s">
        <v>307</v>
      </c>
      <c r="C1044" s="13" t="s">
        <v>192</v>
      </c>
      <c r="E1044" s="13" t="s">
        <v>10</v>
      </c>
      <c r="F1044" s="13" t="s">
        <v>290</v>
      </c>
      <c r="G1044" s="13" t="s">
        <v>12</v>
      </c>
      <c r="H1044" s="13" t="s">
        <v>13</v>
      </c>
      <c r="I1044" s="13" t="s">
        <v>308</v>
      </c>
    </row>
    <row r="1045" spans="2:9" s="13" customFormat="1" hidden="1" outlineLevel="1" x14ac:dyDescent="0.3">
      <c r="B1045" s="13" t="s">
        <v>309</v>
      </c>
      <c r="C1045" s="13" t="s">
        <v>195</v>
      </c>
      <c r="D1045" s="13">
        <v>-6</v>
      </c>
      <c r="E1045" s="13" t="s">
        <v>10</v>
      </c>
      <c r="F1045" s="13" t="s">
        <v>290</v>
      </c>
      <c r="G1045" s="13" t="s">
        <v>12</v>
      </c>
      <c r="H1045" s="13" t="s">
        <v>13</v>
      </c>
      <c r="I1045" s="13" t="s">
        <v>310</v>
      </c>
    </row>
    <row r="1046" spans="2:9" s="13" customFormat="1" hidden="1" outlineLevel="1" x14ac:dyDescent="0.3">
      <c r="B1046" s="13" t="s">
        <v>311</v>
      </c>
      <c r="C1046" s="13" t="s">
        <v>198</v>
      </c>
      <c r="D1046" s="13">
        <v>-6</v>
      </c>
      <c r="E1046" s="13" t="s">
        <v>10</v>
      </c>
      <c r="F1046" s="13" t="s">
        <v>290</v>
      </c>
      <c r="G1046" s="13" t="s">
        <v>12</v>
      </c>
      <c r="H1046" s="13" t="s">
        <v>13</v>
      </c>
      <c r="I1046" s="13" t="s">
        <v>312</v>
      </c>
    </row>
    <row r="1047" spans="2:9" s="13" customFormat="1" hidden="1" outlineLevel="1" x14ac:dyDescent="0.3">
      <c r="B1047" s="13" t="s">
        <v>313</v>
      </c>
      <c r="C1047" s="13" t="s">
        <v>201</v>
      </c>
      <c r="D1047" s="13">
        <v>-6</v>
      </c>
      <c r="E1047" s="13" t="s">
        <v>10</v>
      </c>
      <c r="F1047" s="13" t="s">
        <v>290</v>
      </c>
      <c r="G1047" s="13" t="s">
        <v>12</v>
      </c>
      <c r="H1047" s="13" t="s">
        <v>13</v>
      </c>
      <c r="I1047" s="13" t="s">
        <v>314</v>
      </c>
    </row>
    <row r="1048" spans="2:9" s="13" customFormat="1" hidden="1" outlineLevel="1" x14ac:dyDescent="0.3">
      <c r="B1048" s="13" t="s">
        <v>315</v>
      </c>
      <c r="C1048" s="13" t="s">
        <v>204</v>
      </c>
      <c r="D1048" s="13">
        <v>-6</v>
      </c>
      <c r="E1048" s="13" t="s">
        <v>10</v>
      </c>
      <c r="F1048" s="13" t="s">
        <v>290</v>
      </c>
      <c r="G1048" s="13" t="s">
        <v>12</v>
      </c>
      <c r="H1048" s="13" t="s">
        <v>13</v>
      </c>
      <c r="I1048" s="13" t="s">
        <v>316</v>
      </c>
    </row>
    <row r="1049" spans="2:9" s="13" customFormat="1" hidden="1" outlineLevel="1" x14ac:dyDescent="0.3">
      <c r="B1049" s="13" t="s">
        <v>317</v>
      </c>
      <c r="C1049" s="13" t="s">
        <v>207</v>
      </c>
      <c r="D1049" s="13">
        <v>-6</v>
      </c>
      <c r="E1049" s="13" t="s">
        <v>10</v>
      </c>
      <c r="F1049" s="13" t="s">
        <v>290</v>
      </c>
      <c r="G1049" s="13" t="s">
        <v>12</v>
      </c>
      <c r="H1049" s="13" t="s">
        <v>13</v>
      </c>
      <c r="I1049" s="13" t="s">
        <v>318</v>
      </c>
    </row>
    <row r="1050" spans="2:9" s="13" customFormat="1" hidden="1" outlineLevel="1" x14ac:dyDescent="0.3">
      <c r="B1050" s="13" t="s">
        <v>319</v>
      </c>
      <c r="C1050" s="13" t="s">
        <v>210</v>
      </c>
      <c r="D1050" s="13">
        <v>-6</v>
      </c>
      <c r="E1050" s="13" t="s">
        <v>10</v>
      </c>
      <c r="F1050" s="13" t="s">
        <v>290</v>
      </c>
      <c r="G1050" s="13" t="s">
        <v>12</v>
      </c>
      <c r="H1050" s="13" t="s">
        <v>13</v>
      </c>
      <c r="I1050" s="13" t="s">
        <v>320</v>
      </c>
    </row>
    <row r="1051" spans="2:9" s="13" customFormat="1" hidden="1" outlineLevel="1" x14ac:dyDescent="0.3">
      <c r="B1051" s="13" t="s">
        <v>321</v>
      </c>
      <c r="C1051" s="13" t="s">
        <v>213</v>
      </c>
      <c r="D1051" s="13">
        <v>-6</v>
      </c>
      <c r="E1051" s="13" t="s">
        <v>10</v>
      </c>
      <c r="F1051" s="13" t="s">
        <v>290</v>
      </c>
      <c r="G1051" s="13" t="s">
        <v>12</v>
      </c>
      <c r="H1051" s="13" t="s">
        <v>13</v>
      </c>
      <c r="I1051" s="13" t="s">
        <v>322</v>
      </c>
    </row>
    <row r="1052" spans="2:9" s="13" customFormat="1" hidden="1" outlineLevel="1" x14ac:dyDescent="0.3">
      <c r="B1052" s="13" t="s">
        <v>323</v>
      </c>
      <c r="C1052" s="13" t="s">
        <v>216</v>
      </c>
      <c r="D1052" s="13">
        <v>-6</v>
      </c>
      <c r="E1052" s="13" t="s">
        <v>10</v>
      </c>
      <c r="F1052" s="13" t="s">
        <v>290</v>
      </c>
      <c r="G1052" s="13" t="s">
        <v>12</v>
      </c>
      <c r="H1052" s="13" t="s">
        <v>13</v>
      </c>
      <c r="I1052" s="13" t="s">
        <v>324</v>
      </c>
    </row>
    <row r="1053" spans="2:9" s="13" customFormat="1" hidden="1" outlineLevel="1" x14ac:dyDescent="0.3">
      <c r="B1053" s="13" t="s">
        <v>325</v>
      </c>
      <c r="C1053" s="13" t="s">
        <v>219</v>
      </c>
      <c r="D1053" s="13">
        <v>-6</v>
      </c>
      <c r="E1053" s="13" t="s">
        <v>10</v>
      </c>
      <c r="F1053" s="13" t="s">
        <v>290</v>
      </c>
      <c r="G1053" s="13" t="s">
        <v>12</v>
      </c>
      <c r="H1053" s="13" t="s">
        <v>13</v>
      </c>
      <c r="I1053" s="13" t="s">
        <v>326</v>
      </c>
    </row>
    <row r="1054" spans="2:9" s="13" customFormat="1" hidden="1" outlineLevel="1" x14ac:dyDescent="0.3">
      <c r="B1054" s="13" t="s">
        <v>327</v>
      </c>
      <c r="C1054" s="13" t="s">
        <v>222</v>
      </c>
      <c r="D1054" s="13">
        <v>-6</v>
      </c>
      <c r="E1054" s="13" t="s">
        <v>10</v>
      </c>
      <c r="F1054" s="13" t="s">
        <v>290</v>
      </c>
      <c r="G1054" s="13" t="s">
        <v>12</v>
      </c>
      <c r="H1054" s="13" t="s">
        <v>13</v>
      </c>
      <c r="I1054" s="13" t="s">
        <v>328</v>
      </c>
    </row>
    <row r="1055" spans="2:9" s="13" customFormat="1" hidden="1" outlineLevel="1" x14ac:dyDescent="0.3">
      <c r="B1055" s="13" t="s">
        <v>329</v>
      </c>
      <c r="C1055" s="13" t="s">
        <v>225</v>
      </c>
      <c r="D1055" s="13">
        <v>-6</v>
      </c>
      <c r="E1055" s="13" t="s">
        <v>10</v>
      </c>
      <c r="F1055" s="13" t="s">
        <v>290</v>
      </c>
      <c r="G1055" s="13" t="s">
        <v>12</v>
      </c>
      <c r="H1055" s="13" t="s">
        <v>13</v>
      </c>
      <c r="I1055" s="13" t="s">
        <v>330</v>
      </c>
    </row>
    <row r="1056" spans="2:9" s="13" customFormat="1" hidden="1" outlineLevel="1" x14ac:dyDescent="0.3">
      <c r="B1056" s="13" t="s">
        <v>331</v>
      </c>
      <c r="C1056" s="13" t="s">
        <v>228</v>
      </c>
      <c r="D1056" s="13">
        <v>-6</v>
      </c>
      <c r="E1056" s="13" t="s">
        <v>10</v>
      </c>
      <c r="F1056" s="13" t="s">
        <v>290</v>
      </c>
      <c r="G1056" s="13" t="s">
        <v>12</v>
      </c>
      <c r="H1056" s="13" t="s">
        <v>13</v>
      </c>
      <c r="I1056" s="13" t="s">
        <v>332</v>
      </c>
    </row>
    <row r="1057" spans="2:9" s="13" customFormat="1" hidden="1" outlineLevel="1" x14ac:dyDescent="0.3">
      <c r="B1057" s="13" t="s">
        <v>333</v>
      </c>
      <c r="C1057" s="13" t="s">
        <v>231</v>
      </c>
      <c r="D1057" s="13">
        <v>-6</v>
      </c>
      <c r="E1057" s="13" t="s">
        <v>10</v>
      </c>
      <c r="F1057" s="13" t="s">
        <v>290</v>
      </c>
      <c r="G1057" s="13" t="s">
        <v>12</v>
      </c>
      <c r="H1057" s="13" t="s">
        <v>13</v>
      </c>
      <c r="I1057" s="13" t="s">
        <v>334</v>
      </c>
    </row>
    <row r="1058" spans="2:9" s="13" customFormat="1" hidden="1" outlineLevel="1" x14ac:dyDescent="0.3">
      <c r="B1058" s="13" t="s">
        <v>335</v>
      </c>
      <c r="C1058" s="13" t="s">
        <v>234</v>
      </c>
      <c r="D1058" s="13">
        <v>-6</v>
      </c>
      <c r="E1058" s="13" t="s">
        <v>10</v>
      </c>
      <c r="F1058" s="13" t="s">
        <v>290</v>
      </c>
      <c r="G1058" s="13" t="s">
        <v>12</v>
      </c>
      <c r="H1058" s="13" t="s">
        <v>13</v>
      </c>
      <c r="I1058" s="13" t="s">
        <v>336</v>
      </c>
    </row>
    <row r="1059" spans="2:9" s="13" customFormat="1" hidden="1" outlineLevel="1" x14ac:dyDescent="0.3">
      <c r="B1059" s="13" t="s">
        <v>337</v>
      </c>
      <c r="C1059" s="13" t="s">
        <v>237</v>
      </c>
      <c r="D1059" s="13">
        <v>-6</v>
      </c>
      <c r="E1059" s="13" t="s">
        <v>10</v>
      </c>
      <c r="F1059" s="13" t="s">
        <v>290</v>
      </c>
      <c r="G1059" s="13" t="s">
        <v>12</v>
      </c>
      <c r="H1059" s="13" t="s">
        <v>13</v>
      </c>
      <c r="I1059" s="13" t="s">
        <v>338</v>
      </c>
    </row>
    <row r="1060" spans="2:9" s="13" customFormat="1" hidden="1" outlineLevel="1" x14ac:dyDescent="0.3">
      <c r="B1060" s="13" t="s">
        <v>339</v>
      </c>
      <c r="C1060" s="13" t="s">
        <v>240</v>
      </c>
      <c r="D1060" s="13">
        <v>-6</v>
      </c>
      <c r="E1060" s="13" t="s">
        <v>10</v>
      </c>
      <c r="F1060" s="13" t="s">
        <v>290</v>
      </c>
      <c r="G1060" s="13" t="s">
        <v>12</v>
      </c>
      <c r="H1060" s="13" t="s">
        <v>13</v>
      </c>
      <c r="I1060" s="13" t="s">
        <v>340</v>
      </c>
    </row>
    <row r="1061" spans="2:9" s="13" customFormat="1" hidden="1" outlineLevel="1" x14ac:dyDescent="0.3">
      <c r="B1061" s="13" t="s">
        <v>341</v>
      </c>
      <c r="C1061" s="13" t="s">
        <v>243</v>
      </c>
      <c r="D1061" s="13">
        <v>-6</v>
      </c>
      <c r="E1061" s="13" t="s">
        <v>10</v>
      </c>
      <c r="F1061" s="13" t="s">
        <v>290</v>
      </c>
      <c r="G1061" s="13" t="s">
        <v>12</v>
      </c>
      <c r="H1061" s="13" t="s">
        <v>13</v>
      </c>
      <c r="I1061" s="13" t="s">
        <v>342</v>
      </c>
    </row>
    <row r="1062" spans="2:9" s="13" customFormat="1" hidden="1" outlineLevel="1" x14ac:dyDescent="0.3">
      <c r="B1062" s="13" t="s">
        <v>343</v>
      </c>
      <c r="C1062" s="13" t="s">
        <v>246</v>
      </c>
      <c r="D1062" s="13">
        <v>-6</v>
      </c>
      <c r="E1062" s="13" t="s">
        <v>10</v>
      </c>
      <c r="F1062" s="13" t="s">
        <v>290</v>
      </c>
      <c r="G1062" s="13" t="s">
        <v>12</v>
      </c>
      <c r="H1062" s="13" t="s">
        <v>13</v>
      </c>
      <c r="I1062" s="13" t="s">
        <v>344</v>
      </c>
    </row>
    <row r="1063" spans="2:9" s="13" customFormat="1" hidden="1" outlineLevel="1" x14ac:dyDescent="0.3">
      <c r="B1063" s="13" t="s">
        <v>345</v>
      </c>
      <c r="C1063" s="13" t="s">
        <v>249</v>
      </c>
      <c r="D1063" s="13">
        <v>-6</v>
      </c>
      <c r="E1063" s="13" t="s">
        <v>10</v>
      </c>
      <c r="F1063" s="13" t="s">
        <v>290</v>
      </c>
      <c r="G1063" s="13" t="s">
        <v>12</v>
      </c>
      <c r="H1063" s="13" t="s">
        <v>13</v>
      </c>
      <c r="I1063" s="13" t="s">
        <v>346</v>
      </c>
    </row>
    <row r="1064" spans="2:9" s="13" customFormat="1" hidden="1" outlineLevel="1" x14ac:dyDescent="0.3">
      <c r="B1064" s="13" t="s">
        <v>347</v>
      </c>
      <c r="C1064" s="13" t="s">
        <v>252</v>
      </c>
      <c r="D1064" s="13">
        <v>-6</v>
      </c>
      <c r="E1064" s="13" t="s">
        <v>10</v>
      </c>
      <c r="F1064" s="13" t="s">
        <v>290</v>
      </c>
      <c r="G1064" s="13" t="s">
        <v>12</v>
      </c>
      <c r="H1064" s="13" t="s">
        <v>13</v>
      </c>
      <c r="I1064" s="13" t="s">
        <v>348</v>
      </c>
    </row>
    <row r="1065" spans="2:9" s="13" customFormat="1" hidden="1" outlineLevel="1" x14ac:dyDescent="0.3">
      <c r="B1065" s="13" t="s">
        <v>349</v>
      </c>
      <c r="C1065" s="13" t="s">
        <v>255</v>
      </c>
      <c r="D1065" s="13">
        <v>-6</v>
      </c>
      <c r="E1065" s="13" t="s">
        <v>10</v>
      </c>
      <c r="F1065" s="13" t="s">
        <v>290</v>
      </c>
      <c r="G1065" s="13" t="s">
        <v>12</v>
      </c>
      <c r="H1065" s="13" t="s">
        <v>13</v>
      </c>
      <c r="I1065" s="13" t="s">
        <v>350</v>
      </c>
    </row>
    <row r="1066" spans="2:9" s="13" customFormat="1" hidden="1" outlineLevel="1" x14ac:dyDescent="0.3">
      <c r="B1066" s="13" t="s">
        <v>351</v>
      </c>
      <c r="C1066" s="13" t="s">
        <v>258</v>
      </c>
      <c r="D1066" s="13">
        <v>-6</v>
      </c>
      <c r="E1066" s="13" t="s">
        <v>10</v>
      </c>
      <c r="F1066" s="13" t="s">
        <v>290</v>
      </c>
      <c r="G1066" s="13" t="s">
        <v>12</v>
      </c>
      <c r="H1066" s="13" t="s">
        <v>13</v>
      </c>
      <c r="I1066" s="13" t="s">
        <v>352</v>
      </c>
    </row>
    <row r="1067" spans="2:9" s="13" customFormat="1" hidden="1" outlineLevel="1" x14ac:dyDescent="0.3">
      <c r="B1067" s="13" t="s">
        <v>353</v>
      </c>
      <c r="C1067" s="13" t="s">
        <v>261</v>
      </c>
      <c r="D1067" s="13">
        <v>-6</v>
      </c>
      <c r="E1067" s="13" t="s">
        <v>10</v>
      </c>
      <c r="F1067" s="13" t="s">
        <v>290</v>
      </c>
      <c r="G1067" s="13" t="s">
        <v>12</v>
      </c>
      <c r="H1067" s="13" t="s">
        <v>13</v>
      </c>
      <c r="I1067" s="13" t="s">
        <v>354</v>
      </c>
    </row>
    <row r="1068" spans="2:9" s="13" customFormat="1" hidden="1" outlineLevel="1" x14ac:dyDescent="0.3">
      <c r="B1068" s="13" t="s">
        <v>355</v>
      </c>
      <c r="C1068" s="13" t="s">
        <v>264</v>
      </c>
      <c r="D1068" s="13">
        <v>-6</v>
      </c>
      <c r="E1068" s="13" t="s">
        <v>10</v>
      </c>
      <c r="F1068" s="13" t="s">
        <v>290</v>
      </c>
      <c r="G1068" s="13" t="s">
        <v>12</v>
      </c>
      <c r="H1068" s="13" t="s">
        <v>13</v>
      </c>
      <c r="I1068" s="13" t="s">
        <v>356</v>
      </c>
    </row>
    <row r="1069" spans="2:9" s="13" customFormat="1" hidden="1" outlineLevel="1" x14ac:dyDescent="0.3">
      <c r="B1069" s="13" t="s">
        <v>357</v>
      </c>
      <c r="C1069" s="13" t="s">
        <v>267</v>
      </c>
      <c r="D1069" s="13">
        <v>-6</v>
      </c>
      <c r="E1069" s="13" t="s">
        <v>10</v>
      </c>
      <c r="F1069" s="13" t="s">
        <v>290</v>
      </c>
      <c r="G1069" s="13" t="s">
        <v>12</v>
      </c>
      <c r="H1069" s="13" t="s">
        <v>13</v>
      </c>
      <c r="I1069" s="13" t="s">
        <v>358</v>
      </c>
    </row>
    <row r="1070" spans="2:9" s="13" customFormat="1" hidden="1" outlineLevel="1" x14ac:dyDescent="0.3">
      <c r="B1070" s="13" t="s">
        <v>359</v>
      </c>
      <c r="C1070" s="13" t="s">
        <v>270</v>
      </c>
      <c r="D1070" s="13">
        <v>-6</v>
      </c>
      <c r="E1070" s="13" t="s">
        <v>10</v>
      </c>
      <c r="F1070" s="13" t="s">
        <v>290</v>
      </c>
      <c r="G1070" s="13" t="s">
        <v>12</v>
      </c>
      <c r="H1070" s="13" t="s">
        <v>13</v>
      </c>
      <c r="I1070" s="13" t="s">
        <v>360</v>
      </c>
    </row>
    <row r="1071" spans="2:9" s="13" customFormat="1" hidden="1" outlineLevel="1" x14ac:dyDescent="0.3">
      <c r="B1071" s="13" t="s">
        <v>361</v>
      </c>
      <c r="C1071" s="13" t="s">
        <v>273</v>
      </c>
      <c r="D1071" s="13">
        <v>-6</v>
      </c>
      <c r="E1071" s="13" t="s">
        <v>10</v>
      </c>
      <c r="F1071" s="13" t="s">
        <v>290</v>
      </c>
      <c r="G1071" s="13" t="s">
        <v>12</v>
      </c>
      <c r="H1071" s="13" t="s">
        <v>13</v>
      </c>
      <c r="I1071" s="13" t="s">
        <v>362</v>
      </c>
    </row>
    <row r="1072" spans="2:9" s="13" customFormat="1" hidden="1" outlineLevel="1" x14ac:dyDescent="0.3">
      <c r="B1072" s="13" t="s">
        <v>363</v>
      </c>
      <c r="C1072" s="13" t="s">
        <v>276</v>
      </c>
      <c r="D1072" s="13">
        <v>-6</v>
      </c>
      <c r="E1072" s="13" t="s">
        <v>10</v>
      </c>
      <c r="F1072" s="13" t="s">
        <v>290</v>
      </c>
      <c r="G1072" s="13" t="s">
        <v>12</v>
      </c>
      <c r="H1072" s="13" t="s">
        <v>13</v>
      </c>
      <c r="I1072" s="13" t="s">
        <v>314</v>
      </c>
    </row>
    <row r="1073" spans="2:9" s="13" customFormat="1" hidden="1" outlineLevel="1" x14ac:dyDescent="0.3">
      <c r="B1073" s="13" t="s">
        <v>364</v>
      </c>
      <c r="C1073" s="13" t="s">
        <v>278</v>
      </c>
      <c r="D1073" s="13">
        <v>-6</v>
      </c>
      <c r="E1073" s="13" t="s">
        <v>10</v>
      </c>
      <c r="F1073" s="13" t="s">
        <v>290</v>
      </c>
      <c r="G1073" s="13" t="s">
        <v>12</v>
      </c>
      <c r="H1073" s="13" t="s">
        <v>13</v>
      </c>
      <c r="I1073" s="13" t="s">
        <v>365</v>
      </c>
    </row>
    <row r="1074" spans="2:9" s="13" customFormat="1" hidden="1" outlineLevel="1" x14ac:dyDescent="0.3">
      <c r="B1074" s="13" t="s">
        <v>366</v>
      </c>
      <c r="C1074" s="13" t="s">
        <v>281</v>
      </c>
      <c r="D1074" s="13">
        <v>-6</v>
      </c>
      <c r="E1074" s="13" t="s">
        <v>10</v>
      </c>
      <c r="F1074" s="13" t="s">
        <v>290</v>
      </c>
      <c r="G1074" s="13" t="s">
        <v>12</v>
      </c>
      <c r="H1074" s="13" t="s">
        <v>13</v>
      </c>
      <c r="I1074" s="13" t="s">
        <v>367</v>
      </c>
    </row>
    <row r="1075" spans="2:9" s="13" customFormat="1" hidden="1" outlineLevel="1" x14ac:dyDescent="0.3">
      <c r="B1075" s="13" t="s">
        <v>368</v>
      </c>
      <c r="C1075" s="13" t="s">
        <v>284</v>
      </c>
      <c r="D1075" s="13">
        <v>-6</v>
      </c>
      <c r="E1075" s="13" t="s">
        <v>10</v>
      </c>
      <c r="F1075" s="13" t="s">
        <v>290</v>
      </c>
      <c r="G1075" s="13" t="s">
        <v>12</v>
      </c>
      <c r="H1075" s="13" t="s">
        <v>13</v>
      </c>
      <c r="I1075" s="13" t="s">
        <v>369</v>
      </c>
    </row>
    <row r="1076" spans="2:9" s="13" customFormat="1" hidden="1" outlineLevel="1" x14ac:dyDescent="0.3">
      <c r="B1076" s="13" t="s">
        <v>370</v>
      </c>
      <c r="C1076" s="13" t="s">
        <v>287</v>
      </c>
      <c r="D1076" s="13">
        <v>-6</v>
      </c>
      <c r="E1076" s="13" t="s">
        <v>10</v>
      </c>
      <c r="F1076" s="13" t="s">
        <v>290</v>
      </c>
      <c r="G1076" s="13" t="s">
        <v>12</v>
      </c>
      <c r="H1076" s="13" t="s">
        <v>13</v>
      </c>
      <c r="I1076" s="13" t="s">
        <v>371</v>
      </c>
    </row>
    <row r="1077" spans="2:9" s="13" customFormat="1" hidden="1" outlineLevel="1" x14ac:dyDescent="0.3">
      <c r="B1077" s="13" t="s">
        <v>372</v>
      </c>
      <c r="C1077" s="13" t="s">
        <v>110</v>
      </c>
      <c r="E1077" s="13" t="s">
        <v>10</v>
      </c>
      <c r="F1077" s="13" t="s">
        <v>71</v>
      </c>
      <c r="G1077" s="13" t="s">
        <v>12</v>
      </c>
      <c r="H1077" s="13" t="s">
        <v>373</v>
      </c>
      <c r="I1077" s="13" t="s">
        <v>308</v>
      </c>
    </row>
    <row r="1078" spans="2:9" s="13" customFormat="1" hidden="1" outlineLevel="1" x14ac:dyDescent="0.3">
      <c r="B1078" s="13" t="s">
        <v>374</v>
      </c>
      <c r="C1078" s="13" t="s">
        <v>375</v>
      </c>
      <c r="E1078" s="13" t="s">
        <v>10</v>
      </c>
      <c r="F1078" s="13" t="s">
        <v>71</v>
      </c>
      <c r="G1078" s="13" t="s">
        <v>12</v>
      </c>
      <c r="H1078" s="13" t="s">
        <v>373</v>
      </c>
      <c r="I1078" s="13" t="s">
        <v>308</v>
      </c>
    </row>
    <row r="1079" spans="2:9" s="13" customFormat="1" hidden="1" outlineLevel="1" x14ac:dyDescent="0.3">
      <c r="B1079" s="13" t="s">
        <v>376</v>
      </c>
      <c r="C1079" s="13" t="s">
        <v>116</v>
      </c>
      <c r="D1079" s="13">
        <v>-6</v>
      </c>
      <c r="E1079" s="13" t="s">
        <v>10</v>
      </c>
      <c r="F1079" s="13" t="s">
        <v>71</v>
      </c>
      <c r="G1079" s="13" t="s">
        <v>12</v>
      </c>
      <c r="H1079" s="13" t="s">
        <v>373</v>
      </c>
      <c r="I1079" s="13" t="s">
        <v>377</v>
      </c>
    </row>
    <row r="1080" spans="2:9" s="13" customFormat="1" hidden="1" outlineLevel="1" x14ac:dyDescent="0.3">
      <c r="B1080" s="13" t="s">
        <v>378</v>
      </c>
      <c r="C1080" s="13" t="s">
        <v>119</v>
      </c>
      <c r="D1080" s="13">
        <v>-6</v>
      </c>
      <c r="E1080" s="13" t="s">
        <v>10</v>
      </c>
      <c r="F1080" s="13" t="s">
        <v>71</v>
      </c>
      <c r="G1080" s="13" t="s">
        <v>12</v>
      </c>
      <c r="H1080" s="13" t="s">
        <v>373</v>
      </c>
      <c r="I1080" s="13" t="s">
        <v>152</v>
      </c>
    </row>
    <row r="1081" spans="2:9" s="13" customFormat="1" hidden="1" outlineLevel="1" x14ac:dyDescent="0.3">
      <c r="B1081" s="13" t="s">
        <v>379</v>
      </c>
      <c r="C1081" s="13" t="s">
        <v>380</v>
      </c>
      <c r="D1081" s="13">
        <v>-6</v>
      </c>
      <c r="E1081" s="13" t="s">
        <v>10</v>
      </c>
      <c r="F1081" s="13" t="s">
        <v>71</v>
      </c>
      <c r="G1081" s="13" t="s">
        <v>12</v>
      </c>
      <c r="H1081" s="13" t="s">
        <v>373</v>
      </c>
      <c r="I1081" s="13" t="s">
        <v>381</v>
      </c>
    </row>
    <row r="1082" spans="2:9" s="13" customFormat="1" hidden="1" outlineLevel="1" x14ac:dyDescent="0.3">
      <c r="B1082" s="13" t="s">
        <v>382</v>
      </c>
      <c r="C1082" s="13" t="s">
        <v>383</v>
      </c>
      <c r="D1082" s="13">
        <v>-6</v>
      </c>
      <c r="E1082" s="13" t="s">
        <v>10</v>
      </c>
      <c r="F1082" s="13" t="s">
        <v>71</v>
      </c>
      <c r="G1082" s="13" t="s">
        <v>12</v>
      </c>
      <c r="H1082" s="13" t="s">
        <v>373</v>
      </c>
      <c r="I1082" s="13" t="s">
        <v>384</v>
      </c>
    </row>
    <row r="1083" spans="2:9" s="13" customFormat="1" hidden="1" outlineLevel="1" x14ac:dyDescent="0.3">
      <c r="B1083" s="13" t="s">
        <v>385</v>
      </c>
      <c r="C1083" s="13" t="s">
        <v>386</v>
      </c>
      <c r="E1083" s="13" t="s">
        <v>10</v>
      </c>
      <c r="F1083" s="13" t="s">
        <v>71</v>
      </c>
      <c r="G1083" s="13" t="s">
        <v>12</v>
      </c>
      <c r="H1083" s="13" t="s">
        <v>373</v>
      </c>
      <c r="I1083" s="13" t="s">
        <v>308</v>
      </c>
    </row>
    <row r="1084" spans="2:9" s="13" customFormat="1" hidden="1" outlineLevel="1" x14ac:dyDescent="0.3">
      <c r="B1084" s="13" t="s">
        <v>387</v>
      </c>
      <c r="C1084" s="13" t="s">
        <v>388</v>
      </c>
      <c r="E1084" s="13" t="s">
        <v>10</v>
      </c>
      <c r="F1084" s="13" t="s">
        <v>71</v>
      </c>
      <c r="G1084" s="13" t="s">
        <v>12</v>
      </c>
      <c r="H1084" s="13" t="s">
        <v>373</v>
      </c>
      <c r="I1084" s="13" t="s">
        <v>308</v>
      </c>
    </row>
    <row r="1085" spans="2:9" s="13" customFormat="1" hidden="1" outlineLevel="1" x14ac:dyDescent="0.3">
      <c r="B1085" s="13" t="s">
        <v>389</v>
      </c>
      <c r="C1085" s="13" t="s">
        <v>390</v>
      </c>
      <c r="E1085" s="13" t="s">
        <v>10</v>
      </c>
      <c r="F1085" s="13" t="s">
        <v>71</v>
      </c>
      <c r="G1085" s="13" t="s">
        <v>12</v>
      </c>
      <c r="H1085" s="13" t="s">
        <v>373</v>
      </c>
      <c r="I1085" s="13" t="s">
        <v>308</v>
      </c>
    </row>
    <row r="1086" spans="2:9" s="13" customFormat="1" hidden="1" outlineLevel="1" x14ac:dyDescent="0.3">
      <c r="B1086" s="13" t="s">
        <v>391</v>
      </c>
      <c r="C1086" s="13" t="s">
        <v>392</v>
      </c>
      <c r="E1086" s="13" t="s">
        <v>10</v>
      </c>
      <c r="F1086" s="13" t="s">
        <v>71</v>
      </c>
      <c r="G1086" s="13" t="s">
        <v>12</v>
      </c>
      <c r="H1086" s="13" t="s">
        <v>373</v>
      </c>
      <c r="I1086" s="13" t="s">
        <v>308</v>
      </c>
    </row>
    <row r="1087" spans="2:9" s="13" customFormat="1" hidden="1" outlineLevel="1" x14ac:dyDescent="0.3">
      <c r="B1087" s="13" t="s">
        <v>393</v>
      </c>
      <c r="C1087" s="13" t="s">
        <v>394</v>
      </c>
      <c r="E1087" s="13" t="s">
        <v>10</v>
      </c>
      <c r="F1087" s="13" t="s">
        <v>71</v>
      </c>
      <c r="G1087" s="13" t="s">
        <v>12</v>
      </c>
      <c r="H1087" s="13" t="s">
        <v>373</v>
      </c>
      <c r="I1087" s="13" t="s">
        <v>308</v>
      </c>
    </row>
    <row r="1088" spans="2:9" s="13" customFormat="1" hidden="1" outlineLevel="1" x14ac:dyDescent="0.3">
      <c r="B1088" s="13" t="s">
        <v>395</v>
      </c>
      <c r="C1088" s="13" t="s">
        <v>396</v>
      </c>
      <c r="D1088" s="13">
        <v>-6</v>
      </c>
      <c r="E1088" s="13" t="s">
        <v>10</v>
      </c>
      <c r="F1088" s="13" t="s">
        <v>71</v>
      </c>
      <c r="G1088" s="13" t="s">
        <v>12</v>
      </c>
      <c r="H1088" s="13" t="s">
        <v>373</v>
      </c>
      <c r="I1088" s="13" t="s">
        <v>397</v>
      </c>
    </row>
    <row r="1089" spans="2:9" s="13" customFormat="1" hidden="1" outlineLevel="1" x14ac:dyDescent="0.3">
      <c r="B1089" s="13" t="s">
        <v>398</v>
      </c>
      <c r="C1089" s="13" t="s">
        <v>210</v>
      </c>
      <c r="D1089" s="13">
        <v>-6</v>
      </c>
      <c r="E1089" s="13" t="s">
        <v>10</v>
      </c>
      <c r="F1089" s="13" t="s">
        <v>290</v>
      </c>
      <c r="G1089" s="13" t="s">
        <v>12</v>
      </c>
      <c r="H1089" s="13" t="s">
        <v>373</v>
      </c>
      <c r="I1089" s="13" t="s">
        <v>318</v>
      </c>
    </row>
    <row r="1090" spans="2:9" s="13" customFormat="1" hidden="1" outlineLevel="1" x14ac:dyDescent="0.3">
      <c r="B1090" s="13" t="s">
        <v>399</v>
      </c>
      <c r="C1090" s="13" t="s">
        <v>210</v>
      </c>
      <c r="D1090" s="13">
        <v>-6</v>
      </c>
      <c r="E1090" s="13" t="s">
        <v>10</v>
      </c>
      <c r="F1090" s="13" t="s">
        <v>290</v>
      </c>
      <c r="G1090" s="13" t="s">
        <v>12</v>
      </c>
      <c r="H1090" s="13" t="s">
        <v>373</v>
      </c>
      <c r="I1090" s="13" t="s">
        <v>318</v>
      </c>
    </row>
    <row r="1091" spans="2:9" s="13" customFormat="1" hidden="1" outlineLevel="1" x14ac:dyDescent="0.3">
      <c r="B1091" s="13" t="s">
        <v>400</v>
      </c>
      <c r="C1091" s="13" t="s">
        <v>40</v>
      </c>
      <c r="D1091" s="13">
        <v>-6</v>
      </c>
      <c r="E1091" s="13" t="s">
        <v>10</v>
      </c>
      <c r="F1091" s="13" t="s">
        <v>11</v>
      </c>
      <c r="G1091" s="13" t="s">
        <v>12</v>
      </c>
      <c r="H1091" s="13" t="s">
        <v>373</v>
      </c>
      <c r="I1091" s="13" t="s">
        <v>47</v>
      </c>
    </row>
    <row r="1092" spans="2:9" s="13" customFormat="1" hidden="1" outlineLevel="1" x14ac:dyDescent="0.3">
      <c r="B1092" s="13" t="s">
        <v>401</v>
      </c>
      <c r="C1092" s="13" t="s">
        <v>130</v>
      </c>
      <c r="E1092" s="13" t="s">
        <v>10</v>
      </c>
      <c r="F1092" s="13" t="s">
        <v>11</v>
      </c>
      <c r="G1092" s="13" t="s">
        <v>12</v>
      </c>
      <c r="H1092" s="13" t="s">
        <v>373</v>
      </c>
      <c r="I1092" s="13" t="s">
        <v>308</v>
      </c>
    </row>
    <row r="1093" spans="2:9" s="13" customFormat="1" hidden="1" outlineLevel="1" x14ac:dyDescent="0.3">
      <c r="B1093" s="13" t="s">
        <v>402</v>
      </c>
      <c r="C1093" s="13" t="s">
        <v>136</v>
      </c>
      <c r="D1093" s="13">
        <v>-6</v>
      </c>
      <c r="E1093" s="13" t="s">
        <v>10</v>
      </c>
      <c r="F1093" s="13" t="s">
        <v>11</v>
      </c>
      <c r="G1093" s="13" t="s">
        <v>12</v>
      </c>
      <c r="H1093" s="13" t="s">
        <v>373</v>
      </c>
      <c r="I1093" s="13" t="s">
        <v>403</v>
      </c>
    </row>
    <row r="1094" spans="2:9" s="13" customFormat="1" hidden="1" outlineLevel="1" x14ac:dyDescent="0.3">
      <c r="B1094" s="13" t="s">
        <v>404</v>
      </c>
      <c r="C1094" s="13" t="s">
        <v>139</v>
      </c>
      <c r="E1094" s="13" t="s">
        <v>10</v>
      </c>
      <c r="F1094" s="13" t="s">
        <v>11</v>
      </c>
      <c r="G1094" s="13" t="s">
        <v>12</v>
      </c>
      <c r="H1094" s="13" t="s">
        <v>373</v>
      </c>
      <c r="I1094" s="13" t="s">
        <v>308</v>
      </c>
    </row>
    <row r="1095" spans="2:9" s="13" customFormat="1" hidden="1" outlineLevel="1" x14ac:dyDescent="0.3">
      <c r="B1095" s="13" t="s">
        <v>405</v>
      </c>
      <c r="C1095" s="13" t="s">
        <v>110</v>
      </c>
      <c r="E1095" s="13" t="s">
        <v>10</v>
      </c>
      <c r="F1095" s="13" t="s">
        <v>11</v>
      </c>
      <c r="G1095" s="13" t="s">
        <v>12</v>
      </c>
      <c r="H1095" s="13" t="s">
        <v>373</v>
      </c>
      <c r="I1095" s="13" t="s">
        <v>308</v>
      </c>
    </row>
    <row r="1096" spans="2:9" s="13" customFormat="1" hidden="1" outlineLevel="1" x14ac:dyDescent="0.3">
      <c r="B1096" s="13" t="s">
        <v>406</v>
      </c>
      <c r="C1096" s="13" t="s">
        <v>375</v>
      </c>
      <c r="E1096" s="13" t="s">
        <v>10</v>
      </c>
      <c r="F1096" s="13" t="s">
        <v>11</v>
      </c>
      <c r="G1096" s="13" t="s">
        <v>12</v>
      </c>
      <c r="H1096" s="13" t="s">
        <v>373</v>
      </c>
      <c r="I1096" s="13" t="s">
        <v>308</v>
      </c>
    </row>
    <row r="1097" spans="2:9" s="13" customFormat="1" hidden="1" outlineLevel="1" x14ac:dyDescent="0.3">
      <c r="B1097" s="13" t="s">
        <v>407</v>
      </c>
      <c r="C1097" s="13" t="s">
        <v>116</v>
      </c>
      <c r="D1097" s="13">
        <v>-6</v>
      </c>
      <c r="E1097" s="13" t="s">
        <v>10</v>
      </c>
      <c r="F1097" s="13" t="s">
        <v>11</v>
      </c>
      <c r="G1097" s="13" t="s">
        <v>12</v>
      </c>
      <c r="H1097" s="13" t="s">
        <v>373</v>
      </c>
      <c r="I1097" s="13" t="s">
        <v>403</v>
      </c>
    </row>
    <row r="1098" spans="2:9" s="13" customFormat="1" hidden="1" outlineLevel="1" x14ac:dyDescent="0.3">
      <c r="B1098" s="13" t="s">
        <v>408</v>
      </c>
      <c r="C1098" s="13" t="s">
        <v>119</v>
      </c>
      <c r="D1098" s="13">
        <v>-6</v>
      </c>
      <c r="E1098" s="13" t="s">
        <v>10</v>
      </c>
      <c r="F1098" s="13" t="s">
        <v>11</v>
      </c>
      <c r="G1098" s="13" t="s">
        <v>12</v>
      </c>
      <c r="H1098" s="13" t="s">
        <v>373</v>
      </c>
      <c r="I1098" s="13" t="s">
        <v>126</v>
      </c>
    </row>
    <row r="1099" spans="2:9" s="13" customFormat="1" hidden="1" outlineLevel="1" x14ac:dyDescent="0.3">
      <c r="B1099" s="13" t="s">
        <v>409</v>
      </c>
      <c r="C1099" s="13" t="s">
        <v>383</v>
      </c>
      <c r="D1099" s="13">
        <v>-6</v>
      </c>
      <c r="E1099" s="13" t="s">
        <v>10</v>
      </c>
      <c r="F1099" s="13" t="s">
        <v>11</v>
      </c>
      <c r="G1099" s="13" t="s">
        <v>12</v>
      </c>
      <c r="H1099" s="13" t="s">
        <v>373</v>
      </c>
      <c r="I1099" s="13" t="s">
        <v>410</v>
      </c>
    </row>
    <row r="1100" spans="2:9" s="13" customFormat="1" hidden="1" outlineLevel="1" x14ac:dyDescent="0.3">
      <c r="B1100" s="13" t="s">
        <v>411</v>
      </c>
      <c r="C1100" s="13" t="s">
        <v>412</v>
      </c>
      <c r="E1100" s="13" t="s">
        <v>10</v>
      </c>
      <c r="F1100" s="13" t="s">
        <v>11</v>
      </c>
      <c r="G1100" s="13" t="s">
        <v>12</v>
      </c>
      <c r="H1100" s="13" t="s">
        <v>373</v>
      </c>
      <c r="I1100" s="13" t="s">
        <v>308</v>
      </c>
    </row>
    <row r="1101" spans="2:9" s="13" customFormat="1" hidden="1" outlineLevel="1" x14ac:dyDescent="0.3">
      <c r="B1101" s="13" t="s">
        <v>413</v>
      </c>
      <c r="C1101" s="13" t="s">
        <v>386</v>
      </c>
      <c r="E1101" s="13" t="s">
        <v>10</v>
      </c>
      <c r="F1101" s="13" t="s">
        <v>11</v>
      </c>
      <c r="G1101" s="13" t="s">
        <v>12</v>
      </c>
      <c r="H1101" s="13" t="s">
        <v>373</v>
      </c>
      <c r="I1101" s="13" t="s">
        <v>308</v>
      </c>
    </row>
    <row r="1102" spans="2:9" s="13" customFormat="1" hidden="1" outlineLevel="1" x14ac:dyDescent="0.3">
      <c r="B1102" s="13" t="s">
        <v>414</v>
      </c>
      <c r="C1102" s="13" t="s">
        <v>390</v>
      </c>
      <c r="E1102" s="13" t="s">
        <v>10</v>
      </c>
      <c r="F1102" s="13" t="s">
        <v>11</v>
      </c>
      <c r="G1102" s="13" t="s">
        <v>12</v>
      </c>
      <c r="H1102" s="13" t="s">
        <v>373</v>
      </c>
      <c r="I1102" s="13" t="s">
        <v>308</v>
      </c>
    </row>
    <row r="1103" spans="2:9" s="13" customFormat="1" hidden="1" outlineLevel="1" x14ac:dyDescent="0.3">
      <c r="B1103" s="13" t="s">
        <v>415</v>
      </c>
      <c r="C1103" s="13" t="s">
        <v>392</v>
      </c>
      <c r="E1103" s="13" t="s">
        <v>10</v>
      </c>
      <c r="F1103" s="13" t="s">
        <v>11</v>
      </c>
      <c r="G1103" s="13" t="s">
        <v>12</v>
      </c>
      <c r="H1103" s="13" t="s">
        <v>373</v>
      </c>
      <c r="I1103" s="13" t="s">
        <v>308</v>
      </c>
    </row>
    <row r="1104" spans="2:9" s="13" customFormat="1" hidden="1" outlineLevel="1" x14ac:dyDescent="0.3">
      <c r="B1104" s="13" t="s">
        <v>416</v>
      </c>
      <c r="C1104" s="13" t="s">
        <v>394</v>
      </c>
      <c r="E1104" s="13" t="s">
        <v>10</v>
      </c>
      <c r="F1104" s="13" t="s">
        <v>11</v>
      </c>
      <c r="G1104" s="13" t="s">
        <v>12</v>
      </c>
      <c r="H1104" s="13" t="s">
        <v>373</v>
      </c>
      <c r="I1104" s="13" t="s">
        <v>308</v>
      </c>
    </row>
    <row r="1105" spans="2:9" s="13" customFormat="1" hidden="1" outlineLevel="1" x14ac:dyDescent="0.3">
      <c r="B1105" s="13" t="s">
        <v>417</v>
      </c>
      <c r="C1105" s="13" t="s">
        <v>396</v>
      </c>
      <c r="D1105" s="13">
        <v>-6</v>
      </c>
      <c r="E1105" s="13" t="s">
        <v>10</v>
      </c>
      <c r="F1105" s="13" t="s">
        <v>11</v>
      </c>
      <c r="G1105" s="13" t="s">
        <v>12</v>
      </c>
      <c r="H1105" s="13" t="s">
        <v>373</v>
      </c>
      <c r="I1105" s="13" t="s">
        <v>410</v>
      </c>
    </row>
    <row r="1106" spans="2:9" s="13" customFormat="1" hidden="1" outlineLevel="1" x14ac:dyDescent="0.3">
      <c r="B1106" s="13" t="s">
        <v>418</v>
      </c>
      <c r="C1106" s="13" t="s">
        <v>210</v>
      </c>
      <c r="D1106" s="13">
        <v>-6</v>
      </c>
      <c r="E1106" s="13" t="s">
        <v>10</v>
      </c>
      <c r="F1106" s="13" t="s">
        <v>165</v>
      </c>
      <c r="G1106" s="13" t="s">
        <v>12</v>
      </c>
      <c r="H1106" s="13" t="s">
        <v>373</v>
      </c>
      <c r="I1106" s="13" t="s">
        <v>208</v>
      </c>
    </row>
    <row r="1107" spans="2:9" s="13" customFormat="1" hidden="1" outlineLevel="1" x14ac:dyDescent="0.3">
      <c r="B1107" s="13" t="s">
        <v>419</v>
      </c>
      <c r="C1107" s="13" t="s">
        <v>210</v>
      </c>
      <c r="D1107" s="13">
        <v>-6</v>
      </c>
      <c r="E1107" s="13" t="s">
        <v>10</v>
      </c>
      <c r="F1107" s="13" t="s">
        <v>420</v>
      </c>
      <c r="G1107" s="13" t="s">
        <v>12</v>
      </c>
      <c r="H1107" s="13" t="s">
        <v>373</v>
      </c>
      <c r="I1107" s="13" t="s">
        <v>421</v>
      </c>
    </row>
    <row r="1108" spans="2:9" s="13" customFormat="1" hidden="1" outlineLevel="1" x14ac:dyDescent="0.3">
      <c r="B1108" s="13" t="s">
        <v>422</v>
      </c>
      <c r="C1108" s="13" t="s">
        <v>40</v>
      </c>
      <c r="D1108" s="13">
        <v>-6</v>
      </c>
      <c r="E1108" s="13" t="s">
        <v>10</v>
      </c>
      <c r="F1108" s="13" t="s">
        <v>71</v>
      </c>
      <c r="G1108" s="13" t="s">
        <v>12</v>
      </c>
      <c r="H1108" s="13" t="s">
        <v>373</v>
      </c>
      <c r="I1108" s="13" t="s">
        <v>94</v>
      </c>
    </row>
    <row r="1109" spans="2:9" s="13" customFormat="1" hidden="1" outlineLevel="1" x14ac:dyDescent="0.3">
      <c r="B1109" s="13" t="s">
        <v>423</v>
      </c>
      <c r="C1109" s="13" t="s">
        <v>130</v>
      </c>
      <c r="E1109" s="13" t="s">
        <v>10</v>
      </c>
      <c r="F1109" s="13" t="s">
        <v>71</v>
      </c>
      <c r="G1109" s="13" t="s">
        <v>12</v>
      </c>
      <c r="H1109" s="13" t="s">
        <v>373</v>
      </c>
      <c r="I1109" s="13" t="s">
        <v>308</v>
      </c>
    </row>
    <row r="1110" spans="2:9" s="13" customFormat="1" hidden="1" outlineLevel="1" x14ac:dyDescent="0.3">
      <c r="B1110" s="13" t="s">
        <v>424</v>
      </c>
      <c r="C1110" s="13" t="s">
        <v>136</v>
      </c>
      <c r="D1110" s="13">
        <v>-6</v>
      </c>
      <c r="E1110" s="13" t="s">
        <v>10</v>
      </c>
      <c r="F1110" s="13" t="s">
        <v>71</v>
      </c>
      <c r="G1110" s="13" t="s">
        <v>12</v>
      </c>
      <c r="H1110" s="13" t="s">
        <v>373</v>
      </c>
      <c r="I1110" s="13" t="s">
        <v>377</v>
      </c>
    </row>
    <row r="1111" spans="2:9" s="13" customFormat="1" hidden="1" outlineLevel="1" x14ac:dyDescent="0.3">
      <c r="B1111" s="13" t="s">
        <v>425</v>
      </c>
      <c r="C1111" s="13" t="s">
        <v>139</v>
      </c>
      <c r="E1111" s="13" t="s">
        <v>10</v>
      </c>
      <c r="F1111" s="13" t="s">
        <v>71</v>
      </c>
      <c r="G1111" s="13" t="s">
        <v>12</v>
      </c>
      <c r="H1111" s="13" t="s">
        <v>373</v>
      </c>
      <c r="I1111" s="13" t="s">
        <v>308</v>
      </c>
    </row>
    <row r="1112" spans="2:9" s="13" customFormat="1" hidden="1" outlineLevel="1" x14ac:dyDescent="0.3">
      <c r="B1112" s="13" t="s">
        <v>426</v>
      </c>
      <c r="C1112" s="13" t="s">
        <v>110</v>
      </c>
      <c r="D1112" s="13">
        <v>-6</v>
      </c>
      <c r="E1112" s="13" t="s">
        <v>10</v>
      </c>
      <c r="F1112" s="13" t="s">
        <v>71</v>
      </c>
      <c r="G1112" s="13" t="s">
        <v>12</v>
      </c>
      <c r="H1112" s="13" t="s">
        <v>13</v>
      </c>
      <c r="I1112" s="13" t="s">
        <v>142</v>
      </c>
    </row>
    <row r="1113" spans="2:9" s="13" customFormat="1" hidden="1" outlineLevel="1" x14ac:dyDescent="0.3">
      <c r="B1113" s="13" t="s">
        <v>427</v>
      </c>
      <c r="C1113" s="13" t="s">
        <v>375</v>
      </c>
      <c r="D1113" s="13">
        <v>-6</v>
      </c>
      <c r="E1113" s="13" t="s">
        <v>10</v>
      </c>
      <c r="F1113" s="13" t="s">
        <v>71</v>
      </c>
      <c r="G1113" s="13" t="s">
        <v>12</v>
      </c>
      <c r="H1113" s="13" t="s">
        <v>13</v>
      </c>
      <c r="I1113" s="13" t="s">
        <v>428</v>
      </c>
    </row>
    <row r="1114" spans="2:9" s="13" customFormat="1" hidden="1" outlineLevel="1" x14ac:dyDescent="0.3">
      <c r="B1114" s="13" t="s">
        <v>429</v>
      </c>
      <c r="C1114" s="13" t="s">
        <v>116</v>
      </c>
      <c r="D1114" s="13">
        <v>-6</v>
      </c>
      <c r="E1114" s="13" t="s">
        <v>10</v>
      </c>
      <c r="F1114" s="13" t="s">
        <v>71</v>
      </c>
      <c r="G1114" s="13" t="s">
        <v>12</v>
      </c>
      <c r="H1114" s="13" t="s">
        <v>13</v>
      </c>
      <c r="I1114" s="13" t="s">
        <v>146</v>
      </c>
    </row>
    <row r="1115" spans="2:9" s="13" customFormat="1" hidden="1" outlineLevel="1" x14ac:dyDescent="0.3">
      <c r="B1115" s="13" t="s">
        <v>430</v>
      </c>
      <c r="C1115" s="13" t="s">
        <v>119</v>
      </c>
      <c r="D1115" s="13">
        <v>-6</v>
      </c>
      <c r="E1115" s="13" t="s">
        <v>10</v>
      </c>
      <c r="F1115" s="13" t="s">
        <v>71</v>
      </c>
      <c r="G1115" s="13" t="s">
        <v>12</v>
      </c>
      <c r="H1115" s="13" t="s">
        <v>13</v>
      </c>
      <c r="I1115" s="13" t="s">
        <v>148</v>
      </c>
    </row>
    <row r="1116" spans="2:9" s="13" customFormat="1" hidden="1" outlineLevel="1" x14ac:dyDescent="0.3">
      <c r="B1116" s="13" t="s">
        <v>431</v>
      </c>
      <c r="C1116" s="13" t="s">
        <v>380</v>
      </c>
      <c r="D1116" s="13">
        <v>-6</v>
      </c>
      <c r="E1116" s="13" t="s">
        <v>10</v>
      </c>
      <c r="F1116" s="13" t="s">
        <v>71</v>
      </c>
      <c r="G1116" s="13" t="s">
        <v>12</v>
      </c>
      <c r="H1116" s="13" t="s">
        <v>13</v>
      </c>
      <c r="I1116" s="13" t="s">
        <v>381</v>
      </c>
    </row>
    <row r="1117" spans="2:9" s="13" customFormat="1" hidden="1" outlineLevel="1" x14ac:dyDescent="0.3">
      <c r="B1117" s="13" t="s">
        <v>432</v>
      </c>
      <c r="C1117" s="13" t="s">
        <v>383</v>
      </c>
      <c r="D1117" s="13">
        <v>-6</v>
      </c>
      <c r="E1117" s="13" t="s">
        <v>10</v>
      </c>
      <c r="F1117" s="13" t="s">
        <v>71</v>
      </c>
      <c r="G1117" s="13" t="s">
        <v>12</v>
      </c>
      <c r="H1117" s="13" t="s">
        <v>13</v>
      </c>
      <c r="I1117" s="13" t="s">
        <v>433</v>
      </c>
    </row>
    <row r="1118" spans="2:9" s="13" customFormat="1" hidden="1" outlineLevel="1" x14ac:dyDescent="0.3">
      <c r="B1118" s="13" t="s">
        <v>434</v>
      </c>
      <c r="C1118" s="13" t="s">
        <v>386</v>
      </c>
      <c r="D1118" s="13">
        <v>-6</v>
      </c>
      <c r="E1118" s="13" t="s">
        <v>10</v>
      </c>
      <c r="F1118" s="13" t="s">
        <v>71</v>
      </c>
      <c r="G1118" s="13" t="s">
        <v>12</v>
      </c>
      <c r="H1118" s="13" t="s">
        <v>13</v>
      </c>
      <c r="I1118" s="13" t="s">
        <v>435</v>
      </c>
    </row>
    <row r="1119" spans="2:9" s="13" customFormat="1" hidden="1" outlineLevel="1" x14ac:dyDescent="0.3">
      <c r="B1119" s="13" t="s">
        <v>436</v>
      </c>
      <c r="C1119" s="13" t="s">
        <v>388</v>
      </c>
      <c r="E1119" s="13" t="s">
        <v>10</v>
      </c>
      <c r="F1119" s="13" t="s">
        <v>71</v>
      </c>
      <c r="G1119" s="13" t="s">
        <v>12</v>
      </c>
      <c r="H1119" s="13" t="s">
        <v>13</v>
      </c>
      <c r="I1119" s="13" t="s">
        <v>308</v>
      </c>
    </row>
    <row r="1120" spans="2:9" s="13" customFormat="1" hidden="1" outlineLevel="1" x14ac:dyDescent="0.3">
      <c r="B1120" s="13" t="s">
        <v>437</v>
      </c>
      <c r="C1120" s="13" t="s">
        <v>390</v>
      </c>
      <c r="D1120" s="13">
        <v>-6</v>
      </c>
      <c r="E1120" s="13" t="s">
        <v>10</v>
      </c>
      <c r="F1120" s="13" t="s">
        <v>71</v>
      </c>
      <c r="G1120" s="13" t="s">
        <v>12</v>
      </c>
      <c r="H1120" s="13" t="s">
        <v>13</v>
      </c>
      <c r="I1120" s="13" t="s">
        <v>438</v>
      </c>
    </row>
    <row r="1121" spans="2:9" s="13" customFormat="1" hidden="1" outlineLevel="1" x14ac:dyDescent="0.3">
      <c r="B1121" s="13" t="s">
        <v>439</v>
      </c>
      <c r="C1121" s="13" t="s">
        <v>392</v>
      </c>
      <c r="D1121" s="13">
        <v>-6</v>
      </c>
      <c r="E1121" s="13" t="s">
        <v>10</v>
      </c>
      <c r="F1121" s="13" t="s">
        <v>71</v>
      </c>
      <c r="G1121" s="13" t="s">
        <v>12</v>
      </c>
      <c r="H1121" s="13" t="s">
        <v>13</v>
      </c>
      <c r="I1121" s="13" t="s">
        <v>440</v>
      </c>
    </row>
    <row r="1122" spans="2:9" s="13" customFormat="1" hidden="1" outlineLevel="1" x14ac:dyDescent="0.3">
      <c r="B1122" s="13" t="s">
        <v>441</v>
      </c>
      <c r="C1122" s="13" t="s">
        <v>394</v>
      </c>
      <c r="D1122" s="13">
        <v>-6</v>
      </c>
      <c r="E1122" s="13" t="s">
        <v>10</v>
      </c>
      <c r="F1122" s="13" t="s">
        <v>71</v>
      </c>
      <c r="G1122" s="13" t="s">
        <v>12</v>
      </c>
      <c r="H1122" s="13" t="s">
        <v>13</v>
      </c>
      <c r="I1122" s="13" t="s">
        <v>442</v>
      </c>
    </row>
    <row r="1123" spans="2:9" s="13" customFormat="1" hidden="1" outlineLevel="1" x14ac:dyDescent="0.3">
      <c r="B1123" s="13" t="s">
        <v>443</v>
      </c>
      <c r="C1123" s="13" t="s">
        <v>396</v>
      </c>
      <c r="D1123" s="13">
        <v>-6</v>
      </c>
      <c r="E1123" s="13" t="s">
        <v>10</v>
      </c>
      <c r="F1123" s="13" t="s">
        <v>71</v>
      </c>
      <c r="G1123" s="13" t="s">
        <v>12</v>
      </c>
      <c r="H1123" s="13" t="s">
        <v>13</v>
      </c>
      <c r="I1123" s="13" t="s">
        <v>444</v>
      </c>
    </row>
    <row r="1124" spans="2:9" s="13" customFormat="1" hidden="1" outlineLevel="1" x14ac:dyDescent="0.3">
      <c r="B1124" s="13" t="s">
        <v>445</v>
      </c>
      <c r="C1124" s="13" t="s">
        <v>210</v>
      </c>
      <c r="D1124" s="13">
        <v>-6</v>
      </c>
      <c r="E1124" s="13" t="s">
        <v>10</v>
      </c>
      <c r="F1124" s="13" t="s">
        <v>290</v>
      </c>
      <c r="G1124" s="13" t="s">
        <v>12</v>
      </c>
      <c r="H1124" s="13" t="s">
        <v>13</v>
      </c>
      <c r="I1124" s="13" t="s">
        <v>320</v>
      </c>
    </row>
    <row r="1125" spans="2:9" s="13" customFormat="1" hidden="1" outlineLevel="1" x14ac:dyDescent="0.3">
      <c r="B1125" s="13" t="s">
        <v>446</v>
      </c>
      <c r="C1125" s="13" t="s">
        <v>210</v>
      </c>
      <c r="D1125" s="13">
        <v>-6</v>
      </c>
      <c r="E1125" s="13" t="s">
        <v>10</v>
      </c>
      <c r="F1125" s="13" t="s">
        <v>290</v>
      </c>
      <c r="G1125" s="13" t="s">
        <v>12</v>
      </c>
      <c r="H1125" s="13" t="s">
        <v>13</v>
      </c>
      <c r="I1125" s="13" t="s">
        <v>320</v>
      </c>
    </row>
    <row r="1126" spans="2:9" s="13" customFormat="1" hidden="1" outlineLevel="1" x14ac:dyDescent="0.3">
      <c r="B1126" s="13" t="s">
        <v>447</v>
      </c>
      <c r="C1126" s="13" t="s">
        <v>40</v>
      </c>
      <c r="D1126" s="13">
        <v>-6</v>
      </c>
      <c r="E1126" s="13" t="s">
        <v>10</v>
      </c>
      <c r="F1126" s="13" t="s">
        <v>11</v>
      </c>
      <c r="G1126" s="13" t="s">
        <v>12</v>
      </c>
      <c r="H1126" s="13" t="s">
        <v>13</v>
      </c>
      <c r="I1126" s="13" t="s">
        <v>41</v>
      </c>
    </row>
    <row r="1127" spans="2:9" s="13" customFormat="1" hidden="1" outlineLevel="1" x14ac:dyDescent="0.3">
      <c r="B1127" s="13" t="s">
        <v>448</v>
      </c>
      <c r="C1127" s="13" t="s">
        <v>130</v>
      </c>
      <c r="D1127" s="13">
        <v>-6</v>
      </c>
      <c r="E1127" s="13" t="s">
        <v>10</v>
      </c>
      <c r="F1127" s="13" t="s">
        <v>11</v>
      </c>
      <c r="G1127" s="13" t="s">
        <v>12</v>
      </c>
      <c r="H1127" s="13" t="s">
        <v>13</v>
      </c>
      <c r="I1127" s="13" t="s">
        <v>131</v>
      </c>
    </row>
    <row r="1128" spans="2:9" s="13" customFormat="1" hidden="1" outlineLevel="1" x14ac:dyDescent="0.3">
      <c r="B1128" s="13" t="s">
        <v>449</v>
      </c>
      <c r="C1128" s="13" t="s">
        <v>136</v>
      </c>
      <c r="D1128" s="13">
        <v>-6</v>
      </c>
      <c r="E1128" s="13" t="s">
        <v>10</v>
      </c>
      <c r="F1128" s="13" t="s">
        <v>11</v>
      </c>
      <c r="G1128" s="13" t="s">
        <v>12</v>
      </c>
      <c r="H1128" s="13" t="s">
        <v>13</v>
      </c>
      <c r="I1128" s="13" t="s">
        <v>137</v>
      </c>
    </row>
    <row r="1129" spans="2:9" s="13" customFormat="1" hidden="1" outlineLevel="1" x14ac:dyDescent="0.3">
      <c r="B1129" s="13" t="s">
        <v>450</v>
      </c>
      <c r="C1129" s="13" t="s">
        <v>139</v>
      </c>
      <c r="D1129" s="13">
        <v>-6</v>
      </c>
      <c r="E1129" s="13" t="s">
        <v>10</v>
      </c>
      <c r="F1129" s="13" t="s">
        <v>11</v>
      </c>
      <c r="G1129" s="13" t="s">
        <v>12</v>
      </c>
      <c r="H1129" s="13" t="s">
        <v>13</v>
      </c>
      <c r="I1129" s="13" t="s">
        <v>140</v>
      </c>
    </row>
    <row r="1130" spans="2:9" s="13" customFormat="1" hidden="1" outlineLevel="1" x14ac:dyDescent="0.3">
      <c r="B1130" s="13" t="s">
        <v>451</v>
      </c>
      <c r="C1130" s="13" t="s">
        <v>110</v>
      </c>
      <c r="D1130" s="13">
        <v>-6</v>
      </c>
      <c r="E1130" s="13" t="s">
        <v>10</v>
      </c>
      <c r="F1130" s="13" t="s">
        <v>11</v>
      </c>
      <c r="G1130" s="13" t="s">
        <v>12</v>
      </c>
      <c r="H1130" s="13" t="s">
        <v>13</v>
      </c>
      <c r="I1130" s="13" t="s">
        <v>111</v>
      </c>
    </row>
    <row r="1131" spans="2:9" s="13" customFormat="1" hidden="1" outlineLevel="1" x14ac:dyDescent="0.3">
      <c r="B1131" s="13" t="s">
        <v>452</v>
      </c>
      <c r="C1131" s="13" t="s">
        <v>375</v>
      </c>
      <c r="D1131" s="13">
        <v>-6</v>
      </c>
      <c r="E1131" s="13" t="s">
        <v>10</v>
      </c>
      <c r="F1131" s="13" t="s">
        <v>11</v>
      </c>
      <c r="G1131" s="13" t="s">
        <v>12</v>
      </c>
      <c r="H1131" s="13" t="s">
        <v>13</v>
      </c>
      <c r="I1131" s="13" t="s">
        <v>453</v>
      </c>
    </row>
    <row r="1132" spans="2:9" s="13" customFormat="1" hidden="1" outlineLevel="1" x14ac:dyDescent="0.3">
      <c r="B1132" s="13" t="s">
        <v>454</v>
      </c>
      <c r="C1132" s="13" t="s">
        <v>116</v>
      </c>
      <c r="D1132" s="13">
        <v>-6</v>
      </c>
      <c r="E1132" s="13" t="s">
        <v>10</v>
      </c>
      <c r="F1132" s="13" t="s">
        <v>11</v>
      </c>
      <c r="G1132" s="13" t="s">
        <v>12</v>
      </c>
      <c r="H1132" s="13" t="s">
        <v>13</v>
      </c>
      <c r="I1132" s="13" t="s">
        <v>117</v>
      </c>
    </row>
    <row r="1133" spans="2:9" s="13" customFormat="1" hidden="1" outlineLevel="1" x14ac:dyDescent="0.3">
      <c r="B1133" s="13" t="s">
        <v>455</v>
      </c>
      <c r="C1133" s="13" t="s">
        <v>119</v>
      </c>
      <c r="D1133" s="13">
        <v>-6</v>
      </c>
      <c r="E1133" s="13" t="s">
        <v>10</v>
      </c>
      <c r="F1133" s="13" t="s">
        <v>11</v>
      </c>
      <c r="G1133" s="13" t="s">
        <v>12</v>
      </c>
      <c r="H1133" s="13" t="s">
        <v>13</v>
      </c>
      <c r="I1133" s="13" t="s">
        <v>120</v>
      </c>
    </row>
    <row r="1134" spans="2:9" s="13" customFormat="1" hidden="1" outlineLevel="1" x14ac:dyDescent="0.3">
      <c r="B1134" s="13" t="s">
        <v>456</v>
      </c>
      <c r="C1134" s="13" t="s">
        <v>383</v>
      </c>
      <c r="D1134" s="13">
        <v>-6</v>
      </c>
      <c r="E1134" s="13" t="s">
        <v>10</v>
      </c>
      <c r="F1134" s="13" t="s">
        <v>11</v>
      </c>
      <c r="G1134" s="13" t="s">
        <v>12</v>
      </c>
      <c r="H1134" s="13" t="s">
        <v>13</v>
      </c>
      <c r="I1134" s="13" t="s">
        <v>457</v>
      </c>
    </row>
    <row r="1135" spans="2:9" s="13" customFormat="1" hidden="1" outlineLevel="1" x14ac:dyDescent="0.3">
      <c r="B1135" s="13" t="s">
        <v>458</v>
      </c>
      <c r="C1135" s="13" t="s">
        <v>412</v>
      </c>
      <c r="D1135" s="13">
        <v>-6</v>
      </c>
      <c r="E1135" s="13" t="s">
        <v>10</v>
      </c>
      <c r="F1135" s="13" t="s">
        <v>11</v>
      </c>
      <c r="G1135" s="13" t="s">
        <v>12</v>
      </c>
      <c r="H1135" s="13" t="s">
        <v>13</v>
      </c>
      <c r="I1135" s="13" t="s">
        <v>459</v>
      </c>
    </row>
    <row r="1136" spans="2:9" s="13" customFormat="1" hidden="1" outlineLevel="1" x14ac:dyDescent="0.3">
      <c r="B1136" s="13" t="s">
        <v>460</v>
      </c>
      <c r="C1136" s="13" t="s">
        <v>386</v>
      </c>
      <c r="D1136" s="13">
        <v>-6</v>
      </c>
      <c r="E1136" s="13" t="s">
        <v>10</v>
      </c>
      <c r="F1136" s="13" t="s">
        <v>11</v>
      </c>
      <c r="G1136" s="13" t="s">
        <v>12</v>
      </c>
      <c r="H1136" s="13" t="s">
        <v>13</v>
      </c>
      <c r="I1136" s="13" t="s">
        <v>461</v>
      </c>
    </row>
    <row r="1137" spans="2:9" s="13" customFormat="1" hidden="1" outlineLevel="1" x14ac:dyDescent="0.3">
      <c r="B1137" s="13" t="s">
        <v>462</v>
      </c>
      <c r="C1137" s="13" t="s">
        <v>390</v>
      </c>
      <c r="D1137" s="13">
        <v>-6</v>
      </c>
      <c r="E1137" s="13" t="s">
        <v>10</v>
      </c>
      <c r="F1137" s="13" t="s">
        <v>11</v>
      </c>
      <c r="G1137" s="13" t="s">
        <v>12</v>
      </c>
      <c r="H1137" s="13" t="s">
        <v>13</v>
      </c>
      <c r="I1137" s="13" t="s">
        <v>463</v>
      </c>
    </row>
    <row r="1138" spans="2:9" s="13" customFormat="1" hidden="1" outlineLevel="1" x14ac:dyDescent="0.3">
      <c r="B1138" s="13" t="s">
        <v>464</v>
      </c>
      <c r="C1138" s="13" t="s">
        <v>392</v>
      </c>
      <c r="D1138" s="13">
        <v>-6</v>
      </c>
      <c r="E1138" s="13" t="s">
        <v>10</v>
      </c>
      <c r="F1138" s="13" t="s">
        <v>11</v>
      </c>
      <c r="G1138" s="13" t="s">
        <v>12</v>
      </c>
      <c r="H1138" s="13" t="s">
        <v>13</v>
      </c>
      <c r="I1138" s="13" t="s">
        <v>465</v>
      </c>
    </row>
    <row r="1139" spans="2:9" s="13" customFormat="1" hidden="1" outlineLevel="1" x14ac:dyDescent="0.3">
      <c r="B1139" s="13" t="s">
        <v>466</v>
      </c>
      <c r="C1139" s="13" t="s">
        <v>394</v>
      </c>
      <c r="D1139" s="13">
        <v>-6</v>
      </c>
      <c r="E1139" s="13" t="s">
        <v>10</v>
      </c>
      <c r="F1139" s="13" t="s">
        <v>11</v>
      </c>
      <c r="G1139" s="13" t="s">
        <v>12</v>
      </c>
      <c r="H1139" s="13" t="s">
        <v>13</v>
      </c>
      <c r="I1139" s="13" t="s">
        <v>467</v>
      </c>
    </row>
    <row r="1140" spans="2:9" s="13" customFormat="1" hidden="1" outlineLevel="1" x14ac:dyDescent="0.3">
      <c r="B1140" s="13" t="s">
        <v>468</v>
      </c>
      <c r="C1140" s="13" t="s">
        <v>396</v>
      </c>
      <c r="D1140" s="13">
        <v>-6</v>
      </c>
      <c r="E1140" s="13" t="s">
        <v>10</v>
      </c>
      <c r="F1140" s="13" t="s">
        <v>11</v>
      </c>
      <c r="G1140" s="13" t="s">
        <v>12</v>
      </c>
      <c r="H1140" s="13" t="s">
        <v>13</v>
      </c>
      <c r="I1140" s="13" t="s">
        <v>469</v>
      </c>
    </row>
    <row r="1141" spans="2:9" s="13" customFormat="1" hidden="1" outlineLevel="1" x14ac:dyDescent="0.3">
      <c r="B1141" s="13" t="s">
        <v>470</v>
      </c>
      <c r="C1141" s="13" t="s">
        <v>210</v>
      </c>
      <c r="D1141" s="13">
        <v>-6</v>
      </c>
      <c r="E1141" s="13" t="s">
        <v>10</v>
      </c>
      <c r="F1141" s="13" t="s">
        <v>165</v>
      </c>
      <c r="G1141" s="13" t="s">
        <v>12</v>
      </c>
      <c r="H1141" s="13" t="s">
        <v>13</v>
      </c>
      <c r="I1141" s="13" t="s">
        <v>211</v>
      </c>
    </row>
    <row r="1142" spans="2:9" s="13" customFormat="1" hidden="1" outlineLevel="1" x14ac:dyDescent="0.3">
      <c r="B1142" s="13" t="s">
        <v>471</v>
      </c>
      <c r="C1142" s="13" t="s">
        <v>210</v>
      </c>
      <c r="D1142" s="13">
        <v>-6</v>
      </c>
      <c r="E1142" s="13" t="s">
        <v>10</v>
      </c>
      <c r="F1142" s="13" t="s">
        <v>420</v>
      </c>
      <c r="G1142" s="13" t="s">
        <v>12</v>
      </c>
      <c r="H1142" s="13" t="s">
        <v>13</v>
      </c>
      <c r="I1142" s="13" t="s">
        <v>472</v>
      </c>
    </row>
    <row r="1143" spans="2:9" s="13" customFormat="1" hidden="1" outlineLevel="1" x14ac:dyDescent="0.3">
      <c r="B1143" s="13" t="s">
        <v>473</v>
      </c>
      <c r="C1143" s="13" t="s">
        <v>40</v>
      </c>
      <c r="D1143" s="13">
        <v>-6</v>
      </c>
      <c r="E1143" s="13" t="s">
        <v>10</v>
      </c>
      <c r="F1143" s="13" t="s">
        <v>71</v>
      </c>
      <c r="G1143" s="13" t="s">
        <v>12</v>
      </c>
      <c r="H1143" s="13" t="s">
        <v>13</v>
      </c>
      <c r="I1143" s="13" t="s">
        <v>90</v>
      </c>
    </row>
    <row r="1144" spans="2:9" s="13" customFormat="1" hidden="1" outlineLevel="1" x14ac:dyDescent="0.3">
      <c r="B1144" s="13" t="s">
        <v>474</v>
      </c>
      <c r="C1144" s="13" t="s">
        <v>130</v>
      </c>
      <c r="D1144" s="13">
        <v>-6</v>
      </c>
      <c r="E1144" s="13" t="s">
        <v>10</v>
      </c>
      <c r="F1144" s="13" t="s">
        <v>71</v>
      </c>
      <c r="G1144" s="13" t="s">
        <v>12</v>
      </c>
      <c r="H1144" s="13" t="s">
        <v>13</v>
      </c>
      <c r="I1144" s="13" t="s">
        <v>156</v>
      </c>
    </row>
    <row r="1145" spans="2:9" s="13" customFormat="1" hidden="1" outlineLevel="1" x14ac:dyDescent="0.3">
      <c r="B1145" s="13" t="s">
        <v>475</v>
      </c>
      <c r="C1145" s="13" t="s">
        <v>136</v>
      </c>
      <c r="D1145" s="13">
        <v>-6</v>
      </c>
      <c r="E1145" s="13" t="s">
        <v>10</v>
      </c>
      <c r="F1145" s="13" t="s">
        <v>71</v>
      </c>
      <c r="G1145" s="13" t="s">
        <v>12</v>
      </c>
      <c r="H1145" s="13" t="s">
        <v>13</v>
      </c>
      <c r="I1145" s="13" t="s">
        <v>160</v>
      </c>
    </row>
    <row r="1146" spans="2:9" s="13" customFormat="1" hidden="1" outlineLevel="1" x14ac:dyDescent="0.3">
      <c r="B1146" s="13" t="s">
        <v>476</v>
      </c>
      <c r="C1146" s="13" t="s">
        <v>139</v>
      </c>
      <c r="D1146" s="13">
        <v>-6</v>
      </c>
      <c r="E1146" s="13" t="s">
        <v>10</v>
      </c>
      <c r="F1146" s="13" t="s">
        <v>71</v>
      </c>
      <c r="G1146" s="13" t="s">
        <v>12</v>
      </c>
      <c r="H1146" s="13" t="s">
        <v>13</v>
      </c>
      <c r="I1146" s="13" t="s">
        <v>162</v>
      </c>
    </row>
    <row r="1147" spans="2:9" s="13" customFormat="1" hidden="1" outlineLevel="1" x14ac:dyDescent="0.3">
      <c r="B1147" s="13" t="s">
        <v>477</v>
      </c>
      <c r="C1147" s="13" t="s">
        <v>110</v>
      </c>
      <c r="E1147" s="13" t="s">
        <v>10</v>
      </c>
      <c r="F1147" s="13" t="s">
        <v>71</v>
      </c>
      <c r="G1147" s="13" t="s">
        <v>12</v>
      </c>
      <c r="H1147" s="13" t="s">
        <v>478</v>
      </c>
      <c r="I1147" s="13" t="s">
        <v>308</v>
      </c>
    </row>
    <row r="1148" spans="2:9" s="13" customFormat="1" hidden="1" outlineLevel="1" x14ac:dyDescent="0.3">
      <c r="B1148" s="13" t="s">
        <v>479</v>
      </c>
      <c r="C1148" s="13" t="s">
        <v>375</v>
      </c>
      <c r="E1148" s="13" t="s">
        <v>10</v>
      </c>
      <c r="F1148" s="13" t="s">
        <v>71</v>
      </c>
      <c r="G1148" s="13" t="s">
        <v>12</v>
      </c>
      <c r="H1148" s="13" t="s">
        <v>478</v>
      </c>
      <c r="I1148" s="13" t="s">
        <v>308</v>
      </c>
    </row>
    <row r="1149" spans="2:9" s="13" customFormat="1" hidden="1" outlineLevel="1" x14ac:dyDescent="0.3">
      <c r="B1149" s="13" t="s">
        <v>480</v>
      </c>
      <c r="C1149" s="13" t="s">
        <v>116</v>
      </c>
      <c r="E1149" s="13" t="s">
        <v>10</v>
      </c>
      <c r="F1149" s="13" t="s">
        <v>71</v>
      </c>
      <c r="G1149" s="13" t="s">
        <v>12</v>
      </c>
      <c r="H1149" s="13" t="s">
        <v>478</v>
      </c>
      <c r="I1149" s="13" t="s">
        <v>308</v>
      </c>
    </row>
    <row r="1150" spans="2:9" s="13" customFormat="1" hidden="1" outlineLevel="1" x14ac:dyDescent="0.3">
      <c r="B1150" s="13" t="s">
        <v>481</v>
      </c>
      <c r="C1150" s="13" t="s">
        <v>119</v>
      </c>
      <c r="E1150" s="13" t="s">
        <v>10</v>
      </c>
      <c r="F1150" s="13" t="s">
        <v>71</v>
      </c>
      <c r="G1150" s="13" t="s">
        <v>12</v>
      </c>
      <c r="H1150" s="13" t="s">
        <v>478</v>
      </c>
      <c r="I1150" s="13" t="s">
        <v>308</v>
      </c>
    </row>
    <row r="1151" spans="2:9" s="13" customFormat="1" hidden="1" outlineLevel="1" x14ac:dyDescent="0.3">
      <c r="B1151" s="13" t="s">
        <v>482</v>
      </c>
      <c r="C1151" s="13" t="s">
        <v>380</v>
      </c>
      <c r="E1151" s="13" t="s">
        <v>10</v>
      </c>
      <c r="F1151" s="13" t="s">
        <v>71</v>
      </c>
      <c r="G1151" s="13" t="s">
        <v>12</v>
      </c>
      <c r="H1151" s="13" t="s">
        <v>478</v>
      </c>
      <c r="I1151" s="13" t="s">
        <v>308</v>
      </c>
    </row>
    <row r="1152" spans="2:9" s="13" customFormat="1" hidden="1" outlineLevel="1" x14ac:dyDescent="0.3">
      <c r="B1152" s="13" t="s">
        <v>483</v>
      </c>
      <c r="C1152" s="13" t="s">
        <v>383</v>
      </c>
      <c r="E1152" s="13" t="s">
        <v>10</v>
      </c>
      <c r="F1152" s="13" t="s">
        <v>71</v>
      </c>
      <c r="G1152" s="13" t="s">
        <v>12</v>
      </c>
      <c r="H1152" s="13" t="s">
        <v>478</v>
      </c>
      <c r="I1152" s="13" t="s">
        <v>308</v>
      </c>
    </row>
    <row r="1153" spans="2:9" s="13" customFormat="1" hidden="1" outlineLevel="1" x14ac:dyDescent="0.3">
      <c r="B1153" s="13" t="s">
        <v>484</v>
      </c>
      <c r="C1153" s="13" t="s">
        <v>386</v>
      </c>
      <c r="D1153" s="13">
        <v>-6</v>
      </c>
      <c r="E1153" s="13" t="s">
        <v>10</v>
      </c>
      <c r="F1153" s="13" t="s">
        <v>71</v>
      </c>
      <c r="G1153" s="13" t="s">
        <v>12</v>
      </c>
      <c r="H1153" s="13" t="s">
        <v>478</v>
      </c>
      <c r="I1153" s="13" t="s">
        <v>485</v>
      </c>
    </row>
    <row r="1154" spans="2:9" s="13" customFormat="1" hidden="1" outlineLevel="1" x14ac:dyDescent="0.3">
      <c r="B1154" s="13" t="s">
        <v>486</v>
      </c>
      <c r="C1154" s="13" t="s">
        <v>388</v>
      </c>
      <c r="D1154" s="13">
        <v>-6</v>
      </c>
      <c r="E1154" s="13" t="s">
        <v>10</v>
      </c>
      <c r="F1154" s="13" t="s">
        <v>71</v>
      </c>
      <c r="G1154" s="13" t="s">
        <v>12</v>
      </c>
      <c r="H1154" s="13" t="s">
        <v>478</v>
      </c>
      <c r="I1154" s="13" t="s">
        <v>485</v>
      </c>
    </row>
    <row r="1155" spans="2:9" s="13" customFormat="1" hidden="1" outlineLevel="1" x14ac:dyDescent="0.3">
      <c r="B1155" s="13" t="s">
        <v>487</v>
      </c>
      <c r="C1155" s="13" t="s">
        <v>390</v>
      </c>
      <c r="E1155" s="13" t="s">
        <v>10</v>
      </c>
      <c r="F1155" s="13" t="s">
        <v>71</v>
      </c>
      <c r="G1155" s="13" t="s">
        <v>12</v>
      </c>
      <c r="H1155" s="13" t="s">
        <v>478</v>
      </c>
      <c r="I1155" s="13" t="s">
        <v>308</v>
      </c>
    </row>
    <row r="1156" spans="2:9" s="13" customFormat="1" hidden="1" outlineLevel="1" x14ac:dyDescent="0.3">
      <c r="B1156" s="13" t="s">
        <v>488</v>
      </c>
      <c r="C1156" s="13" t="s">
        <v>392</v>
      </c>
      <c r="E1156" s="13" t="s">
        <v>10</v>
      </c>
      <c r="F1156" s="13" t="s">
        <v>71</v>
      </c>
      <c r="G1156" s="13" t="s">
        <v>12</v>
      </c>
      <c r="H1156" s="13" t="s">
        <v>478</v>
      </c>
      <c r="I1156" s="13" t="s">
        <v>308</v>
      </c>
    </row>
    <row r="1157" spans="2:9" s="13" customFormat="1" hidden="1" outlineLevel="1" x14ac:dyDescent="0.3">
      <c r="B1157" s="13" t="s">
        <v>489</v>
      </c>
      <c r="C1157" s="13" t="s">
        <v>394</v>
      </c>
      <c r="E1157" s="13" t="s">
        <v>10</v>
      </c>
      <c r="F1157" s="13" t="s">
        <v>71</v>
      </c>
      <c r="G1157" s="13" t="s">
        <v>12</v>
      </c>
      <c r="H1157" s="13" t="s">
        <v>478</v>
      </c>
      <c r="I1157" s="13" t="s">
        <v>308</v>
      </c>
    </row>
    <row r="1158" spans="2:9" s="13" customFormat="1" hidden="1" outlineLevel="1" x14ac:dyDescent="0.3">
      <c r="B1158" s="13" t="s">
        <v>490</v>
      </c>
      <c r="C1158" s="13" t="s">
        <v>396</v>
      </c>
      <c r="E1158" s="13" t="s">
        <v>10</v>
      </c>
      <c r="F1158" s="13" t="s">
        <v>71</v>
      </c>
      <c r="G1158" s="13" t="s">
        <v>12</v>
      </c>
      <c r="H1158" s="13" t="s">
        <v>478</v>
      </c>
      <c r="I1158" s="13" t="s">
        <v>308</v>
      </c>
    </row>
    <row r="1159" spans="2:9" s="13" customFormat="1" hidden="1" outlineLevel="1" x14ac:dyDescent="0.3">
      <c r="B1159" s="13" t="s">
        <v>491</v>
      </c>
      <c r="C1159" s="13" t="s">
        <v>210</v>
      </c>
      <c r="D1159" s="13">
        <v>-6</v>
      </c>
      <c r="E1159" s="13" t="s">
        <v>10</v>
      </c>
      <c r="F1159" s="13" t="s">
        <v>290</v>
      </c>
      <c r="G1159" s="13" t="s">
        <v>12</v>
      </c>
      <c r="H1159" s="13" t="s">
        <v>478</v>
      </c>
      <c r="I1159" s="13" t="s">
        <v>492</v>
      </c>
    </row>
    <row r="1160" spans="2:9" s="13" customFormat="1" hidden="1" outlineLevel="1" x14ac:dyDescent="0.3">
      <c r="B1160" s="13" t="s">
        <v>493</v>
      </c>
      <c r="C1160" s="13" t="s">
        <v>210</v>
      </c>
      <c r="D1160" s="13">
        <v>0</v>
      </c>
      <c r="E1160" s="13" t="s">
        <v>10</v>
      </c>
      <c r="F1160" s="13" t="s">
        <v>290</v>
      </c>
      <c r="G1160" s="13" t="s">
        <v>12</v>
      </c>
      <c r="H1160" s="13" t="s">
        <v>478</v>
      </c>
      <c r="I1160" s="13" t="s">
        <v>494</v>
      </c>
    </row>
    <row r="1161" spans="2:9" s="13" customFormat="1" hidden="1" outlineLevel="1" x14ac:dyDescent="0.3">
      <c r="B1161" s="13" t="s">
        <v>495</v>
      </c>
      <c r="C1161" s="13" t="s">
        <v>210</v>
      </c>
      <c r="D1161" s="13">
        <v>-6</v>
      </c>
      <c r="E1161" s="13" t="s">
        <v>10</v>
      </c>
      <c r="F1161" s="13" t="s">
        <v>290</v>
      </c>
      <c r="G1161" s="13" t="s">
        <v>12</v>
      </c>
      <c r="H1161" s="13" t="s">
        <v>478</v>
      </c>
      <c r="I1161" s="13" t="s">
        <v>492</v>
      </c>
    </row>
    <row r="1162" spans="2:9" s="13" customFormat="1" hidden="1" outlineLevel="1" x14ac:dyDescent="0.3">
      <c r="B1162" s="13" t="s">
        <v>496</v>
      </c>
      <c r="C1162" s="13" t="s">
        <v>40</v>
      </c>
      <c r="E1162" s="13" t="s">
        <v>10</v>
      </c>
      <c r="F1162" s="13" t="s">
        <v>11</v>
      </c>
      <c r="G1162" s="13" t="s">
        <v>12</v>
      </c>
      <c r="H1162" s="13" t="s">
        <v>478</v>
      </c>
      <c r="I1162" s="13" t="s">
        <v>308</v>
      </c>
    </row>
    <row r="1163" spans="2:9" s="13" customFormat="1" hidden="1" outlineLevel="1" x14ac:dyDescent="0.3">
      <c r="B1163" s="13" t="s">
        <v>497</v>
      </c>
      <c r="C1163" s="13" t="s">
        <v>130</v>
      </c>
      <c r="E1163" s="13" t="s">
        <v>10</v>
      </c>
      <c r="F1163" s="13" t="s">
        <v>11</v>
      </c>
      <c r="G1163" s="13" t="s">
        <v>12</v>
      </c>
      <c r="H1163" s="13" t="s">
        <v>478</v>
      </c>
      <c r="I1163" s="13" t="s">
        <v>308</v>
      </c>
    </row>
    <row r="1164" spans="2:9" s="13" customFormat="1" hidden="1" outlineLevel="1" x14ac:dyDescent="0.3">
      <c r="B1164" s="13" t="s">
        <v>498</v>
      </c>
      <c r="C1164" s="13" t="s">
        <v>136</v>
      </c>
      <c r="E1164" s="13" t="s">
        <v>10</v>
      </c>
      <c r="F1164" s="13" t="s">
        <v>11</v>
      </c>
      <c r="G1164" s="13" t="s">
        <v>12</v>
      </c>
      <c r="H1164" s="13" t="s">
        <v>478</v>
      </c>
      <c r="I1164" s="13" t="s">
        <v>308</v>
      </c>
    </row>
    <row r="1165" spans="2:9" s="13" customFormat="1" hidden="1" outlineLevel="1" x14ac:dyDescent="0.3">
      <c r="B1165" s="13" t="s">
        <v>499</v>
      </c>
      <c r="C1165" s="13" t="s">
        <v>139</v>
      </c>
      <c r="E1165" s="13" t="s">
        <v>10</v>
      </c>
      <c r="F1165" s="13" t="s">
        <v>11</v>
      </c>
      <c r="G1165" s="13" t="s">
        <v>12</v>
      </c>
      <c r="H1165" s="13" t="s">
        <v>478</v>
      </c>
      <c r="I1165" s="13" t="s">
        <v>308</v>
      </c>
    </row>
    <row r="1166" spans="2:9" s="13" customFormat="1" hidden="1" outlineLevel="1" x14ac:dyDescent="0.3">
      <c r="B1166" s="13" t="s">
        <v>500</v>
      </c>
      <c r="C1166" s="13" t="s">
        <v>110</v>
      </c>
      <c r="E1166" s="13" t="s">
        <v>10</v>
      </c>
      <c r="F1166" s="13" t="s">
        <v>11</v>
      </c>
      <c r="G1166" s="13" t="s">
        <v>12</v>
      </c>
      <c r="H1166" s="13" t="s">
        <v>478</v>
      </c>
      <c r="I1166" s="13" t="s">
        <v>308</v>
      </c>
    </row>
    <row r="1167" spans="2:9" s="13" customFormat="1" hidden="1" outlineLevel="1" x14ac:dyDescent="0.3">
      <c r="B1167" s="13" t="s">
        <v>501</v>
      </c>
      <c r="C1167" s="13" t="s">
        <v>375</v>
      </c>
      <c r="E1167" s="13" t="s">
        <v>10</v>
      </c>
      <c r="F1167" s="13" t="s">
        <v>11</v>
      </c>
      <c r="G1167" s="13" t="s">
        <v>12</v>
      </c>
      <c r="H1167" s="13" t="s">
        <v>478</v>
      </c>
      <c r="I1167" s="13" t="s">
        <v>308</v>
      </c>
    </row>
    <row r="1168" spans="2:9" s="13" customFormat="1" hidden="1" outlineLevel="1" x14ac:dyDescent="0.3">
      <c r="B1168" s="13" t="s">
        <v>502</v>
      </c>
      <c r="C1168" s="13" t="s">
        <v>116</v>
      </c>
      <c r="E1168" s="13" t="s">
        <v>10</v>
      </c>
      <c r="F1168" s="13" t="s">
        <v>11</v>
      </c>
      <c r="G1168" s="13" t="s">
        <v>12</v>
      </c>
      <c r="H1168" s="13" t="s">
        <v>478</v>
      </c>
      <c r="I1168" s="13" t="s">
        <v>308</v>
      </c>
    </row>
    <row r="1169" spans="2:9" s="13" customFormat="1" hidden="1" outlineLevel="1" x14ac:dyDescent="0.3">
      <c r="B1169" s="13" t="s">
        <v>503</v>
      </c>
      <c r="C1169" s="13" t="s">
        <v>119</v>
      </c>
      <c r="E1169" s="13" t="s">
        <v>10</v>
      </c>
      <c r="F1169" s="13" t="s">
        <v>11</v>
      </c>
      <c r="G1169" s="13" t="s">
        <v>12</v>
      </c>
      <c r="H1169" s="13" t="s">
        <v>478</v>
      </c>
      <c r="I1169" s="13" t="s">
        <v>308</v>
      </c>
    </row>
    <row r="1170" spans="2:9" s="13" customFormat="1" hidden="1" outlineLevel="1" x14ac:dyDescent="0.3">
      <c r="B1170" s="13" t="s">
        <v>504</v>
      </c>
      <c r="C1170" s="13" t="s">
        <v>383</v>
      </c>
      <c r="E1170" s="13" t="s">
        <v>10</v>
      </c>
      <c r="F1170" s="13" t="s">
        <v>11</v>
      </c>
      <c r="G1170" s="13" t="s">
        <v>12</v>
      </c>
      <c r="H1170" s="13" t="s">
        <v>478</v>
      </c>
      <c r="I1170" s="13" t="s">
        <v>308</v>
      </c>
    </row>
    <row r="1171" spans="2:9" s="13" customFormat="1" hidden="1" outlineLevel="1" x14ac:dyDescent="0.3">
      <c r="B1171" s="13" t="s">
        <v>505</v>
      </c>
      <c r="C1171" s="13" t="s">
        <v>412</v>
      </c>
      <c r="E1171" s="13" t="s">
        <v>10</v>
      </c>
      <c r="F1171" s="13" t="s">
        <v>11</v>
      </c>
      <c r="G1171" s="13" t="s">
        <v>12</v>
      </c>
      <c r="H1171" s="13" t="s">
        <v>478</v>
      </c>
      <c r="I1171" s="13" t="s">
        <v>308</v>
      </c>
    </row>
    <row r="1172" spans="2:9" s="13" customFormat="1" hidden="1" outlineLevel="1" x14ac:dyDescent="0.3">
      <c r="B1172" s="13" t="s">
        <v>506</v>
      </c>
      <c r="C1172" s="13" t="s">
        <v>386</v>
      </c>
      <c r="E1172" s="13" t="s">
        <v>10</v>
      </c>
      <c r="F1172" s="13" t="s">
        <v>11</v>
      </c>
      <c r="G1172" s="13" t="s">
        <v>12</v>
      </c>
      <c r="H1172" s="13" t="s">
        <v>478</v>
      </c>
      <c r="I1172" s="13" t="s">
        <v>308</v>
      </c>
    </row>
    <row r="1173" spans="2:9" s="13" customFormat="1" hidden="1" outlineLevel="1" x14ac:dyDescent="0.3">
      <c r="B1173" s="13" t="s">
        <v>507</v>
      </c>
      <c r="C1173" s="13" t="s">
        <v>390</v>
      </c>
      <c r="E1173" s="13" t="s">
        <v>10</v>
      </c>
      <c r="F1173" s="13" t="s">
        <v>11</v>
      </c>
      <c r="G1173" s="13" t="s">
        <v>12</v>
      </c>
      <c r="H1173" s="13" t="s">
        <v>478</v>
      </c>
      <c r="I1173" s="13" t="s">
        <v>308</v>
      </c>
    </row>
    <row r="1174" spans="2:9" s="13" customFormat="1" hidden="1" outlineLevel="1" x14ac:dyDescent="0.3">
      <c r="B1174" s="13" t="s">
        <v>508</v>
      </c>
      <c r="C1174" s="13" t="s">
        <v>392</v>
      </c>
      <c r="E1174" s="13" t="s">
        <v>10</v>
      </c>
      <c r="F1174" s="13" t="s">
        <v>11</v>
      </c>
      <c r="G1174" s="13" t="s">
        <v>12</v>
      </c>
      <c r="H1174" s="13" t="s">
        <v>478</v>
      </c>
      <c r="I1174" s="13" t="s">
        <v>308</v>
      </c>
    </row>
    <row r="1175" spans="2:9" s="13" customFormat="1" hidden="1" outlineLevel="1" x14ac:dyDescent="0.3">
      <c r="B1175" s="13" t="s">
        <v>509</v>
      </c>
      <c r="C1175" s="13" t="s">
        <v>394</v>
      </c>
      <c r="E1175" s="13" t="s">
        <v>10</v>
      </c>
      <c r="F1175" s="13" t="s">
        <v>11</v>
      </c>
      <c r="G1175" s="13" t="s">
        <v>12</v>
      </c>
      <c r="H1175" s="13" t="s">
        <v>478</v>
      </c>
      <c r="I1175" s="13" t="s">
        <v>308</v>
      </c>
    </row>
    <row r="1176" spans="2:9" s="13" customFormat="1" hidden="1" outlineLevel="1" x14ac:dyDescent="0.3">
      <c r="B1176" s="13" t="s">
        <v>510</v>
      </c>
      <c r="C1176" s="13" t="s">
        <v>396</v>
      </c>
      <c r="E1176" s="13" t="s">
        <v>10</v>
      </c>
      <c r="F1176" s="13" t="s">
        <v>11</v>
      </c>
      <c r="G1176" s="13" t="s">
        <v>12</v>
      </c>
      <c r="H1176" s="13" t="s">
        <v>478</v>
      </c>
      <c r="I1176" s="13" t="s">
        <v>308</v>
      </c>
    </row>
    <row r="1177" spans="2:9" s="13" customFormat="1" hidden="1" outlineLevel="1" x14ac:dyDescent="0.3">
      <c r="B1177" s="13" t="s">
        <v>511</v>
      </c>
      <c r="C1177" s="13" t="s">
        <v>210</v>
      </c>
      <c r="D1177" s="13">
        <v>-6</v>
      </c>
      <c r="E1177" s="13" t="s">
        <v>10</v>
      </c>
      <c r="F1177" s="13" t="s">
        <v>165</v>
      </c>
      <c r="G1177" s="13" t="s">
        <v>12</v>
      </c>
      <c r="H1177" s="13" t="s">
        <v>478</v>
      </c>
      <c r="I1177" s="13" t="s">
        <v>492</v>
      </c>
    </row>
    <row r="1178" spans="2:9" s="13" customFormat="1" hidden="1" outlineLevel="1" x14ac:dyDescent="0.3">
      <c r="B1178" s="13" t="s">
        <v>512</v>
      </c>
      <c r="C1178" s="13" t="s">
        <v>210</v>
      </c>
      <c r="D1178" s="13">
        <v>-6</v>
      </c>
      <c r="E1178" s="13" t="s">
        <v>10</v>
      </c>
      <c r="F1178" s="13" t="s">
        <v>420</v>
      </c>
      <c r="G1178" s="13" t="s">
        <v>12</v>
      </c>
      <c r="H1178" s="13" t="s">
        <v>478</v>
      </c>
      <c r="I1178" s="13" t="s">
        <v>492</v>
      </c>
    </row>
    <row r="1179" spans="2:9" s="13" customFormat="1" hidden="1" outlineLevel="1" x14ac:dyDescent="0.3">
      <c r="B1179" s="13" t="s">
        <v>513</v>
      </c>
      <c r="C1179" s="13" t="s">
        <v>210</v>
      </c>
      <c r="D1179" s="13">
        <v>0</v>
      </c>
      <c r="E1179" s="13" t="s">
        <v>10</v>
      </c>
      <c r="F1179" s="13" t="s">
        <v>165</v>
      </c>
      <c r="G1179" s="13" t="s">
        <v>12</v>
      </c>
      <c r="H1179" s="13" t="s">
        <v>478</v>
      </c>
      <c r="I1179" s="13" t="s">
        <v>494</v>
      </c>
    </row>
    <row r="1180" spans="2:9" s="13" customFormat="1" hidden="1" outlineLevel="1" x14ac:dyDescent="0.3">
      <c r="B1180" s="13" t="s">
        <v>514</v>
      </c>
      <c r="C1180" s="13" t="s">
        <v>40</v>
      </c>
      <c r="E1180" s="13" t="s">
        <v>10</v>
      </c>
      <c r="F1180" s="13" t="s">
        <v>71</v>
      </c>
      <c r="G1180" s="13" t="s">
        <v>12</v>
      </c>
      <c r="H1180" s="13" t="s">
        <v>478</v>
      </c>
      <c r="I1180" s="13" t="s">
        <v>308</v>
      </c>
    </row>
    <row r="1181" spans="2:9" s="13" customFormat="1" hidden="1" outlineLevel="1" x14ac:dyDescent="0.3">
      <c r="B1181" s="13" t="s">
        <v>515</v>
      </c>
      <c r="C1181" s="13" t="s">
        <v>130</v>
      </c>
      <c r="E1181" s="13" t="s">
        <v>10</v>
      </c>
      <c r="F1181" s="13" t="s">
        <v>71</v>
      </c>
      <c r="G1181" s="13" t="s">
        <v>12</v>
      </c>
      <c r="H1181" s="13" t="s">
        <v>478</v>
      </c>
      <c r="I1181" s="13" t="s">
        <v>308</v>
      </c>
    </row>
    <row r="1182" spans="2:9" s="13" customFormat="1" hidden="1" outlineLevel="1" x14ac:dyDescent="0.3">
      <c r="B1182" s="13" t="s">
        <v>516</v>
      </c>
      <c r="C1182" s="13" t="s">
        <v>136</v>
      </c>
      <c r="E1182" s="13" t="s">
        <v>10</v>
      </c>
      <c r="F1182" s="13" t="s">
        <v>71</v>
      </c>
      <c r="G1182" s="13" t="s">
        <v>12</v>
      </c>
      <c r="H1182" s="13" t="s">
        <v>478</v>
      </c>
      <c r="I1182" s="13" t="s">
        <v>308</v>
      </c>
    </row>
    <row r="1183" spans="2:9" s="13" customFormat="1" hidden="1" outlineLevel="1" x14ac:dyDescent="0.3">
      <c r="B1183" s="13" t="s">
        <v>517</v>
      </c>
      <c r="C1183" s="13" t="s">
        <v>139</v>
      </c>
      <c r="E1183" s="13" t="s">
        <v>10</v>
      </c>
      <c r="F1183" s="13" t="s">
        <v>71</v>
      </c>
      <c r="G1183" s="13" t="s">
        <v>12</v>
      </c>
      <c r="H1183" s="13" t="s">
        <v>478</v>
      </c>
      <c r="I1183" s="13" t="s">
        <v>308</v>
      </c>
    </row>
    <row r="1184" spans="2:9" s="13" customFormat="1" hidden="1" outlineLevel="1" x14ac:dyDescent="0.3">
      <c r="B1184" s="13" t="s">
        <v>518</v>
      </c>
      <c r="C1184" s="13" t="s">
        <v>110</v>
      </c>
      <c r="E1184" s="13" t="s">
        <v>10</v>
      </c>
      <c r="F1184" s="13" t="s">
        <v>71</v>
      </c>
      <c r="G1184" s="13" t="s">
        <v>12</v>
      </c>
      <c r="H1184" s="13" t="s">
        <v>519</v>
      </c>
      <c r="I1184" s="13" t="s">
        <v>308</v>
      </c>
    </row>
    <row r="1185" spans="2:9" s="13" customFormat="1" hidden="1" outlineLevel="1" x14ac:dyDescent="0.3">
      <c r="B1185" s="13" t="s">
        <v>520</v>
      </c>
      <c r="C1185" s="13" t="s">
        <v>375</v>
      </c>
      <c r="E1185" s="13" t="s">
        <v>10</v>
      </c>
      <c r="F1185" s="13" t="s">
        <v>71</v>
      </c>
      <c r="G1185" s="13" t="s">
        <v>12</v>
      </c>
      <c r="H1185" s="13" t="s">
        <v>519</v>
      </c>
      <c r="I1185" s="13" t="s">
        <v>308</v>
      </c>
    </row>
    <row r="1186" spans="2:9" s="13" customFormat="1" hidden="1" outlineLevel="1" x14ac:dyDescent="0.3">
      <c r="B1186" s="13" t="s">
        <v>521</v>
      </c>
      <c r="C1186" s="13" t="s">
        <v>116</v>
      </c>
      <c r="E1186" s="13" t="s">
        <v>10</v>
      </c>
      <c r="F1186" s="13" t="s">
        <v>71</v>
      </c>
      <c r="G1186" s="13" t="s">
        <v>12</v>
      </c>
      <c r="H1186" s="13" t="s">
        <v>519</v>
      </c>
      <c r="I1186" s="13" t="s">
        <v>308</v>
      </c>
    </row>
    <row r="1187" spans="2:9" s="13" customFormat="1" hidden="1" outlineLevel="1" x14ac:dyDescent="0.3">
      <c r="B1187" s="13" t="s">
        <v>522</v>
      </c>
      <c r="C1187" s="13" t="s">
        <v>119</v>
      </c>
      <c r="E1187" s="13" t="s">
        <v>10</v>
      </c>
      <c r="F1187" s="13" t="s">
        <v>71</v>
      </c>
      <c r="G1187" s="13" t="s">
        <v>12</v>
      </c>
      <c r="H1187" s="13" t="s">
        <v>519</v>
      </c>
      <c r="I1187" s="13" t="s">
        <v>308</v>
      </c>
    </row>
    <row r="1188" spans="2:9" s="13" customFormat="1" hidden="1" outlineLevel="1" x14ac:dyDescent="0.3">
      <c r="B1188" s="13" t="s">
        <v>523</v>
      </c>
      <c r="C1188" s="13" t="s">
        <v>380</v>
      </c>
      <c r="E1188" s="13" t="s">
        <v>10</v>
      </c>
      <c r="F1188" s="13" t="s">
        <v>71</v>
      </c>
      <c r="G1188" s="13" t="s">
        <v>12</v>
      </c>
      <c r="H1188" s="13" t="s">
        <v>519</v>
      </c>
      <c r="I1188" s="13" t="s">
        <v>308</v>
      </c>
    </row>
    <row r="1189" spans="2:9" s="13" customFormat="1" hidden="1" outlineLevel="1" x14ac:dyDescent="0.3">
      <c r="B1189" s="13" t="s">
        <v>524</v>
      </c>
      <c r="C1189" s="13" t="s">
        <v>383</v>
      </c>
      <c r="E1189" s="13" t="s">
        <v>10</v>
      </c>
      <c r="F1189" s="13" t="s">
        <v>71</v>
      </c>
      <c r="G1189" s="13" t="s">
        <v>12</v>
      </c>
      <c r="H1189" s="13" t="s">
        <v>519</v>
      </c>
      <c r="I1189" s="13" t="s">
        <v>308</v>
      </c>
    </row>
    <row r="1190" spans="2:9" s="13" customFormat="1" hidden="1" outlineLevel="1" x14ac:dyDescent="0.3">
      <c r="B1190" s="13" t="s">
        <v>525</v>
      </c>
      <c r="C1190" s="13" t="s">
        <v>386</v>
      </c>
      <c r="E1190" s="13" t="s">
        <v>10</v>
      </c>
      <c r="F1190" s="13" t="s">
        <v>71</v>
      </c>
      <c r="G1190" s="13" t="s">
        <v>12</v>
      </c>
      <c r="H1190" s="13" t="s">
        <v>519</v>
      </c>
      <c r="I1190" s="13" t="s">
        <v>308</v>
      </c>
    </row>
    <row r="1191" spans="2:9" s="13" customFormat="1" hidden="1" outlineLevel="1" x14ac:dyDescent="0.3">
      <c r="B1191" s="13" t="s">
        <v>526</v>
      </c>
      <c r="C1191" s="13" t="s">
        <v>388</v>
      </c>
      <c r="E1191" s="13" t="s">
        <v>10</v>
      </c>
      <c r="F1191" s="13" t="s">
        <v>71</v>
      </c>
      <c r="G1191" s="13" t="s">
        <v>12</v>
      </c>
      <c r="H1191" s="13" t="s">
        <v>519</v>
      </c>
      <c r="I1191" s="13" t="s">
        <v>308</v>
      </c>
    </row>
    <row r="1192" spans="2:9" s="13" customFormat="1" hidden="1" outlineLevel="1" x14ac:dyDescent="0.3">
      <c r="B1192" s="13" t="s">
        <v>527</v>
      </c>
      <c r="C1192" s="13" t="s">
        <v>390</v>
      </c>
      <c r="E1192" s="13" t="s">
        <v>10</v>
      </c>
      <c r="F1192" s="13" t="s">
        <v>71</v>
      </c>
      <c r="G1192" s="13" t="s">
        <v>12</v>
      </c>
      <c r="H1192" s="13" t="s">
        <v>519</v>
      </c>
      <c r="I1192" s="13" t="s">
        <v>308</v>
      </c>
    </row>
    <row r="1193" spans="2:9" s="13" customFormat="1" hidden="1" outlineLevel="1" x14ac:dyDescent="0.3">
      <c r="B1193" s="13" t="s">
        <v>528</v>
      </c>
      <c r="C1193" s="13" t="s">
        <v>392</v>
      </c>
      <c r="E1193" s="13" t="s">
        <v>10</v>
      </c>
      <c r="F1193" s="13" t="s">
        <v>71</v>
      </c>
      <c r="G1193" s="13" t="s">
        <v>12</v>
      </c>
      <c r="H1193" s="13" t="s">
        <v>519</v>
      </c>
      <c r="I1193" s="13" t="s">
        <v>308</v>
      </c>
    </row>
    <row r="1194" spans="2:9" s="13" customFormat="1" hidden="1" outlineLevel="1" x14ac:dyDescent="0.3">
      <c r="B1194" s="13" t="s">
        <v>529</v>
      </c>
      <c r="C1194" s="13" t="s">
        <v>394</v>
      </c>
      <c r="E1194" s="13" t="s">
        <v>10</v>
      </c>
      <c r="F1194" s="13" t="s">
        <v>71</v>
      </c>
      <c r="G1194" s="13" t="s">
        <v>12</v>
      </c>
      <c r="H1194" s="13" t="s">
        <v>519</v>
      </c>
      <c r="I1194" s="13" t="s">
        <v>308</v>
      </c>
    </row>
    <row r="1195" spans="2:9" s="13" customFormat="1" hidden="1" outlineLevel="1" x14ac:dyDescent="0.3">
      <c r="B1195" s="13" t="s">
        <v>530</v>
      </c>
      <c r="C1195" s="13" t="s">
        <v>396</v>
      </c>
      <c r="E1195" s="13" t="s">
        <v>10</v>
      </c>
      <c r="F1195" s="13" t="s">
        <v>71</v>
      </c>
      <c r="G1195" s="13" t="s">
        <v>12</v>
      </c>
      <c r="H1195" s="13" t="s">
        <v>519</v>
      </c>
      <c r="I1195" s="13" t="s">
        <v>308</v>
      </c>
    </row>
    <row r="1196" spans="2:9" s="13" customFormat="1" hidden="1" outlineLevel="1" x14ac:dyDescent="0.3">
      <c r="B1196" s="13" t="s">
        <v>531</v>
      </c>
      <c r="C1196" s="13" t="s">
        <v>210</v>
      </c>
      <c r="D1196" s="13">
        <v>-6</v>
      </c>
      <c r="E1196" s="13" t="s">
        <v>10</v>
      </c>
      <c r="F1196" s="13" t="s">
        <v>290</v>
      </c>
      <c r="G1196" s="13" t="s">
        <v>12</v>
      </c>
      <c r="H1196" s="13" t="s">
        <v>519</v>
      </c>
      <c r="I1196" s="13" t="s">
        <v>532</v>
      </c>
    </row>
    <row r="1197" spans="2:9" s="13" customFormat="1" hidden="1" outlineLevel="1" x14ac:dyDescent="0.3">
      <c r="B1197" s="13" t="s">
        <v>533</v>
      </c>
      <c r="C1197" s="13" t="s">
        <v>210</v>
      </c>
      <c r="D1197" s="13">
        <v>-6</v>
      </c>
      <c r="E1197" s="13" t="s">
        <v>10</v>
      </c>
      <c r="F1197" s="13" t="s">
        <v>290</v>
      </c>
      <c r="G1197" s="13" t="s">
        <v>12</v>
      </c>
      <c r="H1197" s="13" t="s">
        <v>519</v>
      </c>
      <c r="I1197" s="13" t="s">
        <v>532</v>
      </c>
    </row>
    <row r="1198" spans="2:9" s="13" customFormat="1" hidden="1" outlineLevel="1" x14ac:dyDescent="0.3">
      <c r="B1198" s="13" t="s">
        <v>534</v>
      </c>
      <c r="C1198" s="13" t="s">
        <v>40</v>
      </c>
      <c r="E1198" s="13" t="s">
        <v>10</v>
      </c>
      <c r="F1198" s="13" t="s">
        <v>11</v>
      </c>
      <c r="G1198" s="13" t="s">
        <v>12</v>
      </c>
      <c r="H1198" s="13" t="s">
        <v>519</v>
      </c>
      <c r="I1198" s="13" t="s">
        <v>308</v>
      </c>
    </row>
    <row r="1199" spans="2:9" s="13" customFormat="1" hidden="1" outlineLevel="1" x14ac:dyDescent="0.3">
      <c r="B1199" s="13" t="s">
        <v>535</v>
      </c>
      <c r="C1199" s="13" t="s">
        <v>130</v>
      </c>
      <c r="E1199" s="13" t="s">
        <v>10</v>
      </c>
      <c r="F1199" s="13" t="s">
        <v>11</v>
      </c>
      <c r="G1199" s="13" t="s">
        <v>12</v>
      </c>
      <c r="H1199" s="13" t="s">
        <v>519</v>
      </c>
      <c r="I1199" s="13" t="s">
        <v>308</v>
      </c>
    </row>
    <row r="1200" spans="2:9" s="13" customFormat="1" hidden="1" outlineLevel="1" x14ac:dyDescent="0.3">
      <c r="B1200" s="13" t="s">
        <v>536</v>
      </c>
      <c r="C1200" s="13" t="s">
        <v>136</v>
      </c>
      <c r="E1200" s="13" t="s">
        <v>10</v>
      </c>
      <c r="F1200" s="13" t="s">
        <v>11</v>
      </c>
      <c r="G1200" s="13" t="s">
        <v>12</v>
      </c>
      <c r="H1200" s="13" t="s">
        <v>519</v>
      </c>
      <c r="I1200" s="13" t="s">
        <v>308</v>
      </c>
    </row>
    <row r="1201" spans="2:9" s="13" customFormat="1" hidden="1" outlineLevel="1" x14ac:dyDescent="0.3">
      <c r="B1201" s="13" t="s">
        <v>537</v>
      </c>
      <c r="C1201" s="13" t="s">
        <v>139</v>
      </c>
      <c r="E1201" s="13" t="s">
        <v>10</v>
      </c>
      <c r="F1201" s="13" t="s">
        <v>11</v>
      </c>
      <c r="G1201" s="13" t="s">
        <v>12</v>
      </c>
      <c r="H1201" s="13" t="s">
        <v>519</v>
      </c>
      <c r="I1201" s="13" t="s">
        <v>308</v>
      </c>
    </row>
    <row r="1202" spans="2:9" s="13" customFormat="1" hidden="1" outlineLevel="1" x14ac:dyDescent="0.3">
      <c r="B1202" s="13" t="s">
        <v>538</v>
      </c>
      <c r="C1202" s="13" t="s">
        <v>110</v>
      </c>
      <c r="E1202" s="13" t="s">
        <v>10</v>
      </c>
      <c r="F1202" s="13" t="s">
        <v>11</v>
      </c>
      <c r="G1202" s="13" t="s">
        <v>12</v>
      </c>
      <c r="H1202" s="13" t="s">
        <v>519</v>
      </c>
      <c r="I1202" s="13" t="s">
        <v>308</v>
      </c>
    </row>
    <row r="1203" spans="2:9" s="13" customFormat="1" hidden="1" outlineLevel="1" x14ac:dyDescent="0.3">
      <c r="B1203" s="13" t="s">
        <v>539</v>
      </c>
      <c r="C1203" s="13" t="s">
        <v>375</v>
      </c>
      <c r="E1203" s="13" t="s">
        <v>10</v>
      </c>
      <c r="F1203" s="13" t="s">
        <v>11</v>
      </c>
      <c r="G1203" s="13" t="s">
        <v>12</v>
      </c>
      <c r="H1203" s="13" t="s">
        <v>519</v>
      </c>
      <c r="I1203" s="13" t="s">
        <v>308</v>
      </c>
    </row>
    <row r="1204" spans="2:9" s="13" customFormat="1" hidden="1" outlineLevel="1" x14ac:dyDescent="0.3">
      <c r="B1204" s="13" t="s">
        <v>540</v>
      </c>
      <c r="C1204" s="13" t="s">
        <v>116</v>
      </c>
      <c r="E1204" s="13" t="s">
        <v>10</v>
      </c>
      <c r="F1204" s="13" t="s">
        <v>11</v>
      </c>
      <c r="G1204" s="13" t="s">
        <v>12</v>
      </c>
      <c r="H1204" s="13" t="s">
        <v>519</v>
      </c>
      <c r="I1204" s="13" t="s">
        <v>308</v>
      </c>
    </row>
    <row r="1205" spans="2:9" s="13" customFormat="1" hidden="1" outlineLevel="1" x14ac:dyDescent="0.3">
      <c r="B1205" s="13" t="s">
        <v>541</v>
      </c>
      <c r="C1205" s="13" t="s">
        <v>119</v>
      </c>
      <c r="E1205" s="13" t="s">
        <v>10</v>
      </c>
      <c r="F1205" s="13" t="s">
        <v>11</v>
      </c>
      <c r="G1205" s="13" t="s">
        <v>12</v>
      </c>
      <c r="H1205" s="13" t="s">
        <v>519</v>
      </c>
      <c r="I1205" s="13" t="s">
        <v>308</v>
      </c>
    </row>
    <row r="1206" spans="2:9" s="13" customFormat="1" hidden="1" outlineLevel="1" x14ac:dyDescent="0.3">
      <c r="B1206" s="13" t="s">
        <v>542</v>
      </c>
      <c r="C1206" s="13" t="s">
        <v>383</v>
      </c>
      <c r="E1206" s="13" t="s">
        <v>10</v>
      </c>
      <c r="F1206" s="13" t="s">
        <v>11</v>
      </c>
      <c r="G1206" s="13" t="s">
        <v>12</v>
      </c>
      <c r="H1206" s="13" t="s">
        <v>519</v>
      </c>
      <c r="I1206" s="13" t="s">
        <v>308</v>
      </c>
    </row>
    <row r="1207" spans="2:9" s="13" customFormat="1" hidden="1" outlineLevel="1" x14ac:dyDescent="0.3">
      <c r="B1207" s="13" t="s">
        <v>543</v>
      </c>
      <c r="C1207" s="13" t="s">
        <v>412</v>
      </c>
      <c r="E1207" s="13" t="s">
        <v>10</v>
      </c>
      <c r="F1207" s="13" t="s">
        <v>11</v>
      </c>
      <c r="G1207" s="13" t="s">
        <v>12</v>
      </c>
      <c r="H1207" s="13" t="s">
        <v>519</v>
      </c>
      <c r="I1207" s="13" t="s">
        <v>308</v>
      </c>
    </row>
    <row r="1208" spans="2:9" s="13" customFormat="1" hidden="1" outlineLevel="1" x14ac:dyDescent="0.3">
      <c r="B1208" s="13" t="s">
        <v>544</v>
      </c>
      <c r="C1208" s="13" t="s">
        <v>386</v>
      </c>
      <c r="E1208" s="13" t="s">
        <v>10</v>
      </c>
      <c r="F1208" s="13" t="s">
        <v>11</v>
      </c>
      <c r="G1208" s="13" t="s">
        <v>12</v>
      </c>
      <c r="H1208" s="13" t="s">
        <v>519</v>
      </c>
      <c r="I1208" s="13" t="s">
        <v>308</v>
      </c>
    </row>
    <row r="1209" spans="2:9" s="13" customFormat="1" hidden="1" outlineLevel="1" x14ac:dyDescent="0.3">
      <c r="B1209" s="13" t="s">
        <v>545</v>
      </c>
      <c r="C1209" s="13" t="s">
        <v>390</v>
      </c>
      <c r="E1209" s="13" t="s">
        <v>10</v>
      </c>
      <c r="F1209" s="13" t="s">
        <v>11</v>
      </c>
      <c r="G1209" s="13" t="s">
        <v>12</v>
      </c>
      <c r="H1209" s="13" t="s">
        <v>519</v>
      </c>
      <c r="I1209" s="13" t="s">
        <v>308</v>
      </c>
    </row>
    <row r="1210" spans="2:9" s="13" customFormat="1" hidden="1" outlineLevel="1" x14ac:dyDescent="0.3">
      <c r="B1210" s="13" t="s">
        <v>546</v>
      </c>
      <c r="C1210" s="13" t="s">
        <v>392</v>
      </c>
      <c r="E1210" s="13" t="s">
        <v>10</v>
      </c>
      <c r="F1210" s="13" t="s">
        <v>11</v>
      </c>
      <c r="G1210" s="13" t="s">
        <v>12</v>
      </c>
      <c r="H1210" s="13" t="s">
        <v>519</v>
      </c>
      <c r="I1210" s="13" t="s">
        <v>308</v>
      </c>
    </row>
    <row r="1211" spans="2:9" s="13" customFormat="1" hidden="1" outlineLevel="1" x14ac:dyDescent="0.3">
      <c r="B1211" s="13" t="s">
        <v>547</v>
      </c>
      <c r="C1211" s="13" t="s">
        <v>394</v>
      </c>
      <c r="E1211" s="13" t="s">
        <v>10</v>
      </c>
      <c r="F1211" s="13" t="s">
        <v>11</v>
      </c>
      <c r="G1211" s="13" t="s">
        <v>12</v>
      </c>
      <c r="H1211" s="13" t="s">
        <v>519</v>
      </c>
      <c r="I1211" s="13" t="s">
        <v>308</v>
      </c>
    </row>
    <row r="1212" spans="2:9" s="13" customFormat="1" hidden="1" outlineLevel="1" x14ac:dyDescent="0.3">
      <c r="B1212" s="13" t="s">
        <v>548</v>
      </c>
      <c r="C1212" s="13" t="s">
        <v>396</v>
      </c>
      <c r="E1212" s="13" t="s">
        <v>10</v>
      </c>
      <c r="F1212" s="13" t="s">
        <v>11</v>
      </c>
      <c r="G1212" s="13" t="s">
        <v>12</v>
      </c>
      <c r="H1212" s="13" t="s">
        <v>519</v>
      </c>
      <c r="I1212" s="13" t="s">
        <v>308</v>
      </c>
    </row>
    <row r="1213" spans="2:9" s="13" customFormat="1" hidden="1" outlineLevel="1" x14ac:dyDescent="0.3">
      <c r="B1213" s="13" t="s">
        <v>549</v>
      </c>
      <c r="C1213" s="13" t="s">
        <v>210</v>
      </c>
      <c r="D1213" s="13">
        <v>-6</v>
      </c>
      <c r="E1213" s="13" t="s">
        <v>10</v>
      </c>
      <c r="F1213" s="13" t="s">
        <v>165</v>
      </c>
      <c r="G1213" s="13" t="s">
        <v>12</v>
      </c>
      <c r="H1213" s="13" t="s">
        <v>519</v>
      </c>
      <c r="I1213" s="13" t="s">
        <v>532</v>
      </c>
    </row>
    <row r="1214" spans="2:9" s="13" customFormat="1" hidden="1" outlineLevel="1" x14ac:dyDescent="0.3">
      <c r="B1214" s="13" t="s">
        <v>550</v>
      </c>
      <c r="C1214" s="13" t="s">
        <v>210</v>
      </c>
      <c r="D1214" s="13">
        <v>-6</v>
      </c>
      <c r="E1214" s="13" t="s">
        <v>10</v>
      </c>
      <c r="F1214" s="13" t="s">
        <v>420</v>
      </c>
      <c r="G1214" s="13" t="s">
        <v>12</v>
      </c>
      <c r="H1214" s="13" t="s">
        <v>519</v>
      </c>
      <c r="I1214" s="13" t="s">
        <v>532</v>
      </c>
    </row>
    <row r="1215" spans="2:9" s="13" customFormat="1" hidden="1" outlineLevel="1" x14ac:dyDescent="0.3">
      <c r="B1215" s="13" t="s">
        <v>551</v>
      </c>
      <c r="C1215" s="13" t="s">
        <v>40</v>
      </c>
      <c r="E1215" s="13" t="s">
        <v>10</v>
      </c>
      <c r="F1215" s="13" t="s">
        <v>71</v>
      </c>
      <c r="G1215" s="13" t="s">
        <v>12</v>
      </c>
      <c r="H1215" s="13" t="s">
        <v>519</v>
      </c>
      <c r="I1215" s="13" t="s">
        <v>308</v>
      </c>
    </row>
    <row r="1216" spans="2:9" s="13" customFormat="1" hidden="1" outlineLevel="1" x14ac:dyDescent="0.3">
      <c r="B1216" s="13" t="s">
        <v>552</v>
      </c>
      <c r="C1216" s="13" t="s">
        <v>130</v>
      </c>
      <c r="E1216" s="13" t="s">
        <v>10</v>
      </c>
      <c r="F1216" s="13" t="s">
        <v>71</v>
      </c>
      <c r="G1216" s="13" t="s">
        <v>12</v>
      </c>
      <c r="H1216" s="13" t="s">
        <v>519</v>
      </c>
      <c r="I1216" s="13" t="s">
        <v>308</v>
      </c>
    </row>
    <row r="1217" spans="2:9" s="13" customFormat="1" hidden="1" outlineLevel="1" x14ac:dyDescent="0.3">
      <c r="B1217" s="13" t="s">
        <v>553</v>
      </c>
      <c r="C1217" s="13" t="s">
        <v>136</v>
      </c>
      <c r="E1217" s="13" t="s">
        <v>10</v>
      </c>
      <c r="F1217" s="13" t="s">
        <v>71</v>
      </c>
      <c r="G1217" s="13" t="s">
        <v>12</v>
      </c>
      <c r="H1217" s="13" t="s">
        <v>519</v>
      </c>
      <c r="I1217" s="13" t="s">
        <v>308</v>
      </c>
    </row>
    <row r="1218" spans="2:9" s="13" customFormat="1" hidden="1" outlineLevel="1" x14ac:dyDescent="0.3">
      <c r="B1218" s="13" t="s">
        <v>554</v>
      </c>
      <c r="C1218" s="13" t="s">
        <v>139</v>
      </c>
      <c r="E1218" s="13" t="s">
        <v>10</v>
      </c>
      <c r="F1218" s="13" t="s">
        <v>71</v>
      </c>
      <c r="G1218" s="13" t="s">
        <v>12</v>
      </c>
      <c r="H1218" s="13" t="s">
        <v>519</v>
      </c>
      <c r="I1218" s="13" t="s">
        <v>308</v>
      </c>
    </row>
    <row r="1219" spans="2:9" s="13" customFormat="1" hidden="1" outlineLevel="1" x14ac:dyDescent="0.3">
      <c r="B1219" s="13" t="s">
        <v>555</v>
      </c>
      <c r="C1219" s="13" t="s">
        <v>110</v>
      </c>
      <c r="E1219" s="13" t="s">
        <v>10</v>
      </c>
      <c r="F1219" s="13" t="s">
        <v>71</v>
      </c>
      <c r="G1219" s="13" t="s">
        <v>12</v>
      </c>
      <c r="H1219" s="13" t="s">
        <v>556</v>
      </c>
      <c r="I1219" s="13" t="s">
        <v>308</v>
      </c>
    </row>
    <row r="1220" spans="2:9" s="13" customFormat="1" hidden="1" outlineLevel="1" x14ac:dyDescent="0.3">
      <c r="B1220" s="13" t="s">
        <v>557</v>
      </c>
      <c r="C1220" s="13" t="s">
        <v>375</v>
      </c>
      <c r="E1220" s="13" t="s">
        <v>10</v>
      </c>
      <c r="F1220" s="13" t="s">
        <v>71</v>
      </c>
      <c r="G1220" s="13" t="s">
        <v>12</v>
      </c>
      <c r="H1220" s="13" t="s">
        <v>556</v>
      </c>
      <c r="I1220" s="13" t="s">
        <v>308</v>
      </c>
    </row>
    <row r="1221" spans="2:9" s="13" customFormat="1" hidden="1" outlineLevel="1" x14ac:dyDescent="0.3">
      <c r="B1221" s="13" t="s">
        <v>558</v>
      </c>
      <c r="C1221" s="13" t="s">
        <v>116</v>
      </c>
      <c r="E1221" s="13" t="s">
        <v>10</v>
      </c>
      <c r="F1221" s="13" t="s">
        <v>71</v>
      </c>
      <c r="G1221" s="13" t="s">
        <v>12</v>
      </c>
      <c r="H1221" s="13" t="s">
        <v>556</v>
      </c>
      <c r="I1221" s="13" t="s">
        <v>308</v>
      </c>
    </row>
    <row r="1222" spans="2:9" s="13" customFormat="1" hidden="1" outlineLevel="1" x14ac:dyDescent="0.3">
      <c r="B1222" s="13" t="s">
        <v>559</v>
      </c>
      <c r="C1222" s="13" t="s">
        <v>119</v>
      </c>
      <c r="E1222" s="13" t="s">
        <v>10</v>
      </c>
      <c r="F1222" s="13" t="s">
        <v>71</v>
      </c>
      <c r="G1222" s="13" t="s">
        <v>12</v>
      </c>
      <c r="H1222" s="13" t="s">
        <v>556</v>
      </c>
      <c r="I1222" s="13" t="s">
        <v>308</v>
      </c>
    </row>
    <row r="1223" spans="2:9" s="13" customFormat="1" hidden="1" outlineLevel="1" x14ac:dyDescent="0.3">
      <c r="B1223" s="13" t="s">
        <v>560</v>
      </c>
      <c r="C1223" s="13" t="s">
        <v>380</v>
      </c>
      <c r="E1223" s="13" t="s">
        <v>10</v>
      </c>
      <c r="F1223" s="13" t="s">
        <v>71</v>
      </c>
      <c r="G1223" s="13" t="s">
        <v>12</v>
      </c>
      <c r="H1223" s="13" t="s">
        <v>556</v>
      </c>
      <c r="I1223" s="13" t="s">
        <v>308</v>
      </c>
    </row>
    <row r="1224" spans="2:9" s="13" customFormat="1" hidden="1" outlineLevel="1" x14ac:dyDescent="0.3">
      <c r="B1224" s="13" t="s">
        <v>561</v>
      </c>
      <c r="C1224" s="13" t="s">
        <v>383</v>
      </c>
      <c r="E1224" s="13" t="s">
        <v>10</v>
      </c>
      <c r="F1224" s="13" t="s">
        <v>71</v>
      </c>
      <c r="G1224" s="13" t="s">
        <v>12</v>
      </c>
      <c r="H1224" s="13" t="s">
        <v>556</v>
      </c>
      <c r="I1224" s="13" t="s">
        <v>308</v>
      </c>
    </row>
    <row r="1225" spans="2:9" s="13" customFormat="1" hidden="1" outlineLevel="1" x14ac:dyDescent="0.3">
      <c r="B1225" s="13" t="s">
        <v>562</v>
      </c>
      <c r="C1225" s="13" t="s">
        <v>386</v>
      </c>
      <c r="E1225" s="13" t="s">
        <v>10</v>
      </c>
      <c r="F1225" s="13" t="s">
        <v>71</v>
      </c>
      <c r="G1225" s="13" t="s">
        <v>12</v>
      </c>
      <c r="H1225" s="13" t="s">
        <v>556</v>
      </c>
      <c r="I1225" s="13" t="s">
        <v>308</v>
      </c>
    </row>
    <row r="1226" spans="2:9" s="13" customFormat="1" hidden="1" outlineLevel="1" x14ac:dyDescent="0.3">
      <c r="B1226" s="13" t="s">
        <v>563</v>
      </c>
      <c r="C1226" s="13" t="s">
        <v>388</v>
      </c>
      <c r="E1226" s="13" t="s">
        <v>10</v>
      </c>
      <c r="F1226" s="13" t="s">
        <v>71</v>
      </c>
      <c r="G1226" s="13" t="s">
        <v>12</v>
      </c>
      <c r="H1226" s="13" t="s">
        <v>556</v>
      </c>
      <c r="I1226" s="13" t="s">
        <v>308</v>
      </c>
    </row>
    <row r="1227" spans="2:9" s="13" customFormat="1" hidden="1" outlineLevel="1" x14ac:dyDescent="0.3">
      <c r="B1227" s="13" t="s">
        <v>564</v>
      </c>
      <c r="C1227" s="13" t="s">
        <v>390</v>
      </c>
      <c r="E1227" s="13" t="s">
        <v>10</v>
      </c>
      <c r="F1227" s="13" t="s">
        <v>71</v>
      </c>
      <c r="G1227" s="13" t="s">
        <v>12</v>
      </c>
      <c r="H1227" s="13" t="s">
        <v>556</v>
      </c>
      <c r="I1227" s="13" t="s">
        <v>308</v>
      </c>
    </row>
    <row r="1228" spans="2:9" s="13" customFormat="1" hidden="1" outlineLevel="1" x14ac:dyDescent="0.3">
      <c r="B1228" s="13" t="s">
        <v>565</v>
      </c>
      <c r="C1228" s="13" t="s">
        <v>392</v>
      </c>
      <c r="E1228" s="13" t="s">
        <v>10</v>
      </c>
      <c r="F1228" s="13" t="s">
        <v>71</v>
      </c>
      <c r="G1228" s="13" t="s">
        <v>12</v>
      </c>
      <c r="H1228" s="13" t="s">
        <v>556</v>
      </c>
      <c r="I1228" s="13" t="s">
        <v>308</v>
      </c>
    </row>
    <row r="1229" spans="2:9" s="13" customFormat="1" hidden="1" outlineLevel="1" x14ac:dyDescent="0.3">
      <c r="B1229" s="13" t="s">
        <v>566</v>
      </c>
      <c r="C1229" s="13" t="s">
        <v>394</v>
      </c>
      <c r="E1229" s="13" t="s">
        <v>10</v>
      </c>
      <c r="F1229" s="13" t="s">
        <v>71</v>
      </c>
      <c r="G1229" s="13" t="s">
        <v>12</v>
      </c>
      <c r="H1229" s="13" t="s">
        <v>556</v>
      </c>
      <c r="I1229" s="13" t="s">
        <v>308</v>
      </c>
    </row>
    <row r="1230" spans="2:9" s="13" customFormat="1" hidden="1" outlineLevel="1" x14ac:dyDescent="0.3">
      <c r="B1230" s="13" t="s">
        <v>567</v>
      </c>
      <c r="C1230" s="13" t="s">
        <v>396</v>
      </c>
      <c r="E1230" s="13" t="s">
        <v>10</v>
      </c>
      <c r="F1230" s="13" t="s">
        <v>71</v>
      </c>
      <c r="G1230" s="13" t="s">
        <v>12</v>
      </c>
      <c r="H1230" s="13" t="s">
        <v>556</v>
      </c>
      <c r="I1230" s="13" t="s">
        <v>308</v>
      </c>
    </row>
    <row r="1231" spans="2:9" s="13" customFormat="1" hidden="1" outlineLevel="1" x14ac:dyDescent="0.3">
      <c r="B1231" s="13" t="s">
        <v>568</v>
      </c>
      <c r="C1231" s="13" t="s">
        <v>210</v>
      </c>
      <c r="D1231" s="13">
        <v>-6</v>
      </c>
      <c r="E1231" s="13" t="s">
        <v>10</v>
      </c>
      <c r="F1231" s="13" t="s">
        <v>290</v>
      </c>
      <c r="G1231" s="13" t="s">
        <v>12</v>
      </c>
      <c r="H1231" s="13" t="s">
        <v>556</v>
      </c>
      <c r="I1231" s="13" t="s">
        <v>569</v>
      </c>
    </row>
    <row r="1232" spans="2:9" s="13" customFormat="1" hidden="1" outlineLevel="1" x14ac:dyDescent="0.3">
      <c r="B1232" s="13" t="s">
        <v>570</v>
      </c>
      <c r="C1232" s="13" t="s">
        <v>210</v>
      </c>
      <c r="D1232" s="13">
        <v>-6</v>
      </c>
      <c r="E1232" s="13" t="s">
        <v>10</v>
      </c>
      <c r="F1232" s="13" t="s">
        <v>290</v>
      </c>
      <c r="G1232" s="13" t="s">
        <v>12</v>
      </c>
      <c r="H1232" s="13" t="s">
        <v>556</v>
      </c>
      <c r="I1232" s="13" t="s">
        <v>569</v>
      </c>
    </row>
    <row r="1233" spans="2:9" s="13" customFormat="1" hidden="1" outlineLevel="1" x14ac:dyDescent="0.3">
      <c r="B1233" s="13" t="s">
        <v>571</v>
      </c>
      <c r="C1233" s="13" t="s">
        <v>40</v>
      </c>
      <c r="E1233" s="13" t="s">
        <v>10</v>
      </c>
      <c r="F1233" s="13" t="s">
        <v>11</v>
      </c>
      <c r="G1233" s="13" t="s">
        <v>12</v>
      </c>
      <c r="H1233" s="13" t="s">
        <v>556</v>
      </c>
      <c r="I1233" s="13" t="s">
        <v>308</v>
      </c>
    </row>
    <row r="1234" spans="2:9" s="13" customFormat="1" hidden="1" outlineLevel="1" x14ac:dyDescent="0.3">
      <c r="B1234" s="13" t="s">
        <v>572</v>
      </c>
      <c r="C1234" s="13" t="s">
        <v>130</v>
      </c>
      <c r="E1234" s="13" t="s">
        <v>10</v>
      </c>
      <c r="F1234" s="13" t="s">
        <v>11</v>
      </c>
      <c r="G1234" s="13" t="s">
        <v>12</v>
      </c>
      <c r="H1234" s="13" t="s">
        <v>556</v>
      </c>
      <c r="I1234" s="13" t="s">
        <v>308</v>
      </c>
    </row>
    <row r="1235" spans="2:9" s="13" customFormat="1" hidden="1" outlineLevel="1" x14ac:dyDescent="0.3">
      <c r="B1235" s="13" t="s">
        <v>573</v>
      </c>
      <c r="C1235" s="13" t="s">
        <v>136</v>
      </c>
      <c r="E1235" s="13" t="s">
        <v>10</v>
      </c>
      <c r="F1235" s="13" t="s">
        <v>11</v>
      </c>
      <c r="G1235" s="13" t="s">
        <v>12</v>
      </c>
      <c r="H1235" s="13" t="s">
        <v>556</v>
      </c>
      <c r="I1235" s="13" t="s">
        <v>308</v>
      </c>
    </row>
    <row r="1236" spans="2:9" s="13" customFormat="1" hidden="1" outlineLevel="1" x14ac:dyDescent="0.3">
      <c r="B1236" s="13" t="s">
        <v>574</v>
      </c>
      <c r="C1236" s="13" t="s">
        <v>139</v>
      </c>
      <c r="E1236" s="13" t="s">
        <v>10</v>
      </c>
      <c r="F1236" s="13" t="s">
        <v>11</v>
      </c>
      <c r="G1236" s="13" t="s">
        <v>12</v>
      </c>
      <c r="H1236" s="13" t="s">
        <v>556</v>
      </c>
      <c r="I1236" s="13" t="s">
        <v>308</v>
      </c>
    </row>
    <row r="1237" spans="2:9" s="13" customFormat="1" hidden="1" outlineLevel="1" x14ac:dyDescent="0.3">
      <c r="B1237" s="13" t="s">
        <v>575</v>
      </c>
      <c r="C1237" s="13" t="s">
        <v>110</v>
      </c>
      <c r="E1237" s="13" t="s">
        <v>10</v>
      </c>
      <c r="F1237" s="13" t="s">
        <v>11</v>
      </c>
      <c r="G1237" s="13" t="s">
        <v>12</v>
      </c>
      <c r="H1237" s="13" t="s">
        <v>556</v>
      </c>
      <c r="I1237" s="13" t="s">
        <v>308</v>
      </c>
    </row>
    <row r="1238" spans="2:9" s="13" customFormat="1" hidden="1" outlineLevel="1" x14ac:dyDescent="0.3">
      <c r="B1238" s="13" t="s">
        <v>576</v>
      </c>
      <c r="C1238" s="13" t="s">
        <v>375</v>
      </c>
      <c r="E1238" s="13" t="s">
        <v>10</v>
      </c>
      <c r="F1238" s="13" t="s">
        <v>11</v>
      </c>
      <c r="G1238" s="13" t="s">
        <v>12</v>
      </c>
      <c r="H1238" s="13" t="s">
        <v>556</v>
      </c>
      <c r="I1238" s="13" t="s">
        <v>308</v>
      </c>
    </row>
    <row r="1239" spans="2:9" s="13" customFormat="1" hidden="1" outlineLevel="1" x14ac:dyDescent="0.3">
      <c r="B1239" s="13" t="s">
        <v>577</v>
      </c>
      <c r="C1239" s="13" t="s">
        <v>116</v>
      </c>
      <c r="E1239" s="13" t="s">
        <v>10</v>
      </c>
      <c r="F1239" s="13" t="s">
        <v>11</v>
      </c>
      <c r="G1239" s="13" t="s">
        <v>12</v>
      </c>
      <c r="H1239" s="13" t="s">
        <v>556</v>
      </c>
      <c r="I1239" s="13" t="s">
        <v>308</v>
      </c>
    </row>
    <row r="1240" spans="2:9" s="13" customFormat="1" hidden="1" outlineLevel="1" x14ac:dyDescent="0.3">
      <c r="B1240" s="13" t="s">
        <v>578</v>
      </c>
      <c r="C1240" s="13" t="s">
        <v>119</v>
      </c>
      <c r="E1240" s="13" t="s">
        <v>10</v>
      </c>
      <c r="F1240" s="13" t="s">
        <v>11</v>
      </c>
      <c r="G1240" s="13" t="s">
        <v>12</v>
      </c>
      <c r="H1240" s="13" t="s">
        <v>556</v>
      </c>
      <c r="I1240" s="13" t="s">
        <v>308</v>
      </c>
    </row>
    <row r="1241" spans="2:9" s="13" customFormat="1" hidden="1" outlineLevel="1" x14ac:dyDescent="0.3">
      <c r="B1241" s="13" t="s">
        <v>579</v>
      </c>
      <c r="C1241" s="13" t="s">
        <v>383</v>
      </c>
      <c r="E1241" s="13" t="s">
        <v>10</v>
      </c>
      <c r="F1241" s="13" t="s">
        <v>11</v>
      </c>
      <c r="G1241" s="13" t="s">
        <v>12</v>
      </c>
      <c r="H1241" s="13" t="s">
        <v>556</v>
      </c>
      <c r="I1241" s="13" t="s">
        <v>308</v>
      </c>
    </row>
    <row r="1242" spans="2:9" s="13" customFormat="1" hidden="1" outlineLevel="1" x14ac:dyDescent="0.3">
      <c r="B1242" s="13" t="s">
        <v>580</v>
      </c>
      <c r="C1242" s="13" t="s">
        <v>412</v>
      </c>
      <c r="E1242" s="13" t="s">
        <v>10</v>
      </c>
      <c r="F1242" s="13" t="s">
        <v>11</v>
      </c>
      <c r="G1242" s="13" t="s">
        <v>12</v>
      </c>
      <c r="H1242" s="13" t="s">
        <v>556</v>
      </c>
      <c r="I1242" s="13" t="s">
        <v>308</v>
      </c>
    </row>
    <row r="1243" spans="2:9" s="13" customFormat="1" hidden="1" outlineLevel="1" x14ac:dyDescent="0.3">
      <c r="B1243" s="13" t="s">
        <v>581</v>
      </c>
      <c r="C1243" s="13" t="s">
        <v>386</v>
      </c>
      <c r="E1243" s="13" t="s">
        <v>10</v>
      </c>
      <c r="F1243" s="13" t="s">
        <v>11</v>
      </c>
      <c r="G1243" s="13" t="s">
        <v>12</v>
      </c>
      <c r="H1243" s="13" t="s">
        <v>556</v>
      </c>
      <c r="I1243" s="13" t="s">
        <v>308</v>
      </c>
    </row>
    <row r="1244" spans="2:9" s="13" customFormat="1" hidden="1" outlineLevel="1" x14ac:dyDescent="0.3">
      <c r="B1244" s="13" t="s">
        <v>582</v>
      </c>
      <c r="C1244" s="13" t="s">
        <v>390</v>
      </c>
      <c r="E1244" s="13" t="s">
        <v>10</v>
      </c>
      <c r="F1244" s="13" t="s">
        <v>11</v>
      </c>
      <c r="G1244" s="13" t="s">
        <v>12</v>
      </c>
      <c r="H1244" s="13" t="s">
        <v>556</v>
      </c>
      <c r="I1244" s="13" t="s">
        <v>308</v>
      </c>
    </row>
    <row r="1245" spans="2:9" s="13" customFormat="1" hidden="1" outlineLevel="1" x14ac:dyDescent="0.3">
      <c r="B1245" s="13" t="s">
        <v>583</v>
      </c>
      <c r="C1245" s="13" t="s">
        <v>392</v>
      </c>
      <c r="E1245" s="13" t="s">
        <v>10</v>
      </c>
      <c r="F1245" s="13" t="s">
        <v>11</v>
      </c>
      <c r="G1245" s="13" t="s">
        <v>12</v>
      </c>
      <c r="H1245" s="13" t="s">
        <v>556</v>
      </c>
      <c r="I1245" s="13" t="s">
        <v>308</v>
      </c>
    </row>
    <row r="1246" spans="2:9" s="13" customFormat="1" hidden="1" outlineLevel="1" x14ac:dyDescent="0.3">
      <c r="B1246" s="13" t="s">
        <v>584</v>
      </c>
      <c r="C1246" s="13" t="s">
        <v>394</v>
      </c>
      <c r="E1246" s="13" t="s">
        <v>10</v>
      </c>
      <c r="F1246" s="13" t="s">
        <v>11</v>
      </c>
      <c r="G1246" s="13" t="s">
        <v>12</v>
      </c>
      <c r="H1246" s="13" t="s">
        <v>556</v>
      </c>
      <c r="I1246" s="13" t="s">
        <v>308</v>
      </c>
    </row>
    <row r="1247" spans="2:9" s="13" customFormat="1" hidden="1" outlineLevel="1" x14ac:dyDescent="0.3">
      <c r="B1247" s="13" t="s">
        <v>585</v>
      </c>
      <c r="C1247" s="13" t="s">
        <v>396</v>
      </c>
      <c r="E1247" s="13" t="s">
        <v>10</v>
      </c>
      <c r="F1247" s="13" t="s">
        <v>11</v>
      </c>
      <c r="G1247" s="13" t="s">
        <v>12</v>
      </c>
      <c r="H1247" s="13" t="s">
        <v>556</v>
      </c>
      <c r="I1247" s="13" t="s">
        <v>308</v>
      </c>
    </row>
    <row r="1248" spans="2:9" s="13" customFormat="1" hidden="1" outlineLevel="1" x14ac:dyDescent="0.3">
      <c r="B1248" s="13" t="s">
        <v>586</v>
      </c>
      <c r="C1248" s="13" t="s">
        <v>210</v>
      </c>
      <c r="D1248" s="13">
        <v>-6</v>
      </c>
      <c r="E1248" s="13" t="s">
        <v>10</v>
      </c>
      <c r="F1248" s="13" t="s">
        <v>165</v>
      </c>
      <c r="G1248" s="13" t="s">
        <v>12</v>
      </c>
      <c r="H1248" s="13" t="s">
        <v>556</v>
      </c>
      <c r="I1248" s="13" t="s">
        <v>569</v>
      </c>
    </row>
    <row r="1249" spans="2:9" s="13" customFormat="1" hidden="1" outlineLevel="1" x14ac:dyDescent="0.3">
      <c r="B1249" s="13" t="s">
        <v>587</v>
      </c>
      <c r="C1249" s="13" t="s">
        <v>210</v>
      </c>
      <c r="D1249" s="13">
        <v>-6</v>
      </c>
      <c r="E1249" s="13" t="s">
        <v>10</v>
      </c>
      <c r="F1249" s="13" t="s">
        <v>420</v>
      </c>
      <c r="G1249" s="13" t="s">
        <v>12</v>
      </c>
      <c r="H1249" s="13" t="s">
        <v>556</v>
      </c>
      <c r="I1249" s="13" t="s">
        <v>569</v>
      </c>
    </row>
    <row r="1250" spans="2:9" s="13" customFormat="1" hidden="1" outlineLevel="1" x14ac:dyDescent="0.3">
      <c r="B1250" s="13" t="s">
        <v>588</v>
      </c>
      <c r="C1250" s="13" t="s">
        <v>40</v>
      </c>
      <c r="E1250" s="13" t="s">
        <v>10</v>
      </c>
      <c r="F1250" s="13" t="s">
        <v>71</v>
      </c>
      <c r="G1250" s="13" t="s">
        <v>12</v>
      </c>
      <c r="H1250" s="13" t="s">
        <v>556</v>
      </c>
      <c r="I1250" s="13" t="s">
        <v>308</v>
      </c>
    </row>
    <row r="1251" spans="2:9" s="13" customFormat="1" hidden="1" outlineLevel="1" x14ac:dyDescent="0.3">
      <c r="B1251" s="13" t="s">
        <v>589</v>
      </c>
      <c r="C1251" s="13" t="s">
        <v>130</v>
      </c>
      <c r="E1251" s="13" t="s">
        <v>10</v>
      </c>
      <c r="F1251" s="13" t="s">
        <v>71</v>
      </c>
      <c r="G1251" s="13" t="s">
        <v>12</v>
      </c>
      <c r="H1251" s="13" t="s">
        <v>556</v>
      </c>
      <c r="I1251" s="13" t="s">
        <v>308</v>
      </c>
    </row>
    <row r="1252" spans="2:9" s="13" customFormat="1" hidden="1" outlineLevel="1" x14ac:dyDescent="0.3">
      <c r="B1252" s="13" t="s">
        <v>590</v>
      </c>
      <c r="C1252" s="13" t="s">
        <v>136</v>
      </c>
      <c r="E1252" s="13" t="s">
        <v>10</v>
      </c>
      <c r="F1252" s="13" t="s">
        <v>71</v>
      </c>
      <c r="G1252" s="13" t="s">
        <v>12</v>
      </c>
      <c r="H1252" s="13" t="s">
        <v>556</v>
      </c>
      <c r="I1252" s="13" t="s">
        <v>308</v>
      </c>
    </row>
    <row r="1253" spans="2:9" s="13" customFormat="1" hidden="1" outlineLevel="1" x14ac:dyDescent="0.3">
      <c r="B1253" s="13" t="s">
        <v>591</v>
      </c>
      <c r="C1253" s="13" t="s">
        <v>139</v>
      </c>
      <c r="E1253" s="13" t="s">
        <v>10</v>
      </c>
      <c r="F1253" s="13" t="s">
        <v>71</v>
      </c>
      <c r="G1253" s="13" t="s">
        <v>12</v>
      </c>
      <c r="H1253" s="13" t="s">
        <v>556</v>
      </c>
      <c r="I1253" s="13" t="s">
        <v>308</v>
      </c>
    </row>
    <row r="1254" spans="2:9" s="13" customFormat="1" hidden="1" outlineLevel="1" x14ac:dyDescent="0.3">
      <c r="B1254" s="13" t="s">
        <v>592</v>
      </c>
      <c r="C1254" s="13" t="s">
        <v>110</v>
      </c>
      <c r="E1254" s="13" t="s">
        <v>10</v>
      </c>
      <c r="F1254" s="13" t="s">
        <v>71</v>
      </c>
      <c r="G1254" s="13" t="s">
        <v>12</v>
      </c>
      <c r="H1254" s="13" t="s">
        <v>593</v>
      </c>
      <c r="I1254" s="13" t="s">
        <v>308</v>
      </c>
    </row>
    <row r="1255" spans="2:9" s="13" customFormat="1" hidden="1" outlineLevel="1" x14ac:dyDescent="0.3">
      <c r="B1255" s="13" t="s">
        <v>594</v>
      </c>
      <c r="C1255" s="13" t="s">
        <v>375</v>
      </c>
      <c r="D1255" s="13">
        <v>-6</v>
      </c>
      <c r="E1255" s="13" t="s">
        <v>10</v>
      </c>
      <c r="F1255" s="13" t="s">
        <v>71</v>
      </c>
      <c r="G1255" s="13" t="s">
        <v>12</v>
      </c>
      <c r="H1255" s="13" t="s">
        <v>593</v>
      </c>
      <c r="I1255" s="13" t="s">
        <v>595</v>
      </c>
    </row>
    <row r="1256" spans="2:9" s="13" customFormat="1" hidden="1" outlineLevel="1" x14ac:dyDescent="0.3">
      <c r="B1256" s="13" t="s">
        <v>596</v>
      </c>
      <c r="C1256" s="13" t="s">
        <v>116</v>
      </c>
      <c r="D1256" s="13">
        <v>-6</v>
      </c>
      <c r="E1256" s="13" t="s">
        <v>10</v>
      </c>
      <c r="F1256" s="13" t="s">
        <v>71</v>
      </c>
      <c r="G1256" s="13" t="s">
        <v>12</v>
      </c>
      <c r="H1256" s="13" t="s">
        <v>593</v>
      </c>
      <c r="I1256" s="13" t="s">
        <v>597</v>
      </c>
    </row>
    <row r="1257" spans="2:9" s="13" customFormat="1" hidden="1" outlineLevel="1" x14ac:dyDescent="0.3">
      <c r="B1257" s="13" t="s">
        <v>598</v>
      </c>
      <c r="C1257" s="13" t="s">
        <v>119</v>
      </c>
      <c r="D1257" s="13">
        <v>-6</v>
      </c>
      <c r="E1257" s="13" t="s">
        <v>10</v>
      </c>
      <c r="F1257" s="13" t="s">
        <v>71</v>
      </c>
      <c r="G1257" s="13" t="s">
        <v>12</v>
      </c>
      <c r="H1257" s="13" t="s">
        <v>593</v>
      </c>
      <c r="I1257" s="13" t="s">
        <v>597</v>
      </c>
    </row>
    <row r="1258" spans="2:9" s="13" customFormat="1" hidden="1" outlineLevel="1" x14ac:dyDescent="0.3">
      <c r="B1258" s="13" t="s">
        <v>599</v>
      </c>
      <c r="C1258" s="13" t="s">
        <v>380</v>
      </c>
      <c r="E1258" s="13" t="s">
        <v>10</v>
      </c>
      <c r="F1258" s="13" t="s">
        <v>71</v>
      </c>
      <c r="G1258" s="13" t="s">
        <v>12</v>
      </c>
      <c r="H1258" s="13" t="s">
        <v>593</v>
      </c>
      <c r="I1258" s="13" t="s">
        <v>308</v>
      </c>
    </row>
    <row r="1259" spans="2:9" s="13" customFormat="1" hidden="1" outlineLevel="1" x14ac:dyDescent="0.3">
      <c r="B1259" s="13" t="s">
        <v>600</v>
      </c>
      <c r="C1259" s="13" t="s">
        <v>383</v>
      </c>
      <c r="E1259" s="13" t="s">
        <v>10</v>
      </c>
      <c r="F1259" s="13" t="s">
        <v>71</v>
      </c>
      <c r="G1259" s="13" t="s">
        <v>12</v>
      </c>
      <c r="H1259" s="13" t="s">
        <v>593</v>
      </c>
      <c r="I1259" s="13" t="s">
        <v>308</v>
      </c>
    </row>
    <row r="1260" spans="2:9" s="13" customFormat="1" hidden="1" outlineLevel="1" x14ac:dyDescent="0.3">
      <c r="B1260" s="13" t="s">
        <v>601</v>
      </c>
      <c r="C1260" s="13" t="s">
        <v>386</v>
      </c>
      <c r="E1260" s="13" t="s">
        <v>10</v>
      </c>
      <c r="F1260" s="13" t="s">
        <v>71</v>
      </c>
      <c r="G1260" s="13" t="s">
        <v>12</v>
      </c>
      <c r="H1260" s="13" t="s">
        <v>593</v>
      </c>
      <c r="I1260" s="13" t="s">
        <v>308</v>
      </c>
    </row>
    <row r="1261" spans="2:9" s="13" customFormat="1" hidden="1" outlineLevel="1" x14ac:dyDescent="0.3">
      <c r="B1261" s="13" t="s">
        <v>602</v>
      </c>
      <c r="C1261" s="13" t="s">
        <v>388</v>
      </c>
      <c r="E1261" s="13" t="s">
        <v>10</v>
      </c>
      <c r="F1261" s="13" t="s">
        <v>71</v>
      </c>
      <c r="G1261" s="13" t="s">
        <v>12</v>
      </c>
      <c r="H1261" s="13" t="s">
        <v>593</v>
      </c>
      <c r="I1261" s="13" t="s">
        <v>308</v>
      </c>
    </row>
    <row r="1262" spans="2:9" s="13" customFormat="1" hidden="1" outlineLevel="1" x14ac:dyDescent="0.3">
      <c r="B1262" s="13" t="s">
        <v>603</v>
      </c>
      <c r="C1262" s="13" t="s">
        <v>390</v>
      </c>
      <c r="E1262" s="13" t="s">
        <v>10</v>
      </c>
      <c r="F1262" s="13" t="s">
        <v>71</v>
      </c>
      <c r="G1262" s="13" t="s">
        <v>12</v>
      </c>
      <c r="H1262" s="13" t="s">
        <v>593</v>
      </c>
      <c r="I1262" s="13" t="s">
        <v>308</v>
      </c>
    </row>
    <row r="1263" spans="2:9" s="13" customFormat="1" hidden="1" outlineLevel="1" x14ac:dyDescent="0.3">
      <c r="B1263" s="13" t="s">
        <v>604</v>
      </c>
      <c r="C1263" s="13" t="s">
        <v>392</v>
      </c>
      <c r="E1263" s="13" t="s">
        <v>10</v>
      </c>
      <c r="F1263" s="13" t="s">
        <v>71</v>
      </c>
      <c r="G1263" s="13" t="s">
        <v>12</v>
      </c>
      <c r="H1263" s="13" t="s">
        <v>593</v>
      </c>
      <c r="I1263" s="13" t="s">
        <v>308</v>
      </c>
    </row>
    <row r="1264" spans="2:9" s="13" customFormat="1" hidden="1" outlineLevel="1" x14ac:dyDescent="0.3">
      <c r="B1264" s="13" t="s">
        <v>605</v>
      </c>
      <c r="C1264" s="13" t="s">
        <v>394</v>
      </c>
      <c r="E1264" s="13" t="s">
        <v>10</v>
      </c>
      <c r="F1264" s="13" t="s">
        <v>71</v>
      </c>
      <c r="G1264" s="13" t="s">
        <v>12</v>
      </c>
      <c r="H1264" s="13" t="s">
        <v>593</v>
      </c>
      <c r="I1264" s="13" t="s">
        <v>308</v>
      </c>
    </row>
    <row r="1265" spans="2:9" s="13" customFormat="1" hidden="1" outlineLevel="1" x14ac:dyDescent="0.3">
      <c r="B1265" s="13" t="s">
        <v>606</v>
      </c>
      <c r="C1265" s="13" t="s">
        <v>396</v>
      </c>
      <c r="E1265" s="13" t="s">
        <v>10</v>
      </c>
      <c r="F1265" s="13" t="s">
        <v>71</v>
      </c>
      <c r="G1265" s="13" t="s">
        <v>12</v>
      </c>
      <c r="H1265" s="13" t="s">
        <v>593</v>
      </c>
      <c r="I1265" s="13" t="s">
        <v>308</v>
      </c>
    </row>
    <row r="1266" spans="2:9" s="13" customFormat="1" hidden="1" outlineLevel="1" x14ac:dyDescent="0.3">
      <c r="B1266" s="13" t="s">
        <v>607</v>
      </c>
      <c r="C1266" s="13" t="s">
        <v>210</v>
      </c>
      <c r="D1266" s="13">
        <v>-6</v>
      </c>
      <c r="E1266" s="13" t="s">
        <v>10</v>
      </c>
      <c r="F1266" s="13" t="s">
        <v>290</v>
      </c>
      <c r="G1266" s="13" t="s">
        <v>12</v>
      </c>
      <c r="H1266" s="13" t="s">
        <v>593</v>
      </c>
      <c r="I1266" s="13" t="s">
        <v>608</v>
      </c>
    </row>
    <row r="1267" spans="2:9" s="13" customFormat="1" hidden="1" outlineLevel="1" x14ac:dyDescent="0.3">
      <c r="B1267" s="13" t="s">
        <v>609</v>
      </c>
      <c r="C1267" s="13" t="s">
        <v>210</v>
      </c>
      <c r="D1267" s="13">
        <v>-6</v>
      </c>
      <c r="E1267" s="13" t="s">
        <v>10</v>
      </c>
      <c r="F1267" s="13" t="s">
        <v>290</v>
      </c>
      <c r="G1267" s="13" t="s">
        <v>12</v>
      </c>
      <c r="H1267" s="13" t="s">
        <v>593</v>
      </c>
      <c r="I1267" s="13" t="s">
        <v>608</v>
      </c>
    </row>
    <row r="1268" spans="2:9" s="13" customFormat="1" hidden="1" outlineLevel="1" x14ac:dyDescent="0.3">
      <c r="B1268" s="13" t="s">
        <v>610</v>
      </c>
      <c r="C1268" s="13" t="s">
        <v>40</v>
      </c>
      <c r="E1268" s="13" t="s">
        <v>10</v>
      </c>
      <c r="F1268" s="13" t="s">
        <v>11</v>
      </c>
      <c r="G1268" s="13" t="s">
        <v>12</v>
      </c>
      <c r="H1268" s="13" t="s">
        <v>593</v>
      </c>
      <c r="I1268" s="13" t="s">
        <v>308</v>
      </c>
    </row>
    <row r="1269" spans="2:9" s="13" customFormat="1" hidden="1" outlineLevel="1" x14ac:dyDescent="0.3">
      <c r="B1269" s="13" t="s">
        <v>611</v>
      </c>
      <c r="C1269" s="13" t="s">
        <v>130</v>
      </c>
      <c r="E1269" s="13" t="s">
        <v>10</v>
      </c>
      <c r="F1269" s="13" t="s">
        <v>11</v>
      </c>
      <c r="G1269" s="13" t="s">
        <v>12</v>
      </c>
      <c r="H1269" s="13" t="s">
        <v>593</v>
      </c>
      <c r="I1269" s="13" t="s">
        <v>308</v>
      </c>
    </row>
    <row r="1270" spans="2:9" s="13" customFormat="1" hidden="1" outlineLevel="1" x14ac:dyDescent="0.3">
      <c r="B1270" s="13" t="s">
        <v>612</v>
      </c>
      <c r="C1270" s="13" t="s">
        <v>136</v>
      </c>
      <c r="D1270" s="13">
        <v>-6</v>
      </c>
      <c r="E1270" s="13" t="s">
        <v>10</v>
      </c>
      <c r="F1270" s="13" t="s">
        <v>11</v>
      </c>
      <c r="G1270" s="13" t="s">
        <v>12</v>
      </c>
      <c r="H1270" s="13" t="s">
        <v>593</v>
      </c>
      <c r="I1270" s="13" t="s">
        <v>613</v>
      </c>
    </row>
    <row r="1271" spans="2:9" s="13" customFormat="1" hidden="1" outlineLevel="1" x14ac:dyDescent="0.3">
      <c r="B1271" s="13" t="s">
        <v>614</v>
      </c>
      <c r="C1271" s="13" t="s">
        <v>139</v>
      </c>
      <c r="D1271" s="13">
        <v>-6</v>
      </c>
      <c r="E1271" s="13" t="s">
        <v>10</v>
      </c>
      <c r="F1271" s="13" t="s">
        <v>11</v>
      </c>
      <c r="G1271" s="13" t="s">
        <v>12</v>
      </c>
      <c r="H1271" s="13" t="s">
        <v>593</v>
      </c>
      <c r="I1271" s="13" t="s">
        <v>140</v>
      </c>
    </row>
    <row r="1272" spans="2:9" s="13" customFormat="1" hidden="1" outlineLevel="1" x14ac:dyDescent="0.3">
      <c r="B1272" s="13" t="s">
        <v>615</v>
      </c>
      <c r="C1272" s="13" t="s">
        <v>110</v>
      </c>
      <c r="E1272" s="13" t="s">
        <v>10</v>
      </c>
      <c r="F1272" s="13" t="s">
        <v>11</v>
      </c>
      <c r="G1272" s="13" t="s">
        <v>12</v>
      </c>
      <c r="H1272" s="13" t="s">
        <v>593</v>
      </c>
      <c r="I1272" s="13" t="s">
        <v>308</v>
      </c>
    </row>
    <row r="1273" spans="2:9" s="13" customFormat="1" hidden="1" outlineLevel="1" x14ac:dyDescent="0.3">
      <c r="B1273" s="13" t="s">
        <v>616</v>
      </c>
      <c r="C1273" s="13" t="s">
        <v>375</v>
      </c>
      <c r="D1273" s="13">
        <v>-6</v>
      </c>
      <c r="E1273" s="13" t="s">
        <v>10</v>
      </c>
      <c r="F1273" s="13" t="s">
        <v>11</v>
      </c>
      <c r="G1273" s="13" t="s">
        <v>12</v>
      </c>
      <c r="H1273" s="13" t="s">
        <v>593</v>
      </c>
      <c r="I1273" s="13" t="s">
        <v>617</v>
      </c>
    </row>
    <row r="1274" spans="2:9" s="13" customFormat="1" hidden="1" outlineLevel="1" x14ac:dyDescent="0.3">
      <c r="B1274" s="13" t="s">
        <v>618</v>
      </c>
      <c r="C1274" s="13" t="s">
        <v>116</v>
      </c>
      <c r="D1274" s="13">
        <v>-6</v>
      </c>
      <c r="E1274" s="13" t="s">
        <v>10</v>
      </c>
      <c r="F1274" s="13" t="s">
        <v>11</v>
      </c>
      <c r="G1274" s="13" t="s">
        <v>12</v>
      </c>
      <c r="H1274" s="13" t="s">
        <v>593</v>
      </c>
      <c r="I1274" s="13" t="s">
        <v>619</v>
      </c>
    </row>
    <row r="1275" spans="2:9" s="13" customFormat="1" hidden="1" outlineLevel="1" x14ac:dyDescent="0.3">
      <c r="B1275" s="13" t="s">
        <v>620</v>
      </c>
      <c r="C1275" s="13" t="s">
        <v>119</v>
      </c>
      <c r="D1275" s="13">
        <v>-6</v>
      </c>
      <c r="E1275" s="13" t="s">
        <v>10</v>
      </c>
      <c r="F1275" s="13" t="s">
        <v>11</v>
      </c>
      <c r="G1275" s="13" t="s">
        <v>12</v>
      </c>
      <c r="H1275" s="13" t="s">
        <v>593</v>
      </c>
      <c r="I1275" s="13" t="s">
        <v>619</v>
      </c>
    </row>
    <row r="1276" spans="2:9" s="13" customFormat="1" hidden="1" outlineLevel="1" x14ac:dyDescent="0.3">
      <c r="B1276" s="13" t="s">
        <v>621</v>
      </c>
      <c r="C1276" s="13" t="s">
        <v>383</v>
      </c>
      <c r="E1276" s="13" t="s">
        <v>10</v>
      </c>
      <c r="F1276" s="13" t="s">
        <v>11</v>
      </c>
      <c r="G1276" s="13" t="s">
        <v>12</v>
      </c>
      <c r="H1276" s="13" t="s">
        <v>593</v>
      </c>
      <c r="I1276" s="13" t="s">
        <v>308</v>
      </c>
    </row>
    <row r="1277" spans="2:9" s="13" customFormat="1" hidden="1" outlineLevel="1" x14ac:dyDescent="0.3">
      <c r="B1277" s="13" t="s">
        <v>622</v>
      </c>
      <c r="C1277" s="13" t="s">
        <v>412</v>
      </c>
      <c r="E1277" s="13" t="s">
        <v>10</v>
      </c>
      <c r="F1277" s="13" t="s">
        <v>11</v>
      </c>
      <c r="G1277" s="13" t="s">
        <v>12</v>
      </c>
      <c r="H1277" s="13" t="s">
        <v>593</v>
      </c>
      <c r="I1277" s="13" t="s">
        <v>308</v>
      </c>
    </row>
    <row r="1278" spans="2:9" s="13" customFormat="1" hidden="1" outlineLevel="1" x14ac:dyDescent="0.3">
      <c r="B1278" s="13" t="s">
        <v>623</v>
      </c>
      <c r="C1278" s="13" t="s">
        <v>386</v>
      </c>
      <c r="E1278" s="13" t="s">
        <v>10</v>
      </c>
      <c r="F1278" s="13" t="s">
        <v>11</v>
      </c>
      <c r="G1278" s="13" t="s">
        <v>12</v>
      </c>
      <c r="H1278" s="13" t="s">
        <v>593</v>
      </c>
      <c r="I1278" s="13" t="s">
        <v>308</v>
      </c>
    </row>
    <row r="1279" spans="2:9" s="13" customFormat="1" hidden="1" outlineLevel="1" x14ac:dyDescent="0.3">
      <c r="B1279" s="13" t="s">
        <v>624</v>
      </c>
      <c r="C1279" s="13" t="s">
        <v>390</v>
      </c>
      <c r="E1279" s="13" t="s">
        <v>10</v>
      </c>
      <c r="F1279" s="13" t="s">
        <v>11</v>
      </c>
      <c r="G1279" s="13" t="s">
        <v>12</v>
      </c>
      <c r="H1279" s="13" t="s">
        <v>593</v>
      </c>
      <c r="I1279" s="13" t="s">
        <v>308</v>
      </c>
    </row>
    <row r="1280" spans="2:9" s="13" customFormat="1" hidden="1" outlineLevel="1" x14ac:dyDescent="0.3">
      <c r="B1280" s="13" t="s">
        <v>625</v>
      </c>
      <c r="C1280" s="13" t="s">
        <v>392</v>
      </c>
      <c r="E1280" s="13" t="s">
        <v>10</v>
      </c>
      <c r="F1280" s="13" t="s">
        <v>11</v>
      </c>
      <c r="G1280" s="13" t="s">
        <v>12</v>
      </c>
      <c r="H1280" s="13" t="s">
        <v>593</v>
      </c>
      <c r="I1280" s="13" t="s">
        <v>308</v>
      </c>
    </row>
    <row r="1281" spans="2:9" s="13" customFormat="1" hidden="1" outlineLevel="1" x14ac:dyDescent="0.3">
      <c r="B1281" s="13" t="s">
        <v>626</v>
      </c>
      <c r="C1281" s="13" t="s">
        <v>394</v>
      </c>
      <c r="E1281" s="13" t="s">
        <v>10</v>
      </c>
      <c r="F1281" s="13" t="s">
        <v>11</v>
      </c>
      <c r="G1281" s="13" t="s">
        <v>12</v>
      </c>
      <c r="H1281" s="13" t="s">
        <v>593</v>
      </c>
      <c r="I1281" s="13" t="s">
        <v>308</v>
      </c>
    </row>
    <row r="1282" spans="2:9" s="13" customFormat="1" hidden="1" outlineLevel="1" x14ac:dyDescent="0.3">
      <c r="B1282" s="13" t="s">
        <v>627</v>
      </c>
      <c r="C1282" s="13" t="s">
        <v>396</v>
      </c>
      <c r="E1282" s="13" t="s">
        <v>10</v>
      </c>
      <c r="F1282" s="13" t="s">
        <v>11</v>
      </c>
      <c r="G1282" s="13" t="s">
        <v>12</v>
      </c>
      <c r="H1282" s="13" t="s">
        <v>593</v>
      </c>
      <c r="I1282" s="13" t="s">
        <v>308</v>
      </c>
    </row>
    <row r="1283" spans="2:9" s="13" customFormat="1" hidden="1" outlineLevel="1" x14ac:dyDescent="0.3">
      <c r="B1283" s="13" t="s">
        <v>628</v>
      </c>
      <c r="C1283" s="13" t="s">
        <v>210</v>
      </c>
      <c r="D1283" s="13">
        <v>-6</v>
      </c>
      <c r="E1283" s="13" t="s">
        <v>10</v>
      </c>
      <c r="F1283" s="13" t="s">
        <v>165</v>
      </c>
      <c r="G1283" s="13" t="s">
        <v>12</v>
      </c>
      <c r="H1283" s="13" t="s">
        <v>593</v>
      </c>
      <c r="I1283" s="13" t="s">
        <v>629</v>
      </c>
    </row>
    <row r="1284" spans="2:9" s="13" customFormat="1" hidden="1" outlineLevel="1" x14ac:dyDescent="0.3">
      <c r="B1284" s="13" t="s">
        <v>630</v>
      </c>
      <c r="C1284" s="13" t="s">
        <v>210</v>
      </c>
      <c r="D1284" s="13">
        <v>-6</v>
      </c>
      <c r="E1284" s="13" t="s">
        <v>10</v>
      </c>
      <c r="F1284" s="13" t="s">
        <v>420</v>
      </c>
      <c r="G1284" s="13" t="s">
        <v>12</v>
      </c>
      <c r="H1284" s="13" t="s">
        <v>593</v>
      </c>
      <c r="I1284" s="13" t="s">
        <v>631</v>
      </c>
    </row>
    <row r="1285" spans="2:9" s="13" customFormat="1" hidden="1" outlineLevel="1" x14ac:dyDescent="0.3">
      <c r="B1285" s="13" t="s">
        <v>632</v>
      </c>
      <c r="C1285" s="13" t="s">
        <v>40</v>
      </c>
      <c r="E1285" s="13" t="s">
        <v>10</v>
      </c>
      <c r="F1285" s="13" t="s">
        <v>71</v>
      </c>
      <c r="G1285" s="13" t="s">
        <v>12</v>
      </c>
      <c r="H1285" s="13" t="s">
        <v>593</v>
      </c>
      <c r="I1285" s="13" t="s">
        <v>308</v>
      </c>
    </row>
    <row r="1286" spans="2:9" s="13" customFormat="1" hidden="1" outlineLevel="1" x14ac:dyDescent="0.3">
      <c r="B1286" s="13" t="s">
        <v>633</v>
      </c>
      <c r="C1286" s="13" t="s">
        <v>130</v>
      </c>
      <c r="E1286" s="13" t="s">
        <v>10</v>
      </c>
      <c r="F1286" s="13" t="s">
        <v>71</v>
      </c>
      <c r="G1286" s="13" t="s">
        <v>12</v>
      </c>
      <c r="H1286" s="13" t="s">
        <v>593</v>
      </c>
      <c r="I1286" s="13" t="s">
        <v>308</v>
      </c>
    </row>
    <row r="1287" spans="2:9" s="13" customFormat="1" hidden="1" outlineLevel="1" x14ac:dyDescent="0.3">
      <c r="B1287" s="13" t="s">
        <v>634</v>
      </c>
      <c r="C1287" s="13" t="s">
        <v>136</v>
      </c>
      <c r="D1287" s="13">
        <v>-6</v>
      </c>
      <c r="E1287" s="13" t="s">
        <v>10</v>
      </c>
      <c r="F1287" s="13" t="s">
        <v>71</v>
      </c>
      <c r="G1287" s="13" t="s">
        <v>12</v>
      </c>
      <c r="H1287" s="13" t="s">
        <v>593</v>
      </c>
      <c r="I1287" s="13" t="s">
        <v>635</v>
      </c>
    </row>
    <row r="1288" spans="2:9" s="13" customFormat="1" hidden="1" outlineLevel="1" x14ac:dyDescent="0.3">
      <c r="B1288" s="13" t="s">
        <v>636</v>
      </c>
      <c r="C1288" s="13" t="s">
        <v>139</v>
      </c>
      <c r="D1288" s="13">
        <v>-6</v>
      </c>
      <c r="E1288" s="13" t="s">
        <v>10</v>
      </c>
      <c r="F1288" s="13" t="s">
        <v>71</v>
      </c>
      <c r="G1288" s="13" t="s">
        <v>12</v>
      </c>
      <c r="H1288" s="13" t="s">
        <v>593</v>
      </c>
      <c r="I1288" s="13" t="s">
        <v>162</v>
      </c>
    </row>
    <row r="1289" spans="2:9" s="13" customFormat="1" hidden="1" outlineLevel="1" x14ac:dyDescent="0.3">
      <c r="B1289" s="13" t="s">
        <v>637</v>
      </c>
      <c r="C1289" s="13" t="s">
        <v>110</v>
      </c>
      <c r="D1289" s="13">
        <v>-6</v>
      </c>
      <c r="E1289" s="13" t="s">
        <v>10</v>
      </c>
      <c r="F1289" s="13" t="s">
        <v>71</v>
      </c>
      <c r="G1289" s="13" t="s">
        <v>12</v>
      </c>
      <c r="H1289" s="13" t="s">
        <v>638</v>
      </c>
      <c r="I1289" s="13" t="s">
        <v>142</v>
      </c>
    </row>
    <row r="1290" spans="2:9" s="13" customFormat="1" hidden="1" outlineLevel="1" x14ac:dyDescent="0.3">
      <c r="B1290" s="13" t="s">
        <v>639</v>
      </c>
      <c r="C1290" s="13" t="s">
        <v>375</v>
      </c>
      <c r="D1290" s="13">
        <v>-6</v>
      </c>
      <c r="E1290" s="13" t="s">
        <v>10</v>
      </c>
      <c r="F1290" s="13" t="s">
        <v>71</v>
      </c>
      <c r="G1290" s="13" t="s">
        <v>12</v>
      </c>
      <c r="H1290" s="13" t="s">
        <v>638</v>
      </c>
      <c r="I1290" s="13" t="s">
        <v>640</v>
      </c>
    </row>
    <row r="1291" spans="2:9" s="13" customFormat="1" hidden="1" outlineLevel="1" x14ac:dyDescent="0.3">
      <c r="B1291" s="13" t="s">
        <v>641</v>
      </c>
      <c r="C1291" s="13" t="s">
        <v>116</v>
      </c>
      <c r="D1291" s="13">
        <v>-6</v>
      </c>
      <c r="E1291" s="13" t="s">
        <v>10</v>
      </c>
      <c r="F1291" s="13" t="s">
        <v>71</v>
      </c>
      <c r="G1291" s="13" t="s">
        <v>12</v>
      </c>
      <c r="H1291" s="13" t="s">
        <v>638</v>
      </c>
      <c r="I1291" s="13" t="s">
        <v>642</v>
      </c>
    </row>
    <row r="1292" spans="2:9" s="13" customFormat="1" hidden="1" outlineLevel="1" x14ac:dyDescent="0.3">
      <c r="B1292" s="13" t="s">
        <v>643</v>
      </c>
      <c r="C1292" s="13" t="s">
        <v>119</v>
      </c>
      <c r="D1292" s="13">
        <v>-6</v>
      </c>
      <c r="E1292" s="13" t="s">
        <v>10</v>
      </c>
      <c r="F1292" s="13" t="s">
        <v>71</v>
      </c>
      <c r="G1292" s="13" t="s">
        <v>12</v>
      </c>
      <c r="H1292" s="13" t="s">
        <v>638</v>
      </c>
      <c r="I1292" s="13" t="s">
        <v>642</v>
      </c>
    </row>
    <row r="1293" spans="2:9" s="13" customFormat="1" hidden="1" outlineLevel="1" x14ac:dyDescent="0.3">
      <c r="B1293" s="13" t="s">
        <v>644</v>
      </c>
      <c r="C1293" s="13" t="s">
        <v>380</v>
      </c>
      <c r="E1293" s="13" t="s">
        <v>10</v>
      </c>
      <c r="F1293" s="13" t="s">
        <v>71</v>
      </c>
      <c r="G1293" s="13" t="s">
        <v>12</v>
      </c>
      <c r="H1293" s="13" t="s">
        <v>638</v>
      </c>
      <c r="I1293" s="13" t="s">
        <v>308</v>
      </c>
    </row>
    <row r="1294" spans="2:9" s="13" customFormat="1" hidden="1" outlineLevel="1" x14ac:dyDescent="0.3">
      <c r="B1294" s="13" t="s">
        <v>645</v>
      </c>
      <c r="C1294" s="13" t="s">
        <v>383</v>
      </c>
      <c r="E1294" s="13" t="s">
        <v>10</v>
      </c>
      <c r="F1294" s="13" t="s">
        <v>71</v>
      </c>
      <c r="G1294" s="13" t="s">
        <v>12</v>
      </c>
      <c r="H1294" s="13" t="s">
        <v>638</v>
      </c>
      <c r="I1294" s="13" t="s">
        <v>308</v>
      </c>
    </row>
    <row r="1295" spans="2:9" s="13" customFormat="1" hidden="1" outlineLevel="1" x14ac:dyDescent="0.3">
      <c r="B1295" s="13" t="s">
        <v>646</v>
      </c>
      <c r="C1295" s="13" t="s">
        <v>386</v>
      </c>
      <c r="E1295" s="13" t="s">
        <v>10</v>
      </c>
      <c r="F1295" s="13" t="s">
        <v>71</v>
      </c>
      <c r="G1295" s="13" t="s">
        <v>12</v>
      </c>
      <c r="H1295" s="13" t="s">
        <v>638</v>
      </c>
      <c r="I1295" s="13" t="s">
        <v>308</v>
      </c>
    </row>
    <row r="1296" spans="2:9" s="13" customFormat="1" hidden="1" outlineLevel="1" x14ac:dyDescent="0.3">
      <c r="B1296" s="13" t="s">
        <v>647</v>
      </c>
      <c r="C1296" s="13" t="s">
        <v>388</v>
      </c>
      <c r="E1296" s="13" t="s">
        <v>10</v>
      </c>
      <c r="F1296" s="13" t="s">
        <v>71</v>
      </c>
      <c r="G1296" s="13" t="s">
        <v>12</v>
      </c>
      <c r="H1296" s="13" t="s">
        <v>638</v>
      </c>
      <c r="I1296" s="13" t="s">
        <v>308</v>
      </c>
    </row>
    <row r="1297" spans="2:9" s="13" customFormat="1" hidden="1" outlineLevel="1" x14ac:dyDescent="0.3">
      <c r="B1297" s="13" t="s">
        <v>648</v>
      </c>
      <c r="C1297" s="13" t="s">
        <v>390</v>
      </c>
      <c r="E1297" s="13" t="s">
        <v>10</v>
      </c>
      <c r="F1297" s="13" t="s">
        <v>71</v>
      </c>
      <c r="G1297" s="13" t="s">
        <v>12</v>
      </c>
      <c r="H1297" s="13" t="s">
        <v>638</v>
      </c>
      <c r="I1297" s="13" t="s">
        <v>308</v>
      </c>
    </row>
    <row r="1298" spans="2:9" s="13" customFormat="1" hidden="1" outlineLevel="1" x14ac:dyDescent="0.3">
      <c r="B1298" s="13" t="s">
        <v>649</v>
      </c>
      <c r="C1298" s="13" t="s">
        <v>392</v>
      </c>
      <c r="E1298" s="13" t="s">
        <v>10</v>
      </c>
      <c r="F1298" s="13" t="s">
        <v>71</v>
      </c>
      <c r="G1298" s="13" t="s">
        <v>12</v>
      </c>
      <c r="H1298" s="13" t="s">
        <v>638</v>
      </c>
      <c r="I1298" s="13" t="s">
        <v>308</v>
      </c>
    </row>
    <row r="1299" spans="2:9" s="13" customFormat="1" hidden="1" outlineLevel="1" x14ac:dyDescent="0.3">
      <c r="B1299" s="13" t="s">
        <v>650</v>
      </c>
      <c r="C1299" s="13" t="s">
        <v>394</v>
      </c>
      <c r="E1299" s="13" t="s">
        <v>10</v>
      </c>
      <c r="F1299" s="13" t="s">
        <v>71</v>
      </c>
      <c r="G1299" s="13" t="s">
        <v>12</v>
      </c>
      <c r="H1299" s="13" t="s">
        <v>638</v>
      </c>
      <c r="I1299" s="13" t="s">
        <v>308</v>
      </c>
    </row>
    <row r="1300" spans="2:9" s="13" customFormat="1" hidden="1" outlineLevel="1" x14ac:dyDescent="0.3">
      <c r="B1300" s="13" t="s">
        <v>651</v>
      </c>
      <c r="C1300" s="13" t="s">
        <v>396</v>
      </c>
      <c r="E1300" s="13" t="s">
        <v>10</v>
      </c>
      <c r="F1300" s="13" t="s">
        <v>71</v>
      </c>
      <c r="G1300" s="13" t="s">
        <v>12</v>
      </c>
      <c r="H1300" s="13" t="s">
        <v>638</v>
      </c>
      <c r="I1300" s="13" t="s">
        <v>308</v>
      </c>
    </row>
    <row r="1301" spans="2:9" s="13" customFormat="1" hidden="1" outlineLevel="1" x14ac:dyDescent="0.3">
      <c r="B1301" s="13" t="s">
        <v>652</v>
      </c>
      <c r="C1301" s="13" t="s">
        <v>210</v>
      </c>
      <c r="D1301" s="13">
        <v>-6</v>
      </c>
      <c r="E1301" s="13" t="s">
        <v>10</v>
      </c>
      <c r="F1301" s="13" t="s">
        <v>290</v>
      </c>
      <c r="G1301" s="13" t="s">
        <v>12</v>
      </c>
      <c r="H1301" s="13" t="s">
        <v>638</v>
      </c>
      <c r="I1301" s="13" t="s">
        <v>653</v>
      </c>
    </row>
    <row r="1302" spans="2:9" s="13" customFormat="1" hidden="1" outlineLevel="1" x14ac:dyDescent="0.3">
      <c r="B1302" s="13" t="s">
        <v>654</v>
      </c>
      <c r="C1302" s="13" t="s">
        <v>210</v>
      </c>
      <c r="D1302" s="13">
        <v>-6</v>
      </c>
      <c r="E1302" s="13" t="s">
        <v>10</v>
      </c>
      <c r="F1302" s="13" t="s">
        <v>290</v>
      </c>
      <c r="G1302" s="13" t="s">
        <v>12</v>
      </c>
      <c r="H1302" s="13" t="s">
        <v>638</v>
      </c>
      <c r="I1302" s="13" t="s">
        <v>653</v>
      </c>
    </row>
    <row r="1303" spans="2:9" s="13" customFormat="1" hidden="1" outlineLevel="1" x14ac:dyDescent="0.3">
      <c r="B1303" s="13" t="s">
        <v>655</v>
      </c>
      <c r="C1303" s="13" t="s">
        <v>40</v>
      </c>
      <c r="E1303" s="13" t="s">
        <v>10</v>
      </c>
      <c r="F1303" s="13" t="s">
        <v>11</v>
      </c>
      <c r="G1303" s="13" t="s">
        <v>12</v>
      </c>
      <c r="H1303" s="13" t="s">
        <v>638</v>
      </c>
      <c r="I1303" s="13" t="s">
        <v>308</v>
      </c>
    </row>
    <row r="1304" spans="2:9" s="13" customFormat="1" hidden="1" outlineLevel="1" x14ac:dyDescent="0.3">
      <c r="B1304" s="13" t="s">
        <v>656</v>
      </c>
      <c r="C1304" s="13" t="s">
        <v>130</v>
      </c>
      <c r="E1304" s="13" t="s">
        <v>10</v>
      </c>
      <c r="F1304" s="13" t="s">
        <v>11</v>
      </c>
      <c r="G1304" s="13" t="s">
        <v>12</v>
      </c>
      <c r="H1304" s="13" t="s">
        <v>638</v>
      </c>
      <c r="I1304" s="13" t="s">
        <v>308</v>
      </c>
    </row>
    <row r="1305" spans="2:9" s="13" customFormat="1" hidden="1" outlineLevel="1" x14ac:dyDescent="0.3">
      <c r="B1305" s="13" t="s">
        <v>657</v>
      </c>
      <c r="C1305" s="13" t="s">
        <v>136</v>
      </c>
      <c r="E1305" s="13" t="s">
        <v>10</v>
      </c>
      <c r="F1305" s="13" t="s">
        <v>11</v>
      </c>
      <c r="G1305" s="13" t="s">
        <v>12</v>
      </c>
      <c r="H1305" s="13" t="s">
        <v>638</v>
      </c>
      <c r="I1305" s="13" t="s">
        <v>308</v>
      </c>
    </row>
    <row r="1306" spans="2:9" s="13" customFormat="1" hidden="1" outlineLevel="1" x14ac:dyDescent="0.3">
      <c r="B1306" s="13" t="s">
        <v>658</v>
      </c>
      <c r="C1306" s="13" t="s">
        <v>139</v>
      </c>
      <c r="E1306" s="13" t="s">
        <v>10</v>
      </c>
      <c r="F1306" s="13" t="s">
        <v>11</v>
      </c>
      <c r="G1306" s="13" t="s">
        <v>12</v>
      </c>
      <c r="H1306" s="13" t="s">
        <v>638</v>
      </c>
      <c r="I1306" s="13" t="s">
        <v>308</v>
      </c>
    </row>
    <row r="1307" spans="2:9" s="13" customFormat="1" hidden="1" outlineLevel="1" x14ac:dyDescent="0.3">
      <c r="B1307" s="13" t="s">
        <v>659</v>
      </c>
      <c r="C1307" s="13" t="s">
        <v>110</v>
      </c>
      <c r="D1307" s="13">
        <v>-6</v>
      </c>
      <c r="E1307" s="13" t="s">
        <v>10</v>
      </c>
      <c r="F1307" s="13" t="s">
        <v>11</v>
      </c>
      <c r="G1307" s="13" t="s">
        <v>12</v>
      </c>
      <c r="H1307" s="13" t="s">
        <v>638</v>
      </c>
      <c r="I1307" s="13" t="s">
        <v>111</v>
      </c>
    </row>
    <row r="1308" spans="2:9" s="13" customFormat="1" hidden="1" outlineLevel="1" x14ac:dyDescent="0.3">
      <c r="B1308" s="13" t="s">
        <v>660</v>
      </c>
      <c r="C1308" s="13" t="s">
        <v>375</v>
      </c>
      <c r="D1308" s="13">
        <v>-6</v>
      </c>
      <c r="E1308" s="13" t="s">
        <v>10</v>
      </c>
      <c r="F1308" s="13" t="s">
        <v>11</v>
      </c>
      <c r="G1308" s="13" t="s">
        <v>12</v>
      </c>
      <c r="H1308" s="13" t="s">
        <v>638</v>
      </c>
      <c r="I1308" s="13" t="s">
        <v>661</v>
      </c>
    </row>
    <row r="1309" spans="2:9" s="13" customFormat="1" hidden="1" outlineLevel="1" x14ac:dyDescent="0.3">
      <c r="B1309" s="13" t="s">
        <v>662</v>
      </c>
      <c r="C1309" s="13" t="s">
        <v>116</v>
      </c>
      <c r="D1309" s="13">
        <v>-6</v>
      </c>
      <c r="E1309" s="13" t="s">
        <v>10</v>
      </c>
      <c r="F1309" s="13" t="s">
        <v>11</v>
      </c>
      <c r="G1309" s="13" t="s">
        <v>12</v>
      </c>
      <c r="H1309" s="13" t="s">
        <v>638</v>
      </c>
      <c r="I1309" s="13" t="s">
        <v>663</v>
      </c>
    </row>
    <row r="1310" spans="2:9" s="13" customFormat="1" hidden="1" outlineLevel="1" x14ac:dyDescent="0.3">
      <c r="B1310" s="13" t="s">
        <v>664</v>
      </c>
      <c r="C1310" s="13" t="s">
        <v>119</v>
      </c>
      <c r="D1310" s="13">
        <v>-6</v>
      </c>
      <c r="E1310" s="13" t="s">
        <v>10</v>
      </c>
      <c r="F1310" s="13" t="s">
        <v>11</v>
      </c>
      <c r="G1310" s="13" t="s">
        <v>12</v>
      </c>
      <c r="H1310" s="13" t="s">
        <v>638</v>
      </c>
      <c r="I1310" s="13" t="s">
        <v>663</v>
      </c>
    </row>
    <row r="1311" spans="2:9" s="13" customFormat="1" hidden="1" outlineLevel="1" x14ac:dyDescent="0.3">
      <c r="B1311" s="13" t="s">
        <v>665</v>
      </c>
      <c r="C1311" s="13" t="s">
        <v>383</v>
      </c>
      <c r="E1311" s="13" t="s">
        <v>10</v>
      </c>
      <c r="F1311" s="13" t="s">
        <v>11</v>
      </c>
      <c r="G1311" s="13" t="s">
        <v>12</v>
      </c>
      <c r="H1311" s="13" t="s">
        <v>638</v>
      </c>
      <c r="I1311" s="13" t="s">
        <v>308</v>
      </c>
    </row>
    <row r="1312" spans="2:9" s="13" customFormat="1" hidden="1" outlineLevel="1" x14ac:dyDescent="0.3">
      <c r="B1312" s="13" t="s">
        <v>666</v>
      </c>
      <c r="C1312" s="13" t="s">
        <v>412</v>
      </c>
      <c r="E1312" s="13" t="s">
        <v>10</v>
      </c>
      <c r="F1312" s="13" t="s">
        <v>11</v>
      </c>
      <c r="G1312" s="13" t="s">
        <v>12</v>
      </c>
      <c r="H1312" s="13" t="s">
        <v>638</v>
      </c>
      <c r="I1312" s="13" t="s">
        <v>308</v>
      </c>
    </row>
    <row r="1313" spans="2:9" s="13" customFormat="1" hidden="1" outlineLevel="1" x14ac:dyDescent="0.3">
      <c r="B1313" s="13" t="s">
        <v>667</v>
      </c>
      <c r="C1313" s="13" t="s">
        <v>386</v>
      </c>
      <c r="E1313" s="13" t="s">
        <v>10</v>
      </c>
      <c r="F1313" s="13" t="s">
        <v>11</v>
      </c>
      <c r="G1313" s="13" t="s">
        <v>12</v>
      </c>
      <c r="H1313" s="13" t="s">
        <v>638</v>
      </c>
      <c r="I1313" s="13" t="s">
        <v>308</v>
      </c>
    </row>
    <row r="1314" spans="2:9" s="13" customFormat="1" hidden="1" outlineLevel="1" x14ac:dyDescent="0.3">
      <c r="B1314" s="13" t="s">
        <v>668</v>
      </c>
      <c r="C1314" s="13" t="s">
        <v>390</v>
      </c>
      <c r="E1314" s="13" t="s">
        <v>10</v>
      </c>
      <c r="F1314" s="13" t="s">
        <v>11</v>
      </c>
      <c r="G1314" s="13" t="s">
        <v>12</v>
      </c>
      <c r="H1314" s="13" t="s">
        <v>638</v>
      </c>
      <c r="I1314" s="13" t="s">
        <v>308</v>
      </c>
    </row>
    <row r="1315" spans="2:9" s="13" customFormat="1" hidden="1" outlineLevel="1" x14ac:dyDescent="0.3">
      <c r="B1315" s="13" t="s">
        <v>669</v>
      </c>
      <c r="C1315" s="13" t="s">
        <v>392</v>
      </c>
      <c r="E1315" s="13" t="s">
        <v>10</v>
      </c>
      <c r="F1315" s="13" t="s">
        <v>11</v>
      </c>
      <c r="G1315" s="13" t="s">
        <v>12</v>
      </c>
      <c r="H1315" s="13" t="s">
        <v>638</v>
      </c>
      <c r="I1315" s="13" t="s">
        <v>308</v>
      </c>
    </row>
    <row r="1316" spans="2:9" s="13" customFormat="1" hidden="1" outlineLevel="1" x14ac:dyDescent="0.3">
      <c r="B1316" s="13" t="s">
        <v>670</v>
      </c>
      <c r="C1316" s="13" t="s">
        <v>394</v>
      </c>
      <c r="E1316" s="13" t="s">
        <v>10</v>
      </c>
      <c r="F1316" s="13" t="s">
        <v>11</v>
      </c>
      <c r="G1316" s="13" t="s">
        <v>12</v>
      </c>
      <c r="H1316" s="13" t="s">
        <v>638</v>
      </c>
      <c r="I1316" s="13" t="s">
        <v>308</v>
      </c>
    </row>
    <row r="1317" spans="2:9" s="13" customFormat="1" hidden="1" outlineLevel="1" x14ac:dyDescent="0.3">
      <c r="B1317" s="13" t="s">
        <v>671</v>
      </c>
      <c r="C1317" s="13" t="s">
        <v>396</v>
      </c>
      <c r="E1317" s="13" t="s">
        <v>10</v>
      </c>
      <c r="F1317" s="13" t="s">
        <v>11</v>
      </c>
      <c r="G1317" s="13" t="s">
        <v>12</v>
      </c>
      <c r="H1317" s="13" t="s">
        <v>638</v>
      </c>
      <c r="I1317" s="13" t="s">
        <v>308</v>
      </c>
    </row>
    <row r="1318" spans="2:9" s="13" customFormat="1" hidden="1" outlineLevel="1" x14ac:dyDescent="0.3">
      <c r="B1318" s="13" t="s">
        <v>672</v>
      </c>
      <c r="C1318" s="13" t="s">
        <v>210</v>
      </c>
      <c r="D1318" s="13">
        <v>-6</v>
      </c>
      <c r="E1318" s="13" t="s">
        <v>10</v>
      </c>
      <c r="F1318" s="13" t="s">
        <v>165</v>
      </c>
      <c r="G1318" s="13" t="s">
        <v>12</v>
      </c>
      <c r="H1318" s="13" t="s">
        <v>638</v>
      </c>
      <c r="I1318" s="13" t="s">
        <v>673</v>
      </c>
    </row>
    <row r="1319" spans="2:9" s="13" customFormat="1" hidden="1" outlineLevel="1" x14ac:dyDescent="0.3">
      <c r="B1319" s="13" t="s">
        <v>674</v>
      </c>
      <c r="C1319" s="13" t="s">
        <v>210</v>
      </c>
      <c r="D1319" s="13">
        <v>-6</v>
      </c>
      <c r="E1319" s="13" t="s">
        <v>10</v>
      </c>
      <c r="F1319" s="13" t="s">
        <v>420</v>
      </c>
      <c r="G1319" s="13" t="s">
        <v>12</v>
      </c>
      <c r="H1319" s="13" t="s">
        <v>638</v>
      </c>
      <c r="I1319" s="13" t="s">
        <v>675</v>
      </c>
    </row>
    <row r="1320" spans="2:9" s="13" customFormat="1" hidden="1" outlineLevel="1" x14ac:dyDescent="0.3">
      <c r="B1320" s="13" t="s">
        <v>676</v>
      </c>
      <c r="C1320" s="13" t="s">
        <v>40</v>
      </c>
      <c r="E1320" s="13" t="s">
        <v>10</v>
      </c>
      <c r="F1320" s="13" t="s">
        <v>71</v>
      </c>
      <c r="G1320" s="13" t="s">
        <v>12</v>
      </c>
      <c r="H1320" s="13" t="s">
        <v>638</v>
      </c>
      <c r="I1320" s="13" t="s">
        <v>308</v>
      </c>
    </row>
    <row r="1321" spans="2:9" s="13" customFormat="1" hidden="1" outlineLevel="1" x14ac:dyDescent="0.3">
      <c r="B1321" s="13" t="s">
        <v>677</v>
      </c>
      <c r="C1321" s="13" t="s">
        <v>130</v>
      </c>
      <c r="E1321" s="13" t="s">
        <v>10</v>
      </c>
      <c r="F1321" s="13" t="s">
        <v>71</v>
      </c>
      <c r="G1321" s="13" t="s">
        <v>12</v>
      </c>
      <c r="H1321" s="13" t="s">
        <v>638</v>
      </c>
      <c r="I1321" s="13" t="s">
        <v>308</v>
      </c>
    </row>
    <row r="1322" spans="2:9" s="13" customFormat="1" hidden="1" outlineLevel="1" x14ac:dyDescent="0.3">
      <c r="B1322" s="13" t="s">
        <v>678</v>
      </c>
      <c r="C1322" s="13" t="s">
        <v>136</v>
      </c>
      <c r="E1322" s="13" t="s">
        <v>10</v>
      </c>
      <c r="F1322" s="13" t="s">
        <v>71</v>
      </c>
      <c r="G1322" s="13" t="s">
        <v>12</v>
      </c>
      <c r="H1322" s="13" t="s">
        <v>638</v>
      </c>
      <c r="I1322" s="13" t="s">
        <v>308</v>
      </c>
    </row>
    <row r="1323" spans="2:9" s="13" customFormat="1" hidden="1" outlineLevel="1" x14ac:dyDescent="0.3">
      <c r="B1323" s="13" t="s">
        <v>679</v>
      </c>
      <c r="C1323" s="13" t="s">
        <v>139</v>
      </c>
      <c r="E1323" s="13" t="s">
        <v>10</v>
      </c>
      <c r="F1323" s="13" t="s">
        <v>71</v>
      </c>
      <c r="G1323" s="13" t="s">
        <v>12</v>
      </c>
      <c r="H1323" s="13" t="s">
        <v>638</v>
      </c>
      <c r="I1323" s="13" t="s">
        <v>308</v>
      </c>
    </row>
    <row r="1324" spans="2:9" s="13" customFormat="1" hidden="1" outlineLevel="1" x14ac:dyDescent="0.3">
      <c r="B1324" s="13" t="s">
        <v>680</v>
      </c>
      <c r="C1324" s="13" t="s">
        <v>110</v>
      </c>
      <c r="E1324" s="13" t="s">
        <v>10</v>
      </c>
      <c r="F1324" s="13" t="s">
        <v>71</v>
      </c>
      <c r="G1324" s="13" t="s">
        <v>12</v>
      </c>
      <c r="H1324" s="13" t="s">
        <v>681</v>
      </c>
      <c r="I1324" s="13" t="s">
        <v>308</v>
      </c>
    </row>
    <row r="1325" spans="2:9" s="13" customFormat="1" hidden="1" outlineLevel="1" x14ac:dyDescent="0.3">
      <c r="B1325" s="13" t="s">
        <v>682</v>
      </c>
      <c r="C1325" s="13" t="s">
        <v>375</v>
      </c>
      <c r="D1325" s="13">
        <v>-6</v>
      </c>
      <c r="E1325" s="13" t="s">
        <v>10</v>
      </c>
      <c r="F1325" s="13" t="s">
        <v>71</v>
      </c>
      <c r="G1325" s="13" t="s">
        <v>12</v>
      </c>
      <c r="H1325" s="13" t="s">
        <v>681</v>
      </c>
      <c r="I1325" s="13" t="s">
        <v>158</v>
      </c>
    </row>
    <row r="1326" spans="2:9" s="13" customFormat="1" hidden="1" outlineLevel="1" x14ac:dyDescent="0.3">
      <c r="B1326" s="13" t="s">
        <v>683</v>
      </c>
      <c r="C1326" s="13" t="s">
        <v>116</v>
      </c>
      <c r="D1326" s="13">
        <v>-6</v>
      </c>
      <c r="E1326" s="13" t="s">
        <v>10</v>
      </c>
      <c r="F1326" s="13" t="s">
        <v>71</v>
      </c>
      <c r="G1326" s="13" t="s">
        <v>12</v>
      </c>
      <c r="H1326" s="13" t="s">
        <v>681</v>
      </c>
      <c r="I1326" s="13" t="s">
        <v>684</v>
      </c>
    </row>
    <row r="1327" spans="2:9" s="13" customFormat="1" hidden="1" outlineLevel="1" x14ac:dyDescent="0.3">
      <c r="B1327" s="13" t="s">
        <v>685</v>
      </c>
      <c r="C1327" s="13" t="s">
        <v>119</v>
      </c>
      <c r="D1327" s="13">
        <v>-6</v>
      </c>
      <c r="E1327" s="13" t="s">
        <v>10</v>
      </c>
      <c r="F1327" s="13" t="s">
        <v>71</v>
      </c>
      <c r="G1327" s="13" t="s">
        <v>12</v>
      </c>
      <c r="H1327" s="13" t="s">
        <v>681</v>
      </c>
      <c r="I1327" s="13" t="s">
        <v>686</v>
      </c>
    </row>
    <row r="1328" spans="2:9" s="13" customFormat="1" hidden="1" outlineLevel="1" x14ac:dyDescent="0.3">
      <c r="B1328" s="13" t="s">
        <v>687</v>
      </c>
      <c r="C1328" s="13" t="s">
        <v>380</v>
      </c>
      <c r="E1328" s="13" t="s">
        <v>10</v>
      </c>
      <c r="F1328" s="13" t="s">
        <v>71</v>
      </c>
      <c r="G1328" s="13" t="s">
        <v>12</v>
      </c>
      <c r="H1328" s="13" t="s">
        <v>681</v>
      </c>
      <c r="I1328" s="13" t="s">
        <v>308</v>
      </c>
    </row>
    <row r="1329" spans="2:9" s="13" customFormat="1" hidden="1" outlineLevel="1" x14ac:dyDescent="0.3">
      <c r="B1329" s="13" t="s">
        <v>688</v>
      </c>
      <c r="C1329" s="13" t="s">
        <v>383</v>
      </c>
      <c r="D1329" s="13">
        <v>-6</v>
      </c>
      <c r="E1329" s="13" t="s">
        <v>10</v>
      </c>
      <c r="F1329" s="13" t="s">
        <v>71</v>
      </c>
      <c r="G1329" s="13" t="s">
        <v>12</v>
      </c>
      <c r="H1329" s="13" t="s">
        <v>681</v>
      </c>
      <c r="I1329" s="13" t="s">
        <v>193</v>
      </c>
    </row>
    <row r="1330" spans="2:9" s="13" customFormat="1" hidden="1" outlineLevel="1" x14ac:dyDescent="0.3">
      <c r="B1330" s="13" t="s">
        <v>689</v>
      </c>
      <c r="C1330" s="13" t="s">
        <v>386</v>
      </c>
      <c r="D1330" s="13">
        <v>-6</v>
      </c>
      <c r="E1330" s="13" t="s">
        <v>10</v>
      </c>
      <c r="F1330" s="13" t="s">
        <v>71</v>
      </c>
      <c r="G1330" s="13" t="s">
        <v>12</v>
      </c>
      <c r="H1330" s="13" t="s">
        <v>681</v>
      </c>
      <c r="I1330" s="13" t="s">
        <v>690</v>
      </c>
    </row>
    <row r="1331" spans="2:9" s="13" customFormat="1" hidden="1" outlineLevel="1" x14ac:dyDescent="0.3">
      <c r="B1331" s="13" t="s">
        <v>691</v>
      </c>
      <c r="C1331" s="13" t="s">
        <v>388</v>
      </c>
      <c r="D1331" s="13">
        <v>-6</v>
      </c>
      <c r="E1331" s="13" t="s">
        <v>10</v>
      </c>
      <c r="F1331" s="13" t="s">
        <v>71</v>
      </c>
      <c r="G1331" s="13" t="s">
        <v>12</v>
      </c>
      <c r="H1331" s="13" t="s">
        <v>681</v>
      </c>
      <c r="I1331" s="13" t="s">
        <v>692</v>
      </c>
    </row>
    <row r="1332" spans="2:9" s="13" customFormat="1" hidden="1" outlineLevel="1" x14ac:dyDescent="0.3">
      <c r="B1332" s="13" t="s">
        <v>693</v>
      </c>
      <c r="C1332" s="13" t="s">
        <v>390</v>
      </c>
      <c r="D1332" s="13">
        <v>-6</v>
      </c>
      <c r="E1332" s="13" t="s">
        <v>10</v>
      </c>
      <c r="F1332" s="13" t="s">
        <v>71</v>
      </c>
      <c r="G1332" s="13" t="s">
        <v>12</v>
      </c>
      <c r="H1332" s="13" t="s">
        <v>681</v>
      </c>
      <c r="I1332" s="13" t="s">
        <v>438</v>
      </c>
    </row>
    <row r="1333" spans="2:9" s="13" customFormat="1" hidden="1" outlineLevel="1" x14ac:dyDescent="0.3">
      <c r="B1333" s="13" t="s">
        <v>694</v>
      </c>
      <c r="C1333" s="13" t="s">
        <v>392</v>
      </c>
      <c r="D1333" s="13">
        <v>-6</v>
      </c>
      <c r="E1333" s="13" t="s">
        <v>10</v>
      </c>
      <c r="F1333" s="13" t="s">
        <v>71</v>
      </c>
      <c r="G1333" s="13" t="s">
        <v>12</v>
      </c>
      <c r="H1333" s="13" t="s">
        <v>681</v>
      </c>
      <c r="I1333" s="13" t="s">
        <v>440</v>
      </c>
    </row>
    <row r="1334" spans="2:9" s="13" customFormat="1" hidden="1" outlineLevel="1" x14ac:dyDescent="0.3">
      <c r="B1334" s="13" t="s">
        <v>695</v>
      </c>
      <c r="C1334" s="13" t="s">
        <v>394</v>
      </c>
      <c r="D1334" s="13">
        <v>-6</v>
      </c>
      <c r="E1334" s="13" t="s">
        <v>10</v>
      </c>
      <c r="F1334" s="13" t="s">
        <v>71</v>
      </c>
      <c r="G1334" s="13" t="s">
        <v>12</v>
      </c>
      <c r="H1334" s="13" t="s">
        <v>681</v>
      </c>
      <c r="I1334" s="13" t="s">
        <v>442</v>
      </c>
    </row>
    <row r="1335" spans="2:9" s="13" customFormat="1" hidden="1" outlineLevel="1" x14ac:dyDescent="0.3">
      <c r="B1335" s="13" t="s">
        <v>696</v>
      </c>
      <c r="C1335" s="13" t="s">
        <v>396</v>
      </c>
      <c r="D1335" s="13">
        <v>-6</v>
      </c>
      <c r="E1335" s="13" t="s">
        <v>10</v>
      </c>
      <c r="F1335" s="13" t="s">
        <v>71</v>
      </c>
      <c r="G1335" s="13" t="s">
        <v>12</v>
      </c>
      <c r="H1335" s="13" t="s">
        <v>681</v>
      </c>
      <c r="I1335" s="13" t="s">
        <v>697</v>
      </c>
    </row>
    <row r="1336" spans="2:9" s="13" customFormat="1" hidden="1" outlineLevel="1" x14ac:dyDescent="0.3">
      <c r="B1336" s="13" t="s">
        <v>698</v>
      </c>
      <c r="C1336" s="13" t="s">
        <v>210</v>
      </c>
      <c r="D1336" s="13">
        <v>-6</v>
      </c>
      <c r="E1336" s="13" t="s">
        <v>10</v>
      </c>
      <c r="F1336" s="13" t="s">
        <v>290</v>
      </c>
      <c r="G1336" s="13" t="s">
        <v>12</v>
      </c>
      <c r="H1336" s="13" t="s">
        <v>681</v>
      </c>
      <c r="I1336" s="13" t="s">
        <v>699</v>
      </c>
    </row>
    <row r="1337" spans="2:9" s="13" customFormat="1" hidden="1" outlineLevel="1" x14ac:dyDescent="0.3">
      <c r="B1337" s="13" t="s">
        <v>700</v>
      </c>
      <c r="C1337" s="13" t="s">
        <v>210</v>
      </c>
      <c r="D1337" s="13">
        <v>-6</v>
      </c>
      <c r="E1337" s="13" t="s">
        <v>10</v>
      </c>
      <c r="F1337" s="13" t="s">
        <v>290</v>
      </c>
      <c r="G1337" s="13" t="s">
        <v>12</v>
      </c>
      <c r="H1337" s="13" t="s">
        <v>681</v>
      </c>
      <c r="I1337" s="13" t="s">
        <v>699</v>
      </c>
    </row>
    <row r="1338" spans="2:9" s="13" customFormat="1" hidden="1" outlineLevel="1" x14ac:dyDescent="0.3">
      <c r="B1338" s="13" t="s">
        <v>701</v>
      </c>
      <c r="C1338" s="13" t="s">
        <v>40</v>
      </c>
      <c r="D1338" s="13">
        <v>-6</v>
      </c>
      <c r="E1338" s="13" t="s">
        <v>10</v>
      </c>
      <c r="F1338" s="13" t="s">
        <v>11</v>
      </c>
      <c r="G1338" s="13" t="s">
        <v>12</v>
      </c>
      <c r="H1338" s="13" t="s">
        <v>681</v>
      </c>
      <c r="I1338" s="13" t="s">
        <v>44</v>
      </c>
    </row>
    <row r="1339" spans="2:9" s="13" customFormat="1" hidden="1" outlineLevel="1" x14ac:dyDescent="0.3">
      <c r="B1339" s="13" t="s">
        <v>702</v>
      </c>
      <c r="C1339" s="13" t="s">
        <v>130</v>
      </c>
      <c r="D1339" s="13">
        <v>-6</v>
      </c>
      <c r="E1339" s="13" t="s">
        <v>10</v>
      </c>
      <c r="F1339" s="13" t="s">
        <v>11</v>
      </c>
      <c r="G1339" s="13" t="s">
        <v>12</v>
      </c>
      <c r="H1339" s="13" t="s">
        <v>681</v>
      </c>
      <c r="I1339" s="13" t="s">
        <v>131</v>
      </c>
    </row>
    <row r="1340" spans="2:9" s="13" customFormat="1" hidden="1" outlineLevel="1" x14ac:dyDescent="0.3">
      <c r="B1340" s="13" t="s">
        <v>703</v>
      </c>
      <c r="C1340" s="13" t="s">
        <v>136</v>
      </c>
      <c r="E1340" s="13" t="s">
        <v>10</v>
      </c>
      <c r="F1340" s="13" t="s">
        <v>11</v>
      </c>
      <c r="G1340" s="13" t="s">
        <v>12</v>
      </c>
      <c r="H1340" s="13" t="s">
        <v>681</v>
      </c>
      <c r="I1340" s="13" t="s">
        <v>308</v>
      </c>
    </row>
    <row r="1341" spans="2:9" s="13" customFormat="1" hidden="1" outlineLevel="1" x14ac:dyDescent="0.3">
      <c r="B1341" s="13" t="s">
        <v>704</v>
      </c>
      <c r="C1341" s="13" t="s">
        <v>139</v>
      </c>
      <c r="E1341" s="13" t="s">
        <v>10</v>
      </c>
      <c r="F1341" s="13" t="s">
        <v>11</v>
      </c>
      <c r="G1341" s="13" t="s">
        <v>12</v>
      </c>
      <c r="H1341" s="13" t="s">
        <v>681</v>
      </c>
      <c r="I1341" s="13" t="s">
        <v>308</v>
      </c>
    </row>
    <row r="1342" spans="2:9" s="13" customFormat="1" hidden="1" outlineLevel="1" x14ac:dyDescent="0.3">
      <c r="B1342" s="13" t="s">
        <v>705</v>
      </c>
      <c r="C1342" s="13" t="s">
        <v>110</v>
      </c>
      <c r="E1342" s="13" t="s">
        <v>10</v>
      </c>
      <c r="F1342" s="13" t="s">
        <v>11</v>
      </c>
      <c r="G1342" s="13" t="s">
        <v>12</v>
      </c>
      <c r="H1342" s="13" t="s">
        <v>681</v>
      </c>
      <c r="I1342" s="13" t="s">
        <v>308</v>
      </c>
    </row>
    <row r="1343" spans="2:9" s="13" customFormat="1" hidden="1" outlineLevel="1" x14ac:dyDescent="0.3">
      <c r="B1343" s="13" t="s">
        <v>706</v>
      </c>
      <c r="C1343" s="13" t="s">
        <v>375</v>
      </c>
      <c r="D1343" s="13">
        <v>-6</v>
      </c>
      <c r="E1343" s="13" t="s">
        <v>10</v>
      </c>
      <c r="F1343" s="13" t="s">
        <v>11</v>
      </c>
      <c r="G1343" s="13" t="s">
        <v>12</v>
      </c>
      <c r="H1343" s="13" t="s">
        <v>681</v>
      </c>
      <c r="I1343" s="13" t="s">
        <v>134</v>
      </c>
    </row>
    <row r="1344" spans="2:9" s="13" customFormat="1" hidden="1" outlineLevel="1" x14ac:dyDescent="0.3">
      <c r="B1344" s="13" t="s">
        <v>707</v>
      </c>
      <c r="C1344" s="13" t="s">
        <v>116</v>
      </c>
      <c r="D1344" s="13">
        <v>-6</v>
      </c>
      <c r="E1344" s="13" t="s">
        <v>10</v>
      </c>
      <c r="F1344" s="13" t="s">
        <v>11</v>
      </c>
      <c r="G1344" s="13" t="s">
        <v>12</v>
      </c>
      <c r="H1344" s="13" t="s">
        <v>681</v>
      </c>
      <c r="I1344" s="13" t="s">
        <v>708</v>
      </c>
    </row>
    <row r="1345" spans="2:9" s="13" customFormat="1" hidden="1" outlineLevel="1" x14ac:dyDescent="0.3">
      <c r="B1345" s="13" t="s">
        <v>709</v>
      </c>
      <c r="C1345" s="13" t="s">
        <v>119</v>
      </c>
      <c r="D1345" s="13">
        <v>-6</v>
      </c>
      <c r="E1345" s="13" t="s">
        <v>10</v>
      </c>
      <c r="F1345" s="13" t="s">
        <v>11</v>
      </c>
      <c r="G1345" s="13" t="s">
        <v>12</v>
      </c>
      <c r="H1345" s="13" t="s">
        <v>681</v>
      </c>
      <c r="I1345" s="13" t="s">
        <v>710</v>
      </c>
    </row>
    <row r="1346" spans="2:9" s="13" customFormat="1" hidden="1" outlineLevel="1" x14ac:dyDescent="0.3">
      <c r="B1346" s="13" t="s">
        <v>711</v>
      </c>
      <c r="C1346" s="13" t="s">
        <v>383</v>
      </c>
      <c r="D1346" s="13">
        <v>-6</v>
      </c>
      <c r="E1346" s="13" t="s">
        <v>10</v>
      </c>
      <c r="F1346" s="13" t="s">
        <v>11</v>
      </c>
      <c r="G1346" s="13" t="s">
        <v>12</v>
      </c>
      <c r="H1346" s="13" t="s">
        <v>681</v>
      </c>
      <c r="I1346" s="13" t="s">
        <v>712</v>
      </c>
    </row>
    <row r="1347" spans="2:9" s="13" customFormat="1" hidden="1" outlineLevel="1" x14ac:dyDescent="0.3">
      <c r="B1347" s="13" t="s">
        <v>713</v>
      </c>
      <c r="C1347" s="13" t="s">
        <v>412</v>
      </c>
      <c r="D1347" s="13">
        <v>-6</v>
      </c>
      <c r="E1347" s="13" t="s">
        <v>10</v>
      </c>
      <c r="F1347" s="13" t="s">
        <v>11</v>
      </c>
      <c r="G1347" s="13" t="s">
        <v>12</v>
      </c>
      <c r="H1347" s="13" t="s">
        <v>681</v>
      </c>
      <c r="I1347" s="13" t="s">
        <v>459</v>
      </c>
    </row>
    <row r="1348" spans="2:9" s="13" customFormat="1" hidden="1" outlineLevel="1" x14ac:dyDescent="0.3">
      <c r="B1348" s="13" t="s">
        <v>714</v>
      </c>
      <c r="C1348" s="13" t="s">
        <v>386</v>
      </c>
      <c r="D1348" s="13">
        <v>-6</v>
      </c>
      <c r="E1348" s="13" t="s">
        <v>10</v>
      </c>
      <c r="F1348" s="13" t="s">
        <v>11</v>
      </c>
      <c r="G1348" s="13" t="s">
        <v>12</v>
      </c>
      <c r="H1348" s="13" t="s">
        <v>681</v>
      </c>
      <c r="I1348" s="13" t="s">
        <v>461</v>
      </c>
    </row>
    <row r="1349" spans="2:9" s="13" customFormat="1" hidden="1" outlineLevel="1" x14ac:dyDescent="0.3">
      <c r="B1349" s="13" t="s">
        <v>715</v>
      </c>
      <c r="C1349" s="13" t="s">
        <v>390</v>
      </c>
      <c r="D1349" s="13">
        <v>-6</v>
      </c>
      <c r="E1349" s="13" t="s">
        <v>10</v>
      </c>
      <c r="F1349" s="13" t="s">
        <v>11</v>
      </c>
      <c r="G1349" s="13" t="s">
        <v>12</v>
      </c>
      <c r="H1349" s="13" t="s">
        <v>681</v>
      </c>
      <c r="I1349" s="13" t="s">
        <v>463</v>
      </c>
    </row>
    <row r="1350" spans="2:9" s="13" customFormat="1" hidden="1" outlineLevel="1" x14ac:dyDescent="0.3">
      <c r="B1350" s="13" t="s">
        <v>716</v>
      </c>
      <c r="C1350" s="13" t="s">
        <v>392</v>
      </c>
      <c r="D1350" s="13">
        <v>-6</v>
      </c>
      <c r="E1350" s="13" t="s">
        <v>10</v>
      </c>
      <c r="F1350" s="13" t="s">
        <v>11</v>
      </c>
      <c r="G1350" s="13" t="s">
        <v>12</v>
      </c>
      <c r="H1350" s="13" t="s">
        <v>681</v>
      </c>
      <c r="I1350" s="13" t="s">
        <v>465</v>
      </c>
    </row>
    <row r="1351" spans="2:9" s="13" customFormat="1" hidden="1" outlineLevel="1" x14ac:dyDescent="0.3">
      <c r="B1351" s="13" t="s">
        <v>717</v>
      </c>
      <c r="C1351" s="13" t="s">
        <v>394</v>
      </c>
      <c r="D1351" s="13">
        <v>-6</v>
      </c>
      <c r="E1351" s="13" t="s">
        <v>10</v>
      </c>
      <c r="F1351" s="13" t="s">
        <v>11</v>
      </c>
      <c r="G1351" s="13" t="s">
        <v>12</v>
      </c>
      <c r="H1351" s="13" t="s">
        <v>681</v>
      </c>
      <c r="I1351" s="13" t="s">
        <v>467</v>
      </c>
    </row>
    <row r="1352" spans="2:9" s="13" customFormat="1" hidden="1" outlineLevel="1" x14ac:dyDescent="0.3">
      <c r="B1352" s="13" t="s">
        <v>718</v>
      </c>
      <c r="C1352" s="13" t="s">
        <v>396</v>
      </c>
      <c r="D1352" s="13">
        <v>-6</v>
      </c>
      <c r="E1352" s="13" t="s">
        <v>10</v>
      </c>
      <c r="F1352" s="13" t="s">
        <v>11</v>
      </c>
      <c r="G1352" s="13" t="s">
        <v>12</v>
      </c>
      <c r="H1352" s="13" t="s">
        <v>681</v>
      </c>
      <c r="I1352" s="13" t="s">
        <v>719</v>
      </c>
    </row>
    <row r="1353" spans="2:9" s="13" customFormat="1" hidden="1" outlineLevel="1" x14ac:dyDescent="0.3">
      <c r="B1353" s="13" t="s">
        <v>720</v>
      </c>
      <c r="C1353" s="13" t="s">
        <v>210</v>
      </c>
      <c r="D1353" s="13">
        <v>-6</v>
      </c>
      <c r="E1353" s="13" t="s">
        <v>10</v>
      </c>
      <c r="F1353" s="13" t="s">
        <v>165</v>
      </c>
      <c r="G1353" s="13" t="s">
        <v>12</v>
      </c>
      <c r="H1353" s="13" t="s">
        <v>681</v>
      </c>
      <c r="I1353" s="13" t="s">
        <v>721</v>
      </c>
    </row>
    <row r="1354" spans="2:9" s="13" customFormat="1" hidden="1" outlineLevel="1" x14ac:dyDescent="0.3">
      <c r="B1354" s="13" t="s">
        <v>722</v>
      </c>
      <c r="C1354" s="13" t="s">
        <v>210</v>
      </c>
      <c r="D1354" s="13">
        <v>-6</v>
      </c>
      <c r="E1354" s="13" t="s">
        <v>10</v>
      </c>
      <c r="F1354" s="13" t="s">
        <v>420</v>
      </c>
      <c r="G1354" s="13" t="s">
        <v>12</v>
      </c>
      <c r="H1354" s="13" t="s">
        <v>681</v>
      </c>
      <c r="I1354" s="13" t="s">
        <v>723</v>
      </c>
    </row>
    <row r="1355" spans="2:9" s="13" customFormat="1" hidden="1" outlineLevel="1" x14ac:dyDescent="0.3">
      <c r="B1355" s="13" t="s">
        <v>724</v>
      </c>
      <c r="C1355" s="13" t="s">
        <v>40</v>
      </c>
      <c r="D1355" s="13">
        <v>-6</v>
      </c>
      <c r="E1355" s="13" t="s">
        <v>10</v>
      </c>
      <c r="F1355" s="13" t="s">
        <v>71</v>
      </c>
      <c r="G1355" s="13" t="s">
        <v>12</v>
      </c>
      <c r="H1355" s="13" t="s">
        <v>681</v>
      </c>
      <c r="I1355" s="13" t="s">
        <v>92</v>
      </c>
    </row>
    <row r="1356" spans="2:9" s="13" customFormat="1" hidden="1" outlineLevel="1" x14ac:dyDescent="0.3">
      <c r="B1356" s="13" t="s">
        <v>725</v>
      </c>
      <c r="C1356" s="13" t="s">
        <v>130</v>
      </c>
      <c r="D1356" s="13">
        <v>-6</v>
      </c>
      <c r="E1356" s="13" t="s">
        <v>10</v>
      </c>
      <c r="F1356" s="13" t="s">
        <v>71</v>
      </c>
      <c r="G1356" s="13" t="s">
        <v>12</v>
      </c>
      <c r="H1356" s="13" t="s">
        <v>681</v>
      </c>
      <c r="I1356" s="13" t="s">
        <v>156</v>
      </c>
    </row>
    <row r="1357" spans="2:9" s="13" customFormat="1" hidden="1" outlineLevel="1" x14ac:dyDescent="0.3">
      <c r="B1357" s="13" t="s">
        <v>726</v>
      </c>
      <c r="C1357" s="13" t="s">
        <v>136</v>
      </c>
      <c r="E1357" s="13" t="s">
        <v>10</v>
      </c>
      <c r="F1357" s="13" t="s">
        <v>71</v>
      </c>
      <c r="G1357" s="13" t="s">
        <v>12</v>
      </c>
      <c r="H1357" s="13" t="s">
        <v>681</v>
      </c>
      <c r="I1357" s="13" t="s">
        <v>308</v>
      </c>
    </row>
    <row r="1358" spans="2:9" s="13" customFormat="1" hidden="1" outlineLevel="1" x14ac:dyDescent="0.3">
      <c r="B1358" s="13" t="s">
        <v>727</v>
      </c>
      <c r="C1358" s="13" t="s">
        <v>139</v>
      </c>
      <c r="E1358" s="13" t="s">
        <v>10</v>
      </c>
      <c r="F1358" s="13" t="s">
        <v>71</v>
      </c>
      <c r="G1358" s="13" t="s">
        <v>12</v>
      </c>
      <c r="H1358" s="13" t="s">
        <v>681</v>
      </c>
      <c r="I1358" s="13" t="s">
        <v>308</v>
      </c>
    </row>
    <row r="1359" spans="2:9" s="13" customFormat="1" hidden="1" outlineLevel="1" x14ac:dyDescent="0.3">
      <c r="B1359" s="13" t="s">
        <v>728</v>
      </c>
      <c r="C1359" s="13" t="s">
        <v>110</v>
      </c>
      <c r="D1359" s="13">
        <v>-6</v>
      </c>
      <c r="E1359" s="13" t="s">
        <v>10</v>
      </c>
      <c r="F1359" s="13" t="s">
        <v>71</v>
      </c>
      <c r="G1359" s="13" t="s">
        <v>12</v>
      </c>
      <c r="H1359" s="13" t="s">
        <v>729</v>
      </c>
      <c r="I1359" s="13" t="s">
        <v>142</v>
      </c>
    </row>
    <row r="1360" spans="2:9" s="13" customFormat="1" hidden="1" outlineLevel="1" x14ac:dyDescent="0.3">
      <c r="B1360" s="13" t="s">
        <v>730</v>
      </c>
      <c r="C1360" s="13" t="s">
        <v>375</v>
      </c>
      <c r="D1360" s="13">
        <v>-6</v>
      </c>
      <c r="E1360" s="13" t="s">
        <v>10</v>
      </c>
      <c r="F1360" s="13" t="s">
        <v>71</v>
      </c>
      <c r="G1360" s="13" t="s">
        <v>12</v>
      </c>
      <c r="H1360" s="13" t="s">
        <v>729</v>
      </c>
      <c r="I1360" s="13" t="s">
        <v>428</v>
      </c>
    </row>
    <row r="1361" spans="2:9" s="13" customFormat="1" hidden="1" outlineLevel="1" x14ac:dyDescent="0.3">
      <c r="B1361" s="13" t="s">
        <v>731</v>
      </c>
      <c r="C1361" s="13" t="s">
        <v>116</v>
      </c>
      <c r="D1361" s="13">
        <v>-6</v>
      </c>
      <c r="E1361" s="13" t="s">
        <v>10</v>
      </c>
      <c r="F1361" s="13" t="s">
        <v>71</v>
      </c>
      <c r="G1361" s="13" t="s">
        <v>12</v>
      </c>
      <c r="H1361" s="13" t="s">
        <v>729</v>
      </c>
      <c r="I1361" s="13" t="s">
        <v>732</v>
      </c>
    </row>
    <row r="1362" spans="2:9" s="13" customFormat="1" hidden="1" outlineLevel="1" x14ac:dyDescent="0.3">
      <c r="B1362" s="13" t="s">
        <v>733</v>
      </c>
      <c r="C1362" s="13" t="s">
        <v>119</v>
      </c>
      <c r="D1362" s="13">
        <v>-6</v>
      </c>
      <c r="E1362" s="13" t="s">
        <v>10</v>
      </c>
      <c r="F1362" s="13" t="s">
        <v>71</v>
      </c>
      <c r="G1362" s="13" t="s">
        <v>12</v>
      </c>
      <c r="H1362" s="13" t="s">
        <v>729</v>
      </c>
      <c r="I1362" s="13" t="s">
        <v>150</v>
      </c>
    </row>
    <row r="1363" spans="2:9" s="13" customFormat="1" hidden="1" outlineLevel="1" x14ac:dyDescent="0.3">
      <c r="B1363" s="13" t="s">
        <v>734</v>
      </c>
      <c r="C1363" s="13" t="s">
        <v>380</v>
      </c>
      <c r="E1363" s="13" t="s">
        <v>10</v>
      </c>
      <c r="F1363" s="13" t="s">
        <v>71</v>
      </c>
      <c r="G1363" s="13" t="s">
        <v>12</v>
      </c>
      <c r="H1363" s="13" t="s">
        <v>729</v>
      </c>
      <c r="I1363" s="13" t="s">
        <v>308</v>
      </c>
    </row>
    <row r="1364" spans="2:9" s="13" customFormat="1" hidden="1" outlineLevel="1" x14ac:dyDescent="0.3">
      <c r="B1364" s="13" t="s">
        <v>735</v>
      </c>
      <c r="C1364" s="13" t="s">
        <v>383</v>
      </c>
      <c r="D1364" s="13">
        <v>-6</v>
      </c>
      <c r="E1364" s="13" t="s">
        <v>10</v>
      </c>
      <c r="F1364" s="13" t="s">
        <v>71</v>
      </c>
      <c r="G1364" s="13" t="s">
        <v>12</v>
      </c>
      <c r="H1364" s="13" t="s">
        <v>729</v>
      </c>
      <c r="I1364" s="13" t="s">
        <v>193</v>
      </c>
    </row>
    <row r="1365" spans="2:9" s="13" customFormat="1" hidden="1" outlineLevel="1" x14ac:dyDescent="0.3">
      <c r="B1365" s="13" t="s">
        <v>736</v>
      </c>
      <c r="C1365" s="13" t="s">
        <v>386</v>
      </c>
      <c r="D1365" s="13">
        <v>-6</v>
      </c>
      <c r="E1365" s="13" t="s">
        <v>10</v>
      </c>
      <c r="F1365" s="13" t="s">
        <v>71</v>
      </c>
      <c r="G1365" s="13" t="s">
        <v>12</v>
      </c>
      <c r="H1365" s="13" t="s">
        <v>729</v>
      </c>
      <c r="I1365" s="13" t="s">
        <v>435</v>
      </c>
    </row>
    <row r="1366" spans="2:9" s="13" customFormat="1" hidden="1" outlineLevel="1" x14ac:dyDescent="0.3">
      <c r="B1366" s="13" t="s">
        <v>737</v>
      </c>
      <c r="C1366" s="13" t="s">
        <v>388</v>
      </c>
      <c r="E1366" s="13" t="s">
        <v>10</v>
      </c>
      <c r="F1366" s="13" t="s">
        <v>71</v>
      </c>
      <c r="G1366" s="13" t="s">
        <v>12</v>
      </c>
      <c r="H1366" s="13" t="s">
        <v>729</v>
      </c>
      <c r="I1366" s="13" t="s">
        <v>308</v>
      </c>
    </row>
    <row r="1367" spans="2:9" s="13" customFormat="1" hidden="1" outlineLevel="1" x14ac:dyDescent="0.3">
      <c r="B1367" s="13" t="s">
        <v>738</v>
      </c>
      <c r="C1367" s="13" t="s">
        <v>390</v>
      </c>
      <c r="D1367" s="13">
        <v>-6</v>
      </c>
      <c r="E1367" s="13" t="s">
        <v>10</v>
      </c>
      <c r="F1367" s="13" t="s">
        <v>71</v>
      </c>
      <c r="G1367" s="13" t="s">
        <v>12</v>
      </c>
      <c r="H1367" s="13" t="s">
        <v>729</v>
      </c>
      <c r="I1367" s="13" t="s">
        <v>438</v>
      </c>
    </row>
    <row r="1368" spans="2:9" s="13" customFormat="1" hidden="1" outlineLevel="1" x14ac:dyDescent="0.3">
      <c r="B1368" s="13" t="s">
        <v>739</v>
      </c>
      <c r="C1368" s="13" t="s">
        <v>392</v>
      </c>
      <c r="D1368" s="13">
        <v>-6</v>
      </c>
      <c r="E1368" s="13" t="s">
        <v>10</v>
      </c>
      <c r="F1368" s="13" t="s">
        <v>71</v>
      </c>
      <c r="G1368" s="13" t="s">
        <v>12</v>
      </c>
      <c r="H1368" s="13" t="s">
        <v>729</v>
      </c>
      <c r="I1368" s="13" t="s">
        <v>440</v>
      </c>
    </row>
    <row r="1369" spans="2:9" s="13" customFormat="1" hidden="1" outlineLevel="1" x14ac:dyDescent="0.3">
      <c r="B1369" s="13" t="s">
        <v>740</v>
      </c>
      <c r="C1369" s="13" t="s">
        <v>394</v>
      </c>
      <c r="D1369" s="13">
        <v>-6</v>
      </c>
      <c r="E1369" s="13" t="s">
        <v>10</v>
      </c>
      <c r="F1369" s="13" t="s">
        <v>71</v>
      </c>
      <c r="G1369" s="13" t="s">
        <v>12</v>
      </c>
      <c r="H1369" s="13" t="s">
        <v>729</v>
      </c>
      <c r="I1369" s="13" t="s">
        <v>442</v>
      </c>
    </row>
    <row r="1370" spans="2:9" s="13" customFormat="1" hidden="1" outlineLevel="1" x14ac:dyDescent="0.3">
      <c r="B1370" s="13" t="s">
        <v>741</v>
      </c>
      <c r="C1370" s="13" t="s">
        <v>396</v>
      </c>
      <c r="D1370" s="13">
        <v>-6</v>
      </c>
      <c r="E1370" s="13" t="s">
        <v>10</v>
      </c>
      <c r="F1370" s="13" t="s">
        <v>71</v>
      </c>
      <c r="G1370" s="13" t="s">
        <v>12</v>
      </c>
      <c r="H1370" s="13" t="s">
        <v>729</v>
      </c>
      <c r="I1370" s="13" t="s">
        <v>697</v>
      </c>
    </row>
    <row r="1371" spans="2:9" s="13" customFormat="1" hidden="1" outlineLevel="1" x14ac:dyDescent="0.3">
      <c r="B1371" s="13" t="s">
        <v>742</v>
      </c>
      <c r="C1371" s="13" t="s">
        <v>210</v>
      </c>
      <c r="D1371" s="13">
        <v>-6</v>
      </c>
      <c r="E1371" s="13" t="s">
        <v>10</v>
      </c>
      <c r="F1371" s="13" t="s">
        <v>290</v>
      </c>
      <c r="G1371" s="13" t="s">
        <v>12</v>
      </c>
      <c r="H1371" s="13" t="s">
        <v>729</v>
      </c>
      <c r="I1371" s="13" t="s">
        <v>316</v>
      </c>
    </row>
    <row r="1372" spans="2:9" s="13" customFormat="1" hidden="1" outlineLevel="1" x14ac:dyDescent="0.3">
      <c r="B1372" s="13" t="s">
        <v>743</v>
      </c>
      <c r="C1372" s="13" t="s">
        <v>210</v>
      </c>
      <c r="D1372" s="13">
        <v>-6</v>
      </c>
      <c r="E1372" s="13" t="s">
        <v>10</v>
      </c>
      <c r="F1372" s="13" t="s">
        <v>290</v>
      </c>
      <c r="G1372" s="13" t="s">
        <v>12</v>
      </c>
      <c r="H1372" s="13" t="s">
        <v>729</v>
      </c>
      <c r="I1372" s="13" t="s">
        <v>316</v>
      </c>
    </row>
    <row r="1373" spans="2:9" s="13" customFormat="1" hidden="1" outlineLevel="1" x14ac:dyDescent="0.3">
      <c r="B1373" s="13" t="s">
        <v>744</v>
      </c>
      <c r="C1373" s="13" t="s">
        <v>40</v>
      </c>
      <c r="D1373" s="13">
        <v>-6</v>
      </c>
      <c r="E1373" s="13" t="s">
        <v>10</v>
      </c>
      <c r="F1373" s="13" t="s">
        <v>11</v>
      </c>
      <c r="G1373" s="13" t="s">
        <v>12</v>
      </c>
      <c r="H1373" s="13" t="s">
        <v>729</v>
      </c>
      <c r="I1373" s="13" t="s">
        <v>44</v>
      </c>
    </row>
    <row r="1374" spans="2:9" s="13" customFormat="1" hidden="1" outlineLevel="1" x14ac:dyDescent="0.3">
      <c r="B1374" s="13" t="s">
        <v>745</v>
      </c>
      <c r="C1374" s="13" t="s">
        <v>130</v>
      </c>
      <c r="D1374" s="13">
        <v>-6</v>
      </c>
      <c r="E1374" s="13" t="s">
        <v>10</v>
      </c>
      <c r="F1374" s="13" t="s">
        <v>11</v>
      </c>
      <c r="G1374" s="13" t="s">
        <v>12</v>
      </c>
      <c r="H1374" s="13" t="s">
        <v>729</v>
      </c>
      <c r="I1374" s="13" t="s">
        <v>131</v>
      </c>
    </row>
    <row r="1375" spans="2:9" s="13" customFormat="1" hidden="1" outlineLevel="1" x14ac:dyDescent="0.3">
      <c r="B1375" s="13" t="s">
        <v>746</v>
      </c>
      <c r="C1375" s="13" t="s">
        <v>136</v>
      </c>
      <c r="D1375" s="13">
        <v>-6</v>
      </c>
      <c r="E1375" s="13" t="s">
        <v>10</v>
      </c>
      <c r="F1375" s="13" t="s">
        <v>11</v>
      </c>
      <c r="G1375" s="13" t="s">
        <v>12</v>
      </c>
      <c r="H1375" s="13" t="s">
        <v>729</v>
      </c>
      <c r="I1375" s="13" t="s">
        <v>613</v>
      </c>
    </row>
    <row r="1376" spans="2:9" s="13" customFormat="1" hidden="1" outlineLevel="1" x14ac:dyDescent="0.3">
      <c r="B1376" s="13" t="s">
        <v>747</v>
      </c>
      <c r="C1376" s="13" t="s">
        <v>139</v>
      </c>
      <c r="D1376" s="13">
        <v>-6</v>
      </c>
      <c r="E1376" s="13" t="s">
        <v>10</v>
      </c>
      <c r="F1376" s="13" t="s">
        <v>11</v>
      </c>
      <c r="G1376" s="13" t="s">
        <v>12</v>
      </c>
      <c r="H1376" s="13" t="s">
        <v>729</v>
      </c>
      <c r="I1376" s="13" t="s">
        <v>140</v>
      </c>
    </row>
    <row r="1377" spans="2:9" s="13" customFormat="1" hidden="1" outlineLevel="1" x14ac:dyDescent="0.3">
      <c r="B1377" s="13" t="s">
        <v>748</v>
      </c>
      <c r="C1377" s="13" t="s">
        <v>110</v>
      </c>
      <c r="D1377" s="13">
        <v>-6</v>
      </c>
      <c r="E1377" s="13" t="s">
        <v>10</v>
      </c>
      <c r="F1377" s="13" t="s">
        <v>11</v>
      </c>
      <c r="G1377" s="13" t="s">
        <v>12</v>
      </c>
      <c r="H1377" s="13" t="s">
        <v>729</v>
      </c>
      <c r="I1377" s="13" t="s">
        <v>111</v>
      </c>
    </row>
    <row r="1378" spans="2:9" s="13" customFormat="1" hidden="1" outlineLevel="1" x14ac:dyDescent="0.3">
      <c r="B1378" s="13" t="s">
        <v>749</v>
      </c>
      <c r="C1378" s="13" t="s">
        <v>375</v>
      </c>
      <c r="D1378" s="13">
        <v>-6</v>
      </c>
      <c r="E1378" s="13" t="s">
        <v>10</v>
      </c>
      <c r="F1378" s="13" t="s">
        <v>11</v>
      </c>
      <c r="G1378" s="13" t="s">
        <v>12</v>
      </c>
      <c r="H1378" s="13" t="s">
        <v>729</v>
      </c>
      <c r="I1378" s="13" t="s">
        <v>453</v>
      </c>
    </row>
    <row r="1379" spans="2:9" s="13" customFormat="1" hidden="1" outlineLevel="1" x14ac:dyDescent="0.3">
      <c r="B1379" s="13" t="s">
        <v>750</v>
      </c>
      <c r="C1379" s="13" t="s">
        <v>116</v>
      </c>
      <c r="D1379" s="13">
        <v>-6</v>
      </c>
      <c r="E1379" s="13" t="s">
        <v>10</v>
      </c>
      <c r="F1379" s="13" t="s">
        <v>11</v>
      </c>
      <c r="G1379" s="13" t="s">
        <v>12</v>
      </c>
      <c r="H1379" s="13" t="s">
        <v>729</v>
      </c>
      <c r="I1379" s="13" t="s">
        <v>751</v>
      </c>
    </row>
    <row r="1380" spans="2:9" s="13" customFormat="1" hidden="1" outlineLevel="1" x14ac:dyDescent="0.3">
      <c r="B1380" s="13" t="s">
        <v>752</v>
      </c>
      <c r="C1380" s="13" t="s">
        <v>119</v>
      </c>
      <c r="D1380" s="13">
        <v>-6</v>
      </c>
      <c r="E1380" s="13" t="s">
        <v>10</v>
      </c>
      <c r="F1380" s="13" t="s">
        <v>11</v>
      </c>
      <c r="G1380" s="13" t="s">
        <v>12</v>
      </c>
      <c r="H1380" s="13" t="s">
        <v>729</v>
      </c>
      <c r="I1380" s="13" t="s">
        <v>123</v>
      </c>
    </row>
    <row r="1381" spans="2:9" s="13" customFormat="1" hidden="1" outlineLevel="1" x14ac:dyDescent="0.3">
      <c r="B1381" s="13" t="s">
        <v>753</v>
      </c>
      <c r="C1381" s="13" t="s">
        <v>383</v>
      </c>
      <c r="D1381" s="13">
        <v>-6</v>
      </c>
      <c r="E1381" s="13" t="s">
        <v>10</v>
      </c>
      <c r="F1381" s="13" t="s">
        <v>11</v>
      </c>
      <c r="G1381" s="13" t="s">
        <v>12</v>
      </c>
      <c r="H1381" s="13" t="s">
        <v>729</v>
      </c>
      <c r="I1381" s="13" t="s">
        <v>712</v>
      </c>
    </row>
    <row r="1382" spans="2:9" s="13" customFormat="1" hidden="1" outlineLevel="1" x14ac:dyDescent="0.3">
      <c r="B1382" s="13" t="s">
        <v>754</v>
      </c>
      <c r="C1382" s="13" t="s">
        <v>412</v>
      </c>
      <c r="D1382" s="13">
        <v>-6</v>
      </c>
      <c r="E1382" s="13" t="s">
        <v>10</v>
      </c>
      <c r="F1382" s="13" t="s">
        <v>11</v>
      </c>
      <c r="G1382" s="13" t="s">
        <v>12</v>
      </c>
      <c r="H1382" s="13" t="s">
        <v>729</v>
      </c>
      <c r="I1382" s="13" t="s">
        <v>459</v>
      </c>
    </row>
    <row r="1383" spans="2:9" s="13" customFormat="1" hidden="1" outlineLevel="1" x14ac:dyDescent="0.3">
      <c r="B1383" s="13" t="s">
        <v>755</v>
      </c>
      <c r="C1383" s="13" t="s">
        <v>386</v>
      </c>
      <c r="D1383" s="13">
        <v>-6</v>
      </c>
      <c r="E1383" s="13" t="s">
        <v>10</v>
      </c>
      <c r="F1383" s="13" t="s">
        <v>11</v>
      </c>
      <c r="G1383" s="13" t="s">
        <v>12</v>
      </c>
      <c r="H1383" s="13" t="s">
        <v>729</v>
      </c>
      <c r="I1383" s="13" t="s">
        <v>461</v>
      </c>
    </row>
    <row r="1384" spans="2:9" s="13" customFormat="1" hidden="1" outlineLevel="1" x14ac:dyDescent="0.3">
      <c r="B1384" s="13" t="s">
        <v>756</v>
      </c>
      <c r="C1384" s="13" t="s">
        <v>390</v>
      </c>
      <c r="D1384" s="13">
        <v>-6</v>
      </c>
      <c r="E1384" s="13" t="s">
        <v>10</v>
      </c>
      <c r="F1384" s="13" t="s">
        <v>11</v>
      </c>
      <c r="G1384" s="13" t="s">
        <v>12</v>
      </c>
      <c r="H1384" s="13" t="s">
        <v>729</v>
      </c>
      <c r="I1384" s="13" t="s">
        <v>463</v>
      </c>
    </row>
    <row r="1385" spans="2:9" s="13" customFormat="1" hidden="1" outlineLevel="1" x14ac:dyDescent="0.3">
      <c r="B1385" s="13" t="s">
        <v>757</v>
      </c>
      <c r="C1385" s="13" t="s">
        <v>392</v>
      </c>
      <c r="D1385" s="13">
        <v>-6</v>
      </c>
      <c r="E1385" s="13" t="s">
        <v>10</v>
      </c>
      <c r="F1385" s="13" t="s">
        <v>11</v>
      </c>
      <c r="G1385" s="13" t="s">
        <v>12</v>
      </c>
      <c r="H1385" s="13" t="s">
        <v>729</v>
      </c>
      <c r="I1385" s="13" t="s">
        <v>465</v>
      </c>
    </row>
    <row r="1386" spans="2:9" s="13" customFormat="1" hidden="1" outlineLevel="1" x14ac:dyDescent="0.3">
      <c r="B1386" s="13" t="s">
        <v>758</v>
      </c>
      <c r="C1386" s="13" t="s">
        <v>394</v>
      </c>
      <c r="D1386" s="13">
        <v>-6</v>
      </c>
      <c r="E1386" s="13" t="s">
        <v>10</v>
      </c>
      <c r="F1386" s="13" t="s">
        <v>11</v>
      </c>
      <c r="G1386" s="13" t="s">
        <v>12</v>
      </c>
      <c r="H1386" s="13" t="s">
        <v>729</v>
      </c>
      <c r="I1386" s="13" t="s">
        <v>467</v>
      </c>
    </row>
    <row r="1387" spans="2:9" s="13" customFormat="1" hidden="1" outlineLevel="1" x14ac:dyDescent="0.3">
      <c r="B1387" s="13" t="s">
        <v>759</v>
      </c>
      <c r="C1387" s="13" t="s">
        <v>396</v>
      </c>
      <c r="D1387" s="13">
        <v>-6</v>
      </c>
      <c r="E1387" s="13" t="s">
        <v>10</v>
      </c>
      <c r="F1387" s="13" t="s">
        <v>11</v>
      </c>
      <c r="G1387" s="13" t="s">
        <v>12</v>
      </c>
      <c r="H1387" s="13" t="s">
        <v>729</v>
      </c>
      <c r="I1387" s="13" t="s">
        <v>719</v>
      </c>
    </row>
    <row r="1388" spans="2:9" s="13" customFormat="1" hidden="1" outlineLevel="1" x14ac:dyDescent="0.3">
      <c r="B1388" s="13" t="s">
        <v>760</v>
      </c>
      <c r="C1388" s="13" t="s">
        <v>210</v>
      </c>
      <c r="D1388" s="13">
        <v>-6</v>
      </c>
      <c r="E1388" s="13" t="s">
        <v>10</v>
      </c>
      <c r="F1388" s="13" t="s">
        <v>165</v>
      </c>
      <c r="G1388" s="13" t="s">
        <v>12</v>
      </c>
      <c r="H1388" s="13" t="s">
        <v>729</v>
      </c>
      <c r="I1388" s="13" t="s">
        <v>205</v>
      </c>
    </row>
    <row r="1389" spans="2:9" s="13" customFormat="1" hidden="1" outlineLevel="1" x14ac:dyDescent="0.3">
      <c r="B1389" s="13" t="s">
        <v>761</v>
      </c>
      <c r="C1389" s="13" t="s">
        <v>210</v>
      </c>
      <c r="D1389" s="13">
        <v>-6</v>
      </c>
      <c r="E1389" s="13" t="s">
        <v>10</v>
      </c>
      <c r="F1389" s="13" t="s">
        <v>420</v>
      </c>
      <c r="G1389" s="13" t="s">
        <v>12</v>
      </c>
      <c r="H1389" s="13" t="s">
        <v>729</v>
      </c>
      <c r="I1389" s="13" t="s">
        <v>762</v>
      </c>
    </row>
    <row r="1390" spans="2:9" s="13" customFormat="1" hidden="1" outlineLevel="1" x14ac:dyDescent="0.3">
      <c r="B1390" s="13" t="s">
        <v>763</v>
      </c>
      <c r="C1390" s="13" t="s">
        <v>40</v>
      </c>
      <c r="D1390" s="13">
        <v>-6</v>
      </c>
      <c r="E1390" s="13" t="s">
        <v>10</v>
      </c>
      <c r="F1390" s="13" t="s">
        <v>71</v>
      </c>
      <c r="G1390" s="13" t="s">
        <v>12</v>
      </c>
      <c r="H1390" s="13" t="s">
        <v>729</v>
      </c>
      <c r="I1390" s="13" t="s">
        <v>92</v>
      </c>
    </row>
    <row r="1391" spans="2:9" s="13" customFormat="1" hidden="1" outlineLevel="1" x14ac:dyDescent="0.3">
      <c r="B1391" s="13" t="s">
        <v>764</v>
      </c>
      <c r="C1391" s="13" t="s">
        <v>130</v>
      </c>
      <c r="D1391" s="13">
        <v>-6</v>
      </c>
      <c r="E1391" s="13" t="s">
        <v>10</v>
      </c>
      <c r="F1391" s="13" t="s">
        <v>71</v>
      </c>
      <c r="G1391" s="13" t="s">
        <v>12</v>
      </c>
      <c r="H1391" s="13" t="s">
        <v>729</v>
      </c>
      <c r="I1391" s="13" t="s">
        <v>156</v>
      </c>
    </row>
    <row r="1392" spans="2:9" s="13" customFormat="1" hidden="1" outlineLevel="1" x14ac:dyDescent="0.3">
      <c r="B1392" s="13" t="s">
        <v>765</v>
      </c>
      <c r="C1392" s="13" t="s">
        <v>136</v>
      </c>
      <c r="D1392" s="13">
        <v>-6</v>
      </c>
      <c r="E1392" s="13" t="s">
        <v>10</v>
      </c>
      <c r="F1392" s="13" t="s">
        <v>71</v>
      </c>
      <c r="G1392" s="13" t="s">
        <v>12</v>
      </c>
      <c r="H1392" s="13" t="s">
        <v>729</v>
      </c>
      <c r="I1392" s="13" t="s">
        <v>635</v>
      </c>
    </row>
    <row r="1393" spans="2:9" s="13" customFormat="1" hidden="1" outlineLevel="1" x14ac:dyDescent="0.3">
      <c r="B1393" s="13" t="s">
        <v>766</v>
      </c>
      <c r="C1393" s="13" t="s">
        <v>139</v>
      </c>
      <c r="D1393" s="13">
        <v>-6</v>
      </c>
      <c r="E1393" s="13" t="s">
        <v>10</v>
      </c>
      <c r="F1393" s="13" t="s">
        <v>71</v>
      </c>
      <c r="G1393" s="13" t="s">
        <v>12</v>
      </c>
      <c r="H1393" s="13" t="s">
        <v>729</v>
      </c>
      <c r="I1393" s="13" t="s">
        <v>162</v>
      </c>
    </row>
    <row r="1394" spans="2:9" s="13" customFormat="1" hidden="1" outlineLevel="1" x14ac:dyDescent="0.3">
      <c r="B1394" s="13" t="s">
        <v>767</v>
      </c>
      <c r="C1394" s="13" t="s">
        <v>768</v>
      </c>
      <c r="D1394" s="13">
        <v>-6</v>
      </c>
      <c r="E1394" s="13" t="s">
        <v>10</v>
      </c>
      <c r="F1394" s="13" t="s">
        <v>11</v>
      </c>
      <c r="G1394" s="13" t="s">
        <v>12</v>
      </c>
      <c r="H1394" s="13" t="s">
        <v>13</v>
      </c>
      <c r="I1394" s="13" t="s">
        <v>769</v>
      </c>
    </row>
    <row r="1395" spans="2:9" s="13" customFormat="1" hidden="1" outlineLevel="1" x14ac:dyDescent="0.3">
      <c r="B1395" s="13" t="s">
        <v>770</v>
      </c>
      <c r="C1395" s="13" t="s">
        <v>771</v>
      </c>
      <c r="D1395" s="13">
        <v>-6</v>
      </c>
      <c r="E1395" s="13" t="s">
        <v>10</v>
      </c>
      <c r="F1395" s="13" t="s">
        <v>11</v>
      </c>
      <c r="G1395" s="13" t="s">
        <v>12</v>
      </c>
      <c r="H1395" s="13" t="s">
        <v>13</v>
      </c>
      <c r="I1395" s="13" t="s">
        <v>772</v>
      </c>
    </row>
    <row r="1396" spans="2:9" s="13" customFormat="1" hidden="1" outlineLevel="1" x14ac:dyDescent="0.3">
      <c r="B1396" s="13" t="s">
        <v>773</v>
      </c>
      <c r="C1396" s="13" t="s">
        <v>774</v>
      </c>
      <c r="D1396" s="13">
        <v>-6</v>
      </c>
      <c r="E1396" s="13" t="s">
        <v>10</v>
      </c>
      <c r="F1396" s="13" t="s">
        <v>11</v>
      </c>
      <c r="G1396" s="13" t="s">
        <v>12</v>
      </c>
      <c r="H1396" s="13" t="s">
        <v>13</v>
      </c>
      <c r="I1396" s="13" t="s">
        <v>775</v>
      </c>
    </row>
    <row r="1397" spans="2:9" s="13" customFormat="1" hidden="1" outlineLevel="1" x14ac:dyDescent="0.3">
      <c r="B1397" s="13" t="s">
        <v>776</v>
      </c>
      <c r="C1397" s="13" t="s">
        <v>777</v>
      </c>
      <c r="D1397" s="13">
        <v>-6</v>
      </c>
      <c r="E1397" s="13" t="s">
        <v>10</v>
      </c>
      <c r="F1397" s="13" t="s">
        <v>11</v>
      </c>
      <c r="G1397" s="13" t="s">
        <v>12</v>
      </c>
      <c r="H1397" s="13" t="s">
        <v>13</v>
      </c>
      <c r="I1397" s="13" t="s">
        <v>778</v>
      </c>
    </row>
    <row r="1398" spans="2:9" s="13" customFormat="1" hidden="1" outlineLevel="1" x14ac:dyDescent="0.3">
      <c r="B1398" s="13" t="s">
        <v>779</v>
      </c>
      <c r="C1398" s="13" t="s">
        <v>780</v>
      </c>
      <c r="D1398" s="13">
        <v>-6</v>
      </c>
      <c r="E1398" s="13" t="s">
        <v>10</v>
      </c>
      <c r="F1398" s="13" t="s">
        <v>11</v>
      </c>
      <c r="G1398" s="13" t="s">
        <v>12</v>
      </c>
      <c r="H1398" s="13" t="s">
        <v>13</v>
      </c>
      <c r="I1398" s="13" t="s">
        <v>781</v>
      </c>
    </row>
    <row r="1399" spans="2:9" s="13" customFormat="1" hidden="1" outlineLevel="1" x14ac:dyDescent="0.3">
      <c r="B1399" s="13" t="s">
        <v>782</v>
      </c>
      <c r="C1399" s="13" t="s">
        <v>783</v>
      </c>
      <c r="D1399" s="13">
        <v>-6</v>
      </c>
      <c r="E1399" s="13" t="s">
        <v>10</v>
      </c>
      <c r="F1399" s="13" t="s">
        <v>11</v>
      </c>
      <c r="G1399" s="13" t="s">
        <v>12</v>
      </c>
      <c r="H1399" s="13" t="s">
        <v>13</v>
      </c>
      <c r="I1399" s="13" t="s">
        <v>784</v>
      </c>
    </row>
    <row r="1400" spans="2:9" s="13" customFormat="1" hidden="1" outlineLevel="1" x14ac:dyDescent="0.3">
      <c r="B1400" s="13" t="s">
        <v>785</v>
      </c>
      <c r="C1400" s="13" t="s">
        <v>786</v>
      </c>
      <c r="D1400" s="13">
        <v>-6</v>
      </c>
      <c r="E1400" s="13" t="s">
        <v>10</v>
      </c>
      <c r="F1400" s="13" t="s">
        <v>11</v>
      </c>
      <c r="G1400" s="13" t="s">
        <v>12</v>
      </c>
      <c r="H1400" s="13" t="s">
        <v>13</v>
      </c>
      <c r="I1400" s="13" t="s">
        <v>787</v>
      </c>
    </row>
    <row r="1401" spans="2:9" s="13" customFormat="1" hidden="1" outlineLevel="1" x14ac:dyDescent="0.3">
      <c r="B1401" s="13" t="s">
        <v>788</v>
      </c>
      <c r="C1401" s="13" t="s">
        <v>789</v>
      </c>
      <c r="D1401" s="13">
        <v>-6</v>
      </c>
      <c r="E1401" s="13" t="s">
        <v>10</v>
      </c>
      <c r="F1401" s="13" t="s">
        <v>11</v>
      </c>
      <c r="G1401" s="13" t="s">
        <v>12</v>
      </c>
      <c r="H1401" s="13" t="s">
        <v>13</v>
      </c>
      <c r="I1401" s="13" t="s">
        <v>790</v>
      </c>
    </row>
    <row r="1402" spans="2:9" s="13" customFormat="1" hidden="1" outlineLevel="1" x14ac:dyDescent="0.3">
      <c r="B1402" s="13" t="s">
        <v>791</v>
      </c>
      <c r="C1402" s="13" t="s">
        <v>792</v>
      </c>
      <c r="D1402" s="13">
        <v>-6</v>
      </c>
      <c r="E1402" s="13" t="s">
        <v>10</v>
      </c>
      <c r="F1402" s="13" t="s">
        <v>11</v>
      </c>
      <c r="G1402" s="13" t="s">
        <v>12</v>
      </c>
      <c r="H1402" s="13" t="s">
        <v>13</v>
      </c>
      <c r="I1402" s="13" t="s">
        <v>793</v>
      </c>
    </row>
    <row r="1403" spans="2:9" s="13" customFormat="1" hidden="1" outlineLevel="1" x14ac:dyDescent="0.3">
      <c r="B1403" s="13" t="s">
        <v>794</v>
      </c>
      <c r="C1403" s="13" t="s">
        <v>795</v>
      </c>
      <c r="D1403" s="13">
        <v>-6</v>
      </c>
      <c r="E1403" s="13" t="s">
        <v>10</v>
      </c>
      <c r="F1403" s="13" t="s">
        <v>11</v>
      </c>
      <c r="G1403" s="13" t="s">
        <v>12</v>
      </c>
      <c r="H1403" s="13" t="s">
        <v>13</v>
      </c>
      <c r="I1403" s="13" t="s">
        <v>796</v>
      </c>
    </row>
    <row r="1404" spans="2:9" s="13" customFormat="1" hidden="1" outlineLevel="1" x14ac:dyDescent="0.3">
      <c r="B1404" s="13" t="s">
        <v>797</v>
      </c>
      <c r="C1404" s="13" t="s">
        <v>798</v>
      </c>
      <c r="D1404" s="13">
        <v>-6</v>
      </c>
      <c r="E1404" s="13" t="s">
        <v>10</v>
      </c>
      <c r="F1404" s="13" t="s">
        <v>11</v>
      </c>
      <c r="G1404" s="13" t="s">
        <v>12</v>
      </c>
      <c r="H1404" s="13" t="s">
        <v>13</v>
      </c>
      <c r="I1404" s="13" t="s">
        <v>799</v>
      </c>
    </row>
    <row r="1405" spans="2:9" s="13" customFormat="1" hidden="1" outlineLevel="1" x14ac:dyDescent="0.3">
      <c r="B1405" s="13" t="s">
        <v>800</v>
      </c>
      <c r="C1405" s="13" t="s">
        <v>801</v>
      </c>
      <c r="D1405" s="13">
        <v>-6</v>
      </c>
      <c r="E1405" s="13" t="s">
        <v>10</v>
      </c>
      <c r="F1405" s="13" t="s">
        <v>11</v>
      </c>
      <c r="G1405" s="13" t="s">
        <v>12</v>
      </c>
      <c r="H1405" s="13" t="s">
        <v>13</v>
      </c>
      <c r="I1405" s="13" t="s">
        <v>802</v>
      </c>
    </row>
    <row r="1406" spans="2:9" s="13" customFormat="1" hidden="1" outlineLevel="1" x14ac:dyDescent="0.3">
      <c r="B1406" s="13" t="s">
        <v>803</v>
      </c>
      <c r="C1406" s="13" t="s">
        <v>804</v>
      </c>
      <c r="D1406" s="13">
        <v>-6</v>
      </c>
      <c r="E1406" s="13" t="s">
        <v>10</v>
      </c>
      <c r="F1406" s="13" t="s">
        <v>11</v>
      </c>
      <c r="G1406" s="13" t="s">
        <v>12</v>
      </c>
      <c r="H1406" s="13" t="s">
        <v>13</v>
      </c>
      <c r="I1406" s="13" t="s">
        <v>805</v>
      </c>
    </row>
    <row r="1407" spans="2:9" s="13" customFormat="1" hidden="1" outlineLevel="1" x14ac:dyDescent="0.3">
      <c r="B1407" s="13" t="s">
        <v>806</v>
      </c>
      <c r="C1407" s="13" t="s">
        <v>807</v>
      </c>
      <c r="D1407" s="13">
        <v>-6</v>
      </c>
      <c r="E1407" s="13" t="s">
        <v>10</v>
      </c>
      <c r="F1407" s="13" t="s">
        <v>11</v>
      </c>
      <c r="G1407" s="13" t="s">
        <v>12</v>
      </c>
      <c r="H1407" s="13" t="s">
        <v>13</v>
      </c>
      <c r="I1407" s="13" t="s">
        <v>808</v>
      </c>
    </row>
    <row r="1408" spans="2:9" s="13" customFormat="1" hidden="1" outlineLevel="1" x14ac:dyDescent="0.3">
      <c r="B1408" s="13" t="s">
        <v>809</v>
      </c>
      <c r="C1408" s="13" t="s">
        <v>810</v>
      </c>
      <c r="D1408" s="13">
        <v>-6</v>
      </c>
      <c r="E1408" s="13" t="s">
        <v>10</v>
      </c>
      <c r="F1408" s="13" t="s">
        <v>11</v>
      </c>
      <c r="G1408" s="13" t="s">
        <v>12</v>
      </c>
      <c r="H1408" s="13" t="s">
        <v>13</v>
      </c>
      <c r="I1408" s="13" t="s">
        <v>811</v>
      </c>
    </row>
    <row r="1409" spans="2:9" s="13" customFormat="1" hidden="1" outlineLevel="1" x14ac:dyDescent="0.3">
      <c r="B1409" s="13" t="s">
        <v>812</v>
      </c>
      <c r="C1409" s="13" t="s">
        <v>813</v>
      </c>
      <c r="D1409" s="13">
        <v>-6</v>
      </c>
      <c r="E1409" s="13" t="s">
        <v>10</v>
      </c>
      <c r="F1409" s="13" t="s">
        <v>11</v>
      </c>
      <c r="G1409" s="13" t="s">
        <v>12</v>
      </c>
      <c r="H1409" s="13" t="s">
        <v>13</v>
      </c>
      <c r="I1409" s="13" t="s">
        <v>814</v>
      </c>
    </row>
    <row r="1410" spans="2:9" s="13" customFormat="1" hidden="1" outlineLevel="1" x14ac:dyDescent="0.3">
      <c r="B1410" s="13" t="s">
        <v>815</v>
      </c>
      <c r="C1410" s="13" t="s">
        <v>816</v>
      </c>
      <c r="D1410" s="13">
        <v>-6</v>
      </c>
      <c r="E1410" s="13" t="s">
        <v>10</v>
      </c>
      <c r="F1410" s="13" t="s">
        <v>11</v>
      </c>
      <c r="G1410" s="13" t="s">
        <v>12</v>
      </c>
      <c r="H1410" s="13" t="s">
        <v>13</v>
      </c>
      <c r="I1410" s="13" t="s">
        <v>817</v>
      </c>
    </row>
    <row r="1411" spans="2:9" s="13" customFormat="1" hidden="1" outlineLevel="1" x14ac:dyDescent="0.3">
      <c r="B1411" s="13" t="s">
        <v>818</v>
      </c>
      <c r="C1411" s="13" t="s">
        <v>819</v>
      </c>
      <c r="D1411" s="13">
        <v>-6</v>
      </c>
      <c r="E1411" s="13" t="s">
        <v>10</v>
      </c>
      <c r="F1411" s="13" t="s">
        <v>11</v>
      </c>
      <c r="G1411" s="13" t="s">
        <v>12</v>
      </c>
      <c r="H1411" s="13" t="s">
        <v>13</v>
      </c>
      <c r="I1411" s="13" t="s">
        <v>820</v>
      </c>
    </row>
    <row r="1412" spans="2:9" s="13" customFormat="1" hidden="1" outlineLevel="1" x14ac:dyDescent="0.3">
      <c r="B1412" s="13" t="s">
        <v>821</v>
      </c>
      <c r="C1412" s="13" t="s">
        <v>822</v>
      </c>
      <c r="D1412" s="13">
        <v>-6</v>
      </c>
      <c r="E1412" s="13" t="s">
        <v>10</v>
      </c>
      <c r="F1412" s="13" t="s">
        <v>11</v>
      </c>
      <c r="G1412" s="13" t="s">
        <v>12</v>
      </c>
      <c r="H1412" s="13" t="s">
        <v>13</v>
      </c>
      <c r="I1412" s="13" t="s">
        <v>823</v>
      </c>
    </row>
    <row r="1413" spans="2:9" s="13" customFormat="1" hidden="1" outlineLevel="1" x14ac:dyDescent="0.3">
      <c r="B1413" s="13" t="s">
        <v>824</v>
      </c>
      <c r="C1413" s="13" t="s">
        <v>825</v>
      </c>
      <c r="D1413" s="13">
        <v>-6</v>
      </c>
      <c r="E1413" s="13" t="s">
        <v>10</v>
      </c>
      <c r="F1413" s="13" t="s">
        <v>11</v>
      </c>
      <c r="G1413" s="13" t="s">
        <v>12</v>
      </c>
      <c r="H1413" s="13" t="s">
        <v>13</v>
      </c>
      <c r="I1413" s="13" t="s">
        <v>826</v>
      </c>
    </row>
    <row r="1414" spans="2:9" s="13" customFormat="1" hidden="1" outlineLevel="1" x14ac:dyDescent="0.3">
      <c r="B1414" s="13" t="s">
        <v>827</v>
      </c>
      <c r="C1414" s="13" t="s">
        <v>828</v>
      </c>
      <c r="D1414" s="13">
        <v>-6</v>
      </c>
      <c r="E1414" s="13" t="s">
        <v>10</v>
      </c>
      <c r="F1414" s="13" t="s">
        <v>11</v>
      </c>
      <c r="G1414" s="13" t="s">
        <v>12</v>
      </c>
      <c r="H1414" s="13" t="s">
        <v>13</v>
      </c>
      <c r="I1414" s="13" t="s">
        <v>829</v>
      </c>
    </row>
    <row r="1415" spans="2:9" s="13" customFormat="1" hidden="1" outlineLevel="1" x14ac:dyDescent="0.3">
      <c r="B1415" s="13" t="s">
        <v>830</v>
      </c>
      <c r="C1415" s="13" t="s">
        <v>831</v>
      </c>
      <c r="D1415" s="13">
        <v>-6</v>
      </c>
      <c r="E1415" s="13" t="s">
        <v>10</v>
      </c>
      <c r="F1415" s="13" t="s">
        <v>11</v>
      </c>
      <c r="G1415" s="13" t="s">
        <v>12</v>
      </c>
      <c r="H1415" s="13" t="s">
        <v>13</v>
      </c>
      <c r="I1415" s="13" t="s">
        <v>832</v>
      </c>
    </row>
    <row r="1416" spans="2:9" s="13" customFormat="1" hidden="1" outlineLevel="1" x14ac:dyDescent="0.3">
      <c r="B1416" s="13" t="s">
        <v>833</v>
      </c>
      <c r="C1416" s="13" t="s">
        <v>834</v>
      </c>
      <c r="D1416" s="13">
        <v>-6</v>
      </c>
      <c r="E1416" s="13" t="s">
        <v>10</v>
      </c>
      <c r="F1416" s="13" t="s">
        <v>11</v>
      </c>
      <c r="G1416" s="13" t="s">
        <v>12</v>
      </c>
      <c r="H1416" s="13" t="s">
        <v>13</v>
      </c>
      <c r="I1416" s="13" t="s">
        <v>835</v>
      </c>
    </row>
    <row r="1417" spans="2:9" s="13" customFormat="1" hidden="1" outlineLevel="1" x14ac:dyDescent="0.3">
      <c r="B1417" s="13" t="s">
        <v>836</v>
      </c>
      <c r="C1417" s="13" t="s">
        <v>837</v>
      </c>
      <c r="D1417" s="13">
        <v>-6</v>
      </c>
      <c r="E1417" s="13" t="s">
        <v>10</v>
      </c>
      <c r="F1417" s="13" t="s">
        <v>11</v>
      </c>
      <c r="G1417" s="13" t="s">
        <v>12</v>
      </c>
      <c r="H1417" s="13" t="s">
        <v>13</v>
      </c>
      <c r="I1417" s="13" t="s">
        <v>838</v>
      </c>
    </row>
    <row r="1418" spans="2:9" s="13" customFormat="1" hidden="1" outlineLevel="1" x14ac:dyDescent="0.3">
      <c r="B1418" s="13" t="s">
        <v>839</v>
      </c>
      <c r="C1418" s="13" t="s">
        <v>840</v>
      </c>
      <c r="D1418" s="13">
        <v>-6</v>
      </c>
      <c r="E1418" s="13" t="s">
        <v>10</v>
      </c>
      <c r="F1418" s="13" t="s">
        <v>11</v>
      </c>
      <c r="G1418" s="13" t="s">
        <v>12</v>
      </c>
      <c r="H1418" s="13" t="s">
        <v>13</v>
      </c>
      <c r="I1418" s="13" t="s">
        <v>463</v>
      </c>
    </row>
    <row r="1419" spans="2:9" s="13" customFormat="1" hidden="1" outlineLevel="1" x14ac:dyDescent="0.3">
      <c r="B1419" s="13" t="s">
        <v>841</v>
      </c>
      <c r="C1419" s="13" t="s">
        <v>842</v>
      </c>
      <c r="D1419" s="13">
        <v>-6</v>
      </c>
      <c r="E1419" s="13" t="s">
        <v>10</v>
      </c>
      <c r="F1419" s="13" t="s">
        <v>11</v>
      </c>
      <c r="G1419" s="13" t="s">
        <v>12</v>
      </c>
      <c r="H1419" s="13" t="s">
        <v>13</v>
      </c>
      <c r="I1419" s="13" t="s">
        <v>843</v>
      </c>
    </row>
    <row r="1420" spans="2:9" s="13" customFormat="1" hidden="1" outlineLevel="1" x14ac:dyDescent="0.3">
      <c r="B1420" s="13" t="s">
        <v>844</v>
      </c>
      <c r="C1420" s="13" t="s">
        <v>845</v>
      </c>
      <c r="D1420" s="13">
        <v>-6</v>
      </c>
      <c r="E1420" s="13" t="s">
        <v>10</v>
      </c>
      <c r="F1420" s="13" t="s">
        <v>11</v>
      </c>
      <c r="G1420" s="13" t="s">
        <v>12</v>
      </c>
      <c r="H1420" s="13" t="s">
        <v>13</v>
      </c>
      <c r="I1420" s="13" t="s">
        <v>846</v>
      </c>
    </row>
    <row r="1421" spans="2:9" s="13" customFormat="1" hidden="1" outlineLevel="1" x14ac:dyDescent="0.3">
      <c r="B1421" s="13" t="s">
        <v>847</v>
      </c>
      <c r="C1421" s="13" t="s">
        <v>848</v>
      </c>
      <c r="D1421" s="13">
        <v>-6</v>
      </c>
      <c r="E1421" s="13" t="s">
        <v>10</v>
      </c>
      <c r="F1421" s="13" t="s">
        <v>11</v>
      </c>
      <c r="G1421" s="13" t="s">
        <v>12</v>
      </c>
      <c r="H1421" s="13" t="s">
        <v>13</v>
      </c>
      <c r="I1421" s="13" t="s">
        <v>849</v>
      </c>
    </row>
    <row r="1422" spans="2:9" s="13" customFormat="1" hidden="1" outlineLevel="1" x14ac:dyDescent="0.3">
      <c r="B1422" s="13" t="s">
        <v>850</v>
      </c>
      <c r="C1422" s="13" t="s">
        <v>851</v>
      </c>
      <c r="D1422" s="13">
        <v>-6</v>
      </c>
      <c r="E1422" s="13" t="s">
        <v>10</v>
      </c>
      <c r="F1422" s="13" t="s">
        <v>11</v>
      </c>
      <c r="G1422" s="13" t="s">
        <v>12</v>
      </c>
      <c r="H1422" s="13" t="s">
        <v>13</v>
      </c>
      <c r="I1422" s="13" t="s">
        <v>852</v>
      </c>
    </row>
    <row r="1423" spans="2:9" s="13" customFormat="1" hidden="1" outlineLevel="1" x14ac:dyDescent="0.3">
      <c r="B1423" s="13" t="s">
        <v>853</v>
      </c>
      <c r="C1423" s="13" t="s">
        <v>854</v>
      </c>
      <c r="D1423" s="13">
        <v>-6</v>
      </c>
      <c r="E1423" s="13" t="s">
        <v>10</v>
      </c>
      <c r="F1423" s="13" t="s">
        <v>11</v>
      </c>
      <c r="G1423" s="13" t="s">
        <v>12</v>
      </c>
      <c r="H1423" s="13" t="s">
        <v>13</v>
      </c>
      <c r="I1423" s="13" t="s">
        <v>855</v>
      </c>
    </row>
    <row r="1424" spans="2:9" s="13" customFormat="1" hidden="1" outlineLevel="1" x14ac:dyDescent="0.3">
      <c r="B1424" s="13" t="s">
        <v>856</v>
      </c>
      <c r="C1424" s="13" t="s">
        <v>857</v>
      </c>
      <c r="D1424" s="13">
        <v>-6</v>
      </c>
      <c r="E1424" s="13" t="s">
        <v>10</v>
      </c>
      <c r="F1424" s="13" t="s">
        <v>11</v>
      </c>
      <c r="G1424" s="13" t="s">
        <v>12</v>
      </c>
      <c r="H1424" s="13" t="s">
        <v>13</v>
      </c>
      <c r="I1424" s="13" t="s">
        <v>858</v>
      </c>
    </row>
    <row r="1425" spans="2:9" s="13" customFormat="1" hidden="1" outlineLevel="1" x14ac:dyDescent="0.3">
      <c r="B1425" s="13" t="s">
        <v>859</v>
      </c>
      <c r="C1425" s="13" t="s">
        <v>860</v>
      </c>
      <c r="D1425" s="13">
        <v>-6</v>
      </c>
      <c r="E1425" s="13" t="s">
        <v>10</v>
      </c>
      <c r="F1425" s="13" t="s">
        <v>11</v>
      </c>
      <c r="G1425" s="13" t="s">
        <v>12</v>
      </c>
      <c r="H1425" s="13" t="s">
        <v>13</v>
      </c>
      <c r="I1425" s="13" t="s">
        <v>861</v>
      </c>
    </row>
    <row r="1426" spans="2:9" s="13" customFormat="1" hidden="1" outlineLevel="1" x14ac:dyDescent="0.3">
      <c r="B1426" s="13" t="s">
        <v>862</v>
      </c>
      <c r="C1426" s="13" t="s">
        <v>22</v>
      </c>
      <c r="D1426" s="13">
        <v>-6</v>
      </c>
      <c r="E1426" s="13" t="s">
        <v>10</v>
      </c>
      <c r="F1426" s="13" t="s">
        <v>11</v>
      </c>
      <c r="G1426" s="13" t="s">
        <v>12</v>
      </c>
      <c r="H1426" s="13" t="s">
        <v>13</v>
      </c>
      <c r="I1426" s="13" t="s">
        <v>23</v>
      </c>
    </row>
    <row r="1427" spans="2:9" s="13" customFormat="1" hidden="1" outlineLevel="1" x14ac:dyDescent="0.3">
      <c r="B1427" s="13" t="s">
        <v>863</v>
      </c>
      <c r="C1427" s="13" t="s">
        <v>195</v>
      </c>
      <c r="D1427" s="13">
        <v>-6</v>
      </c>
      <c r="E1427" s="13" t="s">
        <v>10</v>
      </c>
      <c r="F1427" s="13" t="s">
        <v>290</v>
      </c>
      <c r="G1427" s="13" t="s">
        <v>12</v>
      </c>
      <c r="H1427" s="13" t="s">
        <v>13</v>
      </c>
      <c r="I1427" s="13" t="s">
        <v>310</v>
      </c>
    </row>
    <row r="1428" spans="2:9" s="13" customFormat="1" hidden="1" outlineLevel="1" x14ac:dyDescent="0.3">
      <c r="B1428" s="13" t="s">
        <v>864</v>
      </c>
      <c r="C1428" s="13" t="s">
        <v>865</v>
      </c>
      <c r="D1428" s="13">
        <v>-6</v>
      </c>
      <c r="E1428" s="13" t="s">
        <v>10</v>
      </c>
      <c r="F1428" s="13" t="s">
        <v>11</v>
      </c>
      <c r="G1428" s="13" t="s">
        <v>12</v>
      </c>
      <c r="H1428" s="13" t="s">
        <v>13</v>
      </c>
      <c r="I1428" s="13" t="s">
        <v>866</v>
      </c>
    </row>
    <row r="1429" spans="2:9" s="13" customFormat="1" hidden="1" outlineLevel="1" x14ac:dyDescent="0.3">
      <c r="B1429" s="13" t="s">
        <v>867</v>
      </c>
      <c r="C1429" s="13" t="s">
        <v>195</v>
      </c>
      <c r="D1429" s="13">
        <v>-6</v>
      </c>
      <c r="E1429" s="13" t="s">
        <v>10</v>
      </c>
      <c r="F1429" s="13" t="s">
        <v>165</v>
      </c>
      <c r="G1429" s="13" t="s">
        <v>12</v>
      </c>
      <c r="H1429" s="13" t="s">
        <v>13</v>
      </c>
      <c r="I1429" s="13" t="s">
        <v>196</v>
      </c>
    </row>
    <row r="1430" spans="2:9" s="13" customFormat="1" hidden="1" outlineLevel="1" x14ac:dyDescent="0.3">
      <c r="B1430" s="13" t="s">
        <v>868</v>
      </c>
      <c r="C1430" s="13" t="s">
        <v>869</v>
      </c>
      <c r="D1430" s="13">
        <v>-6</v>
      </c>
      <c r="E1430" s="13" t="s">
        <v>10</v>
      </c>
      <c r="F1430" s="13" t="s">
        <v>11</v>
      </c>
      <c r="G1430" s="13" t="s">
        <v>12</v>
      </c>
      <c r="H1430" s="13" t="s">
        <v>13</v>
      </c>
      <c r="I1430" s="13" t="s">
        <v>870</v>
      </c>
    </row>
    <row r="1431" spans="2:9" s="13" customFormat="1" hidden="1" outlineLevel="1" x14ac:dyDescent="0.3">
      <c r="B1431" s="13" t="s">
        <v>871</v>
      </c>
      <c r="C1431" s="13" t="s">
        <v>872</v>
      </c>
      <c r="D1431" s="13">
        <v>-6</v>
      </c>
      <c r="E1431" s="13" t="s">
        <v>10</v>
      </c>
      <c r="F1431" s="13" t="s">
        <v>11</v>
      </c>
      <c r="G1431" s="13" t="s">
        <v>12</v>
      </c>
      <c r="H1431" s="13" t="s">
        <v>13</v>
      </c>
      <c r="I1431" s="13" t="s">
        <v>873</v>
      </c>
    </row>
    <row r="1432" spans="2:9" s="13" customFormat="1" hidden="1" outlineLevel="1" x14ac:dyDescent="0.3">
      <c r="B1432" s="13" t="s">
        <v>874</v>
      </c>
      <c r="C1432" s="13" t="s">
        <v>875</v>
      </c>
      <c r="D1432" s="13">
        <v>-6</v>
      </c>
      <c r="E1432" s="13" t="s">
        <v>10</v>
      </c>
      <c r="F1432" s="13" t="s">
        <v>11</v>
      </c>
      <c r="G1432" s="13" t="s">
        <v>12</v>
      </c>
      <c r="H1432" s="13" t="s">
        <v>13</v>
      </c>
      <c r="I1432" s="13" t="s">
        <v>26</v>
      </c>
    </row>
    <row r="1433" spans="2:9" s="13" customFormat="1" hidden="1" outlineLevel="1" x14ac:dyDescent="0.3">
      <c r="B1433" s="13" t="s">
        <v>876</v>
      </c>
      <c r="C1433" s="13" t="s">
        <v>877</v>
      </c>
      <c r="D1433" s="13">
        <v>-6</v>
      </c>
      <c r="E1433" s="13" t="s">
        <v>10</v>
      </c>
      <c r="F1433" s="13" t="s">
        <v>11</v>
      </c>
      <c r="G1433" s="13" t="s">
        <v>12</v>
      </c>
      <c r="H1433" s="13" t="s">
        <v>13</v>
      </c>
      <c r="I1433" s="13" t="s">
        <v>878</v>
      </c>
    </row>
    <row r="1434" spans="2:9" s="13" customFormat="1" hidden="1" outlineLevel="1" x14ac:dyDescent="0.3">
      <c r="B1434" s="13" t="s">
        <v>879</v>
      </c>
      <c r="C1434" s="13" t="s">
        <v>768</v>
      </c>
      <c r="D1434" s="13">
        <v>-6</v>
      </c>
      <c r="E1434" s="13" t="s">
        <v>10</v>
      </c>
      <c r="F1434" s="13" t="s">
        <v>71</v>
      </c>
      <c r="G1434" s="13" t="s">
        <v>12</v>
      </c>
      <c r="H1434" s="13" t="s">
        <v>13</v>
      </c>
      <c r="I1434" s="13" t="s">
        <v>880</v>
      </c>
    </row>
    <row r="1435" spans="2:9" s="13" customFormat="1" hidden="1" outlineLevel="1" x14ac:dyDescent="0.3">
      <c r="B1435" s="13" t="s">
        <v>881</v>
      </c>
      <c r="C1435" s="13" t="s">
        <v>771</v>
      </c>
      <c r="D1435" s="13">
        <v>-6</v>
      </c>
      <c r="E1435" s="13" t="s">
        <v>10</v>
      </c>
      <c r="F1435" s="13" t="s">
        <v>71</v>
      </c>
      <c r="G1435" s="13" t="s">
        <v>12</v>
      </c>
      <c r="H1435" s="13" t="s">
        <v>13</v>
      </c>
      <c r="I1435" s="13" t="s">
        <v>882</v>
      </c>
    </row>
    <row r="1436" spans="2:9" s="13" customFormat="1" hidden="1" outlineLevel="1" x14ac:dyDescent="0.3">
      <c r="B1436" s="13" t="s">
        <v>883</v>
      </c>
      <c r="C1436" s="13" t="s">
        <v>774</v>
      </c>
      <c r="D1436" s="13">
        <v>-6</v>
      </c>
      <c r="E1436" s="13" t="s">
        <v>10</v>
      </c>
      <c r="F1436" s="13" t="s">
        <v>71</v>
      </c>
      <c r="G1436" s="13" t="s">
        <v>12</v>
      </c>
      <c r="H1436" s="13" t="s">
        <v>13</v>
      </c>
      <c r="I1436" s="13" t="s">
        <v>884</v>
      </c>
    </row>
    <row r="1437" spans="2:9" s="13" customFormat="1" hidden="1" outlineLevel="1" x14ac:dyDescent="0.3">
      <c r="B1437" s="13" t="s">
        <v>885</v>
      </c>
      <c r="C1437" s="13" t="s">
        <v>777</v>
      </c>
      <c r="D1437" s="13">
        <v>-6</v>
      </c>
      <c r="E1437" s="13" t="s">
        <v>10</v>
      </c>
      <c r="F1437" s="13" t="s">
        <v>71</v>
      </c>
      <c r="G1437" s="13" t="s">
        <v>12</v>
      </c>
      <c r="H1437" s="13" t="s">
        <v>13</v>
      </c>
      <c r="I1437" s="13" t="s">
        <v>886</v>
      </c>
    </row>
    <row r="1438" spans="2:9" s="13" customFormat="1" hidden="1" outlineLevel="1" x14ac:dyDescent="0.3">
      <c r="B1438" s="13" t="s">
        <v>887</v>
      </c>
      <c r="C1438" s="13" t="s">
        <v>780</v>
      </c>
      <c r="D1438" s="13">
        <v>-6</v>
      </c>
      <c r="E1438" s="13" t="s">
        <v>10</v>
      </c>
      <c r="F1438" s="13" t="s">
        <v>71</v>
      </c>
      <c r="G1438" s="13" t="s">
        <v>12</v>
      </c>
      <c r="H1438" s="13" t="s">
        <v>13</v>
      </c>
      <c r="I1438" s="13" t="s">
        <v>888</v>
      </c>
    </row>
    <row r="1439" spans="2:9" s="13" customFormat="1" hidden="1" outlineLevel="1" x14ac:dyDescent="0.3">
      <c r="B1439" s="13" t="s">
        <v>889</v>
      </c>
      <c r="C1439" s="13" t="s">
        <v>783</v>
      </c>
      <c r="D1439" s="13">
        <v>-6</v>
      </c>
      <c r="E1439" s="13" t="s">
        <v>10</v>
      </c>
      <c r="F1439" s="13" t="s">
        <v>71</v>
      </c>
      <c r="G1439" s="13" t="s">
        <v>12</v>
      </c>
      <c r="H1439" s="13" t="s">
        <v>13</v>
      </c>
      <c r="I1439" s="13" t="s">
        <v>890</v>
      </c>
    </row>
    <row r="1440" spans="2:9" s="13" customFormat="1" hidden="1" outlineLevel="1" x14ac:dyDescent="0.3">
      <c r="B1440" s="13" t="s">
        <v>891</v>
      </c>
      <c r="C1440" s="13" t="s">
        <v>786</v>
      </c>
      <c r="D1440" s="13">
        <v>-6</v>
      </c>
      <c r="E1440" s="13" t="s">
        <v>10</v>
      </c>
      <c r="F1440" s="13" t="s">
        <v>71</v>
      </c>
      <c r="G1440" s="13" t="s">
        <v>12</v>
      </c>
      <c r="H1440" s="13" t="s">
        <v>13</v>
      </c>
      <c r="I1440" s="13" t="s">
        <v>892</v>
      </c>
    </row>
    <row r="1441" spans="2:9" s="13" customFormat="1" hidden="1" outlineLevel="1" x14ac:dyDescent="0.3">
      <c r="B1441" s="13" t="s">
        <v>893</v>
      </c>
      <c r="C1441" s="13" t="s">
        <v>789</v>
      </c>
      <c r="D1441" s="13">
        <v>-6</v>
      </c>
      <c r="E1441" s="13" t="s">
        <v>10</v>
      </c>
      <c r="F1441" s="13" t="s">
        <v>71</v>
      </c>
      <c r="G1441" s="13" t="s">
        <v>12</v>
      </c>
      <c r="H1441" s="13" t="s">
        <v>13</v>
      </c>
      <c r="I1441" s="13" t="s">
        <v>894</v>
      </c>
    </row>
    <row r="1442" spans="2:9" s="13" customFormat="1" hidden="1" outlineLevel="1" x14ac:dyDescent="0.3">
      <c r="B1442" s="13" t="s">
        <v>895</v>
      </c>
      <c r="C1442" s="13" t="s">
        <v>792</v>
      </c>
      <c r="D1442" s="13">
        <v>-6</v>
      </c>
      <c r="E1442" s="13" t="s">
        <v>10</v>
      </c>
      <c r="F1442" s="13" t="s">
        <v>71</v>
      </c>
      <c r="G1442" s="13" t="s">
        <v>12</v>
      </c>
      <c r="H1442" s="13" t="s">
        <v>13</v>
      </c>
      <c r="I1442" s="13" t="s">
        <v>896</v>
      </c>
    </row>
    <row r="1443" spans="2:9" s="13" customFormat="1" hidden="1" outlineLevel="1" x14ac:dyDescent="0.3">
      <c r="B1443" s="13" t="s">
        <v>897</v>
      </c>
      <c r="C1443" s="13" t="s">
        <v>795</v>
      </c>
      <c r="D1443" s="13">
        <v>-6</v>
      </c>
      <c r="E1443" s="13" t="s">
        <v>10</v>
      </c>
      <c r="F1443" s="13" t="s">
        <v>71</v>
      </c>
      <c r="G1443" s="13" t="s">
        <v>12</v>
      </c>
      <c r="H1443" s="13" t="s">
        <v>13</v>
      </c>
      <c r="I1443" s="13" t="s">
        <v>898</v>
      </c>
    </row>
    <row r="1444" spans="2:9" s="13" customFormat="1" hidden="1" outlineLevel="1" x14ac:dyDescent="0.3">
      <c r="B1444" s="13" t="s">
        <v>899</v>
      </c>
      <c r="C1444" s="13" t="s">
        <v>798</v>
      </c>
      <c r="D1444" s="13">
        <v>-6</v>
      </c>
      <c r="E1444" s="13" t="s">
        <v>10</v>
      </c>
      <c r="F1444" s="13" t="s">
        <v>71</v>
      </c>
      <c r="G1444" s="13" t="s">
        <v>12</v>
      </c>
      <c r="H1444" s="13" t="s">
        <v>13</v>
      </c>
      <c r="I1444" s="13" t="s">
        <v>900</v>
      </c>
    </row>
    <row r="1445" spans="2:9" s="13" customFormat="1" hidden="1" outlineLevel="1" x14ac:dyDescent="0.3">
      <c r="B1445" s="13" t="s">
        <v>901</v>
      </c>
      <c r="C1445" s="13" t="s">
        <v>801</v>
      </c>
      <c r="D1445" s="13">
        <v>-6</v>
      </c>
      <c r="E1445" s="13" t="s">
        <v>10</v>
      </c>
      <c r="F1445" s="13" t="s">
        <v>71</v>
      </c>
      <c r="G1445" s="13" t="s">
        <v>12</v>
      </c>
      <c r="H1445" s="13" t="s">
        <v>13</v>
      </c>
      <c r="I1445" s="13" t="s">
        <v>902</v>
      </c>
    </row>
    <row r="1446" spans="2:9" s="13" customFormat="1" hidden="1" outlineLevel="1" x14ac:dyDescent="0.3">
      <c r="B1446" s="13" t="s">
        <v>903</v>
      </c>
      <c r="C1446" s="13" t="s">
        <v>804</v>
      </c>
      <c r="D1446" s="13">
        <v>-6</v>
      </c>
      <c r="E1446" s="13" t="s">
        <v>10</v>
      </c>
      <c r="F1446" s="13" t="s">
        <v>71</v>
      </c>
      <c r="G1446" s="13" t="s">
        <v>12</v>
      </c>
      <c r="H1446" s="13" t="s">
        <v>13</v>
      </c>
      <c r="I1446" s="13" t="s">
        <v>904</v>
      </c>
    </row>
    <row r="1447" spans="2:9" s="13" customFormat="1" hidden="1" outlineLevel="1" x14ac:dyDescent="0.3">
      <c r="B1447" s="13" t="s">
        <v>905</v>
      </c>
      <c r="C1447" s="13" t="s">
        <v>807</v>
      </c>
      <c r="D1447" s="13">
        <v>-6</v>
      </c>
      <c r="E1447" s="13" t="s">
        <v>10</v>
      </c>
      <c r="F1447" s="13" t="s">
        <v>71</v>
      </c>
      <c r="G1447" s="13" t="s">
        <v>12</v>
      </c>
      <c r="H1447" s="13" t="s">
        <v>13</v>
      </c>
      <c r="I1447" s="13" t="s">
        <v>906</v>
      </c>
    </row>
    <row r="1448" spans="2:9" s="13" customFormat="1" hidden="1" outlineLevel="1" x14ac:dyDescent="0.3">
      <c r="B1448" s="13" t="s">
        <v>907</v>
      </c>
      <c r="C1448" s="13" t="s">
        <v>810</v>
      </c>
      <c r="D1448" s="13">
        <v>-6</v>
      </c>
      <c r="E1448" s="13" t="s">
        <v>10</v>
      </c>
      <c r="F1448" s="13" t="s">
        <v>71</v>
      </c>
      <c r="G1448" s="13" t="s">
        <v>12</v>
      </c>
      <c r="H1448" s="13" t="s">
        <v>13</v>
      </c>
      <c r="I1448" s="13" t="s">
        <v>908</v>
      </c>
    </row>
    <row r="1449" spans="2:9" s="13" customFormat="1" hidden="1" outlineLevel="1" x14ac:dyDescent="0.3">
      <c r="B1449" s="13" t="s">
        <v>909</v>
      </c>
      <c r="C1449" s="13" t="s">
        <v>813</v>
      </c>
      <c r="E1449" s="13" t="s">
        <v>10</v>
      </c>
      <c r="F1449" s="13" t="s">
        <v>71</v>
      </c>
      <c r="G1449" s="13" t="s">
        <v>12</v>
      </c>
      <c r="H1449" s="13" t="s">
        <v>13</v>
      </c>
      <c r="I1449" s="13" t="s">
        <v>308</v>
      </c>
    </row>
    <row r="1450" spans="2:9" s="13" customFormat="1" hidden="1" outlineLevel="1" x14ac:dyDescent="0.3">
      <c r="B1450" s="13" t="s">
        <v>910</v>
      </c>
      <c r="C1450" s="13" t="s">
        <v>816</v>
      </c>
      <c r="D1450" s="13">
        <v>-6</v>
      </c>
      <c r="E1450" s="13" t="s">
        <v>10</v>
      </c>
      <c r="F1450" s="13" t="s">
        <v>71</v>
      </c>
      <c r="G1450" s="13" t="s">
        <v>12</v>
      </c>
      <c r="H1450" s="13" t="s">
        <v>13</v>
      </c>
      <c r="I1450" s="13" t="s">
        <v>911</v>
      </c>
    </row>
    <row r="1451" spans="2:9" s="13" customFormat="1" hidden="1" outlineLevel="1" x14ac:dyDescent="0.3">
      <c r="B1451" s="13" t="s">
        <v>912</v>
      </c>
      <c r="C1451" s="13" t="s">
        <v>819</v>
      </c>
      <c r="D1451" s="13">
        <v>-6</v>
      </c>
      <c r="E1451" s="13" t="s">
        <v>10</v>
      </c>
      <c r="F1451" s="13" t="s">
        <v>71</v>
      </c>
      <c r="G1451" s="13" t="s">
        <v>12</v>
      </c>
      <c r="H1451" s="13" t="s">
        <v>13</v>
      </c>
      <c r="I1451" s="13" t="s">
        <v>913</v>
      </c>
    </row>
    <row r="1452" spans="2:9" s="13" customFormat="1" hidden="1" outlineLevel="1" x14ac:dyDescent="0.3">
      <c r="B1452" s="13" t="s">
        <v>914</v>
      </c>
      <c r="C1452" s="13" t="s">
        <v>822</v>
      </c>
      <c r="D1452" s="13">
        <v>-6</v>
      </c>
      <c r="E1452" s="13" t="s">
        <v>10</v>
      </c>
      <c r="F1452" s="13" t="s">
        <v>71</v>
      </c>
      <c r="G1452" s="13" t="s">
        <v>12</v>
      </c>
      <c r="H1452" s="13" t="s">
        <v>13</v>
      </c>
      <c r="I1452" s="13" t="s">
        <v>915</v>
      </c>
    </row>
    <row r="1453" spans="2:9" s="13" customFormat="1" hidden="1" outlineLevel="1" x14ac:dyDescent="0.3">
      <c r="B1453" s="13" t="s">
        <v>916</v>
      </c>
      <c r="C1453" s="13" t="s">
        <v>825</v>
      </c>
      <c r="E1453" s="13" t="s">
        <v>10</v>
      </c>
      <c r="F1453" s="13" t="s">
        <v>71</v>
      </c>
      <c r="G1453" s="13" t="s">
        <v>12</v>
      </c>
      <c r="H1453" s="13" t="s">
        <v>13</v>
      </c>
      <c r="I1453" s="13" t="s">
        <v>308</v>
      </c>
    </row>
    <row r="1454" spans="2:9" s="13" customFormat="1" hidden="1" outlineLevel="1" x14ac:dyDescent="0.3">
      <c r="B1454" s="13" t="s">
        <v>917</v>
      </c>
      <c r="C1454" s="13" t="s">
        <v>828</v>
      </c>
      <c r="D1454" s="13">
        <v>-6</v>
      </c>
      <c r="E1454" s="13" t="s">
        <v>10</v>
      </c>
      <c r="F1454" s="13" t="s">
        <v>71</v>
      </c>
      <c r="G1454" s="13" t="s">
        <v>12</v>
      </c>
      <c r="H1454" s="13" t="s">
        <v>13</v>
      </c>
      <c r="I1454" s="13" t="s">
        <v>918</v>
      </c>
    </row>
    <row r="1455" spans="2:9" s="13" customFormat="1" hidden="1" outlineLevel="1" x14ac:dyDescent="0.3">
      <c r="B1455" s="13" t="s">
        <v>919</v>
      </c>
      <c r="C1455" s="13" t="s">
        <v>831</v>
      </c>
      <c r="D1455" s="13">
        <v>-6</v>
      </c>
      <c r="E1455" s="13" t="s">
        <v>10</v>
      </c>
      <c r="F1455" s="13" t="s">
        <v>71</v>
      </c>
      <c r="G1455" s="13" t="s">
        <v>12</v>
      </c>
      <c r="H1455" s="13" t="s">
        <v>13</v>
      </c>
      <c r="I1455" s="13" t="s">
        <v>920</v>
      </c>
    </row>
    <row r="1456" spans="2:9" s="13" customFormat="1" hidden="1" outlineLevel="1" x14ac:dyDescent="0.3">
      <c r="B1456" s="13" t="s">
        <v>921</v>
      </c>
      <c r="C1456" s="13" t="s">
        <v>834</v>
      </c>
      <c r="D1456" s="13">
        <v>-6</v>
      </c>
      <c r="E1456" s="13" t="s">
        <v>10</v>
      </c>
      <c r="F1456" s="13" t="s">
        <v>71</v>
      </c>
      <c r="G1456" s="13" t="s">
        <v>12</v>
      </c>
      <c r="H1456" s="13" t="s">
        <v>13</v>
      </c>
      <c r="I1456" s="13" t="s">
        <v>922</v>
      </c>
    </row>
    <row r="1457" spans="2:9" s="13" customFormat="1" hidden="1" outlineLevel="1" x14ac:dyDescent="0.3">
      <c r="B1457" s="13" t="s">
        <v>923</v>
      </c>
      <c r="C1457" s="13" t="s">
        <v>837</v>
      </c>
      <c r="D1457" s="13">
        <v>-6</v>
      </c>
      <c r="E1457" s="13" t="s">
        <v>10</v>
      </c>
      <c r="F1457" s="13" t="s">
        <v>71</v>
      </c>
      <c r="G1457" s="13" t="s">
        <v>12</v>
      </c>
      <c r="H1457" s="13" t="s">
        <v>13</v>
      </c>
      <c r="I1457" s="13" t="s">
        <v>924</v>
      </c>
    </row>
    <row r="1458" spans="2:9" s="13" customFormat="1" hidden="1" outlineLevel="1" x14ac:dyDescent="0.3">
      <c r="B1458" s="13" t="s">
        <v>925</v>
      </c>
      <c r="C1458" s="13" t="s">
        <v>840</v>
      </c>
      <c r="D1458" s="13">
        <v>-6</v>
      </c>
      <c r="E1458" s="13" t="s">
        <v>10</v>
      </c>
      <c r="F1458" s="13" t="s">
        <v>71</v>
      </c>
      <c r="G1458" s="13" t="s">
        <v>12</v>
      </c>
      <c r="H1458" s="13" t="s">
        <v>13</v>
      </c>
      <c r="I1458" s="13" t="s">
        <v>438</v>
      </c>
    </row>
    <row r="1459" spans="2:9" s="13" customFormat="1" hidden="1" outlineLevel="1" x14ac:dyDescent="0.3">
      <c r="B1459" s="13" t="s">
        <v>926</v>
      </c>
      <c r="C1459" s="13" t="s">
        <v>842</v>
      </c>
      <c r="D1459" s="13">
        <v>-6</v>
      </c>
      <c r="E1459" s="13" t="s">
        <v>10</v>
      </c>
      <c r="F1459" s="13" t="s">
        <v>71</v>
      </c>
      <c r="G1459" s="13" t="s">
        <v>12</v>
      </c>
      <c r="H1459" s="13" t="s">
        <v>13</v>
      </c>
      <c r="I1459" s="13" t="s">
        <v>927</v>
      </c>
    </row>
    <row r="1460" spans="2:9" s="13" customFormat="1" hidden="1" outlineLevel="1" x14ac:dyDescent="0.3">
      <c r="B1460" s="13" t="s">
        <v>928</v>
      </c>
      <c r="C1460" s="13" t="s">
        <v>845</v>
      </c>
      <c r="D1460" s="13">
        <v>-6</v>
      </c>
      <c r="E1460" s="13" t="s">
        <v>10</v>
      </c>
      <c r="F1460" s="13" t="s">
        <v>71</v>
      </c>
      <c r="G1460" s="13" t="s">
        <v>12</v>
      </c>
      <c r="H1460" s="13" t="s">
        <v>13</v>
      </c>
      <c r="I1460" s="13" t="s">
        <v>929</v>
      </c>
    </row>
    <row r="1461" spans="2:9" s="13" customFormat="1" hidden="1" outlineLevel="1" x14ac:dyDescent="0.3">
      <c r="B1461" s="13" t="s">
        <v>930</v>
      </c>
      <c r="C1461" s="13" t="s">
        <v>848</v>
      </c>
      <c r="D1461" s="13">
        <v>-6</v>
      </c>
      <c r="E1461" s="13" t="s">
        <v>10</v>
      </c>
      <c r="F1461" s="13" t="s">
        <v>71</v>
      </c>
      <c r="G1461" s="13" t="s">
        <v>12</v>
      </c>
      <c r="H1461" s="13" t="s">
        <v>13</v>
      </c>
      <c r="I1461" s="13" t="s">
        <v>931</v>
      </c>
    </row>
    <row r="1462" spans="2:9" s="13" customFormat="1" hidden="1" outlineLevel="1" x14ac:dyDescent="0.3">
      <c r="B1462" s="13" t="s">
        <v>932</v>
      </c>
      <c r="C1462" s="13" t="s">
        <v>851</v>
      </c>
      <c r="D1462" s="13">
        <v>-6</v>
      </c>
      <c r="E1462" s="13" t="s">
        <v>10</v>
      </c>
      <c r="F1462" s="13" t="s">
        <v>71</v>
      </c>
      <c r="G1462" s="13" t="s">
        <v>12</v>
      </c>
      <c r="H1462" s="13" t="s">
        <v>13</v>
      </c>
      <c r="I1462" s="13" t="s">
        <v>933</v>
      </c>
    </row>
    <row r="1463" spans="2:9" s="13" customFormat="1" hidden="1" outlineLevel="1" x14ac:dyDescent="0.3">
      <c r="B1463" s="13" t="s">
        <v>934</v>
      </c>
      <c r="C1463" s="13" t="s">
        <v>854</v>
      </c>
      <c r="D1463" s="13">
        <v>-6</v>
      </c>
      <c r="E1463" s="13" t="s">
        <v>10</v>
      </c>
      <c r="F1463" s="13" t="s">
        <v>71</v>
      </c>
      <c r="G1463" s="13" t="s">
        <v>12</v>
      </c>
      <c r="H1463" s="13" t="s">
        <v>13</v>
      </c>
      <c r="I1463" s="13" t="s">
        <v>935</v>
      </c>
    </row>
    <row r="1464" spans="2:9" s="13" customFormat="1" hidden="1" outlineLevel="1" x14ac:dyDescent="0.3">
      <c r="B1464" s="13" t="s">
        <v>936</v>
      </c>
      <c r="C1464" s="13" t="s">
        <v>857</v>
      </c>
      <c r="D1464" s="13">
        <v>-6</v>
      </c>
      <c r="E1464" s="13" t="s">
        <v>10</v>
      </c>
      <c r="F1464" s="13" t="s">
        <v>71</v>
      </c>
      <c r="G1464" s="13" t="s">
        <v>12</v>
      </c>
      <c r="H1464" s="13" t="s">
        <v>13</v>
      </c>
      <c r="I1464" s="13" t="s">
        <v>937</v>
      </c>
    </row>
    <row r="1465" spans="2:9" s="13" customFormat="1" hidden="1" outlineLevel="1" x14ac:dyDescent="0.3">
      <c r="B1465" s="13" t="s">
        <v>938</v>
      </c>
      <c r="C1465" s="13" t="s">
        <v>860</v>
      </c>
      <c r="D1465" s="13">
        <v>-6</v>
      </c>
      <c r="E1465" s="13" t="s">
        <v>10</v>
      </c>
      <c r="F1465" s="13" t="s">
        <v>71</v>
      </c>
      <c r="G1465" s="13" t="s">
        <v>12</v>
      </c>
      <c r="H1465" s="13" t="s">
        <v>13</v>
      </c>
      <c r="I1465" s="13" t="s">
        <v>939</v>
      </c>
    </row>
    <row r="1466" spans="2:9" s="13" customFormat="1" hidden="1" outlineLevel="1" x14ac:dyDescent="0.3">
      <c r="B1466" s="13" t="s">
        <v>940</v>
      </c>
      <c r="C1466" s="13" t="s">
        <v>22</v>
      </c>
      <c r="D1466" s="13">
        <v>-6</v>
      </c>
      <c r="E1466" s="13" t="s">
        <v>10</v>
      </c>
      <c r="F1466" s="13" t="s">
        <v>71</v>
      </c>
      <c r="G1466" s="13" t="s">
        <v>12</v>
      </c>
      <c r="H1466" s="13" t="s">
        <v>13</v>
      </c>
      <c r="I1466" s="13" t="s">
        <v>78</v>
      </c>
    </row>
    <row r="1467" spans="2:9" s="13" customFormat="1" hidden="1" outlineLevel="1" x14ac:dyDescent="0.3">
      <c r="B1467" s="13" t="s">
        <v>941</v>
      </c>
      <c r="C1467" s="13" t="s">
        <v>195</v>
      </c>
      <c r="D1467" s="13">
        <v>-6</v>
      </c>
      <c r="E1467" s="13" t="s">
        <v>10</v>
      </c>
      <c r="F1467" s="13" t="s">
        <v>420</v>
      </c>
      <c r="G1467" s="13" t="s">
        <v>12</v>
      </c>
      <c r="H1467" s="13" t="s">
        <v>13</v>
      </c>
      <c r="I1467" s="13" t="s">
        <v>942</v>
      </c>
    </row>
    <row r="1468" spans="2:9" s="13" customFormat="1" hidden="1" outlineLevel="1" x14ac:dyDescent="0.3">
      <c r="B1468" s="13" t="s">
        <v>943</v>
      </c>
      <c r="C1468" s="13" t="s">
        <v>865</v>
      </c>
      <c r="D1468" s="13">
        <v>-6</v>
      </c>
      <c r="E1468" s="13" t="s">
        <v>10</v>
      </c>
      <c r="F1468" s="13" t="s">
        <v>71</v>
      </c>
      <c r="G1468" s="13" t="s">
        <v>12</v>
      </c>
      <c r="H1468" s="13" t="s">
        <v>13</v>
      </c>
      <c r="I1468" s="13" t="s">
        <v>944</v>
      </c>
    </row>
    <row r="1469" spans="2:9" s="13" customFormat="1" hidden="1" outlineLevel="1" x14ac:dyDescent="0.3">
      <c r="B1469" s="13" t="s">
        <v>945</v>
      </c>
      <c r="C1469" s="13" t="s">
        <v>195</v>
      </c>
      <c r="D1469" s="13">
        <v>-6</v>
      </c>
      <c r="E1469" s="13" t="s">
        <v>10</v>
      </c>
      <c r="F1469" s="13" t="s">
        <v>290</v>
      </c>
      <c r="G1469" s="13" t="s">
        <v>12</v>
      </c>
      <c r="H1469" s="13" t="s">
        <v>13</v>
      </c>
      <c r="I1469" s="13" t="s">
        <v>310</v>
      </c>
    </row>
    <row r="1470" spans="2:9" s="13" customFormat="1" hidden="1" outlineLevel="1" x14ac:dyDescent="0.3">
      <c r="B1470" s="13" t="s">
        <v>946</v>
      </c>
      <c r="C1470" s="13" t="s">
        <v>869</v>
      </c>
      <c r="D1470" s="13">
        <v>-6</v>
      </c>
      <c r="E1470" s="13" t="s">
        <v>10</v>
      </c>
      <c r="F1470" s="13" t="s">
        <v>71</v>
      </c>
      <c r="G1470" s="13" t="s">
        <v>12</v>
      </c>
      <c r="H1470" s="13" t="s">
        <v>13</v>
      </c>
      <c r="I1470" s="13" t="s">
        <v>947</v>
      </c>
    </row>
    <row r="1471" spans="2:9" s="13" customFormat="1" hidden="1" outlineLevel="1" x14ac:dyDescent="0.3">
      <c r="B1471" s="13" t="s">
        <v>948</v>
      </c>
      <c r="C1471" s="13" t="s">
        <v>872</v>
      </c>
      <c r="D1471" s="13">
        <v>-6</v>
      </c>
      <c r="E1471" s="13" t="s">
        <v>10</v>
      </c>
      <c r="F1471" s="13" t="s">
        <v>71</v>
      </c>
      <c r="G1471" s="13" t="s">
        <v>12</v>
      </c>
      <c r="H1471" s="13" t="s">
        <v>13</v>
      </c>
      <c r="I1471" s="13" t="s">
        <v>949</v>
      </c>
    </row>
    <row r="1472" spans="2:9" s="13" customFormat="1" hidden="1" outlineLevel="1" x14ac:dyDescent="0.3">
      <c r="B1472" s="13" t="s">
        <v>950</v>
      </c>
      <c r="C1472" s="13" t="s">
        <v>875</v>
      </c>
      <c r="D1472" s="13">
        <v>-6</v>
      </c>
      <c r="E1472" s="13" t="s">
        <v>10</v>
      </c>
      <c r="F1472" s="13" t="s">
        <v>71</v>
      </c>
      <c r="G1472" s="13" t="s">
        <v>12</v>
      </c>
      <c r="H1472" s="13" t="s">
        <v>13</v>
      </c>
      <c r="I1472" s="13" t="s">
        <v>80</v>
      </c>
    </row>
    <row r="1473" spans="2:9" s="13" customFormat="1" hidden="1" outlineLevel="1" x14ac:dyDescent="0.3">
      <c r="B1473" s="13" t="s">
        <v>951</v>
      </c>
      <c r="C1473" s="13" t="s">
        <v>877</v>
      </c>
      <c r="D1473" s="13">
        <v>-6</v>
      </c>
      <c r="E1473" s="13" t="s">
        <v>10</v>
      </c>
      <c r="F1473" s="13" t="s">
        <v>71</v>
      </c>
      <c r="G1473" s="13" t="s">
        <v>12</v>
      </c>
      <c r="H1473" s="13" t="s">
        <v>13</v>
      </c>
      <c r="I1473" s="13" t="s">
        <v>952</v>
      </c>
    </row>
    <row r="1474" spans="2:9" s="13" customFormat="1" hidden="1" outlineLevel="1" x14ac:dyDescent="0.3">
      <c r="B1474" s="13" t="s">
        <v>953</v>
      </c>
      <c r="C1474" s="13" t="s">
        <v>954</v>
      </c>
      <c r="E1474" s="13" t="s">
        <v>10</v>
      </c>
      <c r="F1474" s="13" t="s">
        <v>11</v>
      </c>
      <c r="G1474" s="13" t="s">
        <v>13</v>
      </c>
      <c r="H1474" s="13" t="s">
        <v>13</v>
      </c>
      <c r="I1474" s="13" t="s">
        <v>955</v>
      </c>
    </row>
    <row r="1475" spans="2:9" s="13" customFormat="1" hidden="1" outlineLevel="1" x14ac:dyDescent="0.3">
      <c r="B1475" s="13" t="s">
        <v>956</v>
      </c>
      <c r="C1475" s="13" t="s">
        <v>957</v>
      </c>
      <c r="E1475" s="13" t="s">
        <v>10</v>
      </c>
      <c r="F1475" s="13" t="s">
        <v>11</v>
      </c>
      <c r="G1475" s="13" t="s">
        <v>13</v>
      </c>
      <c r="H1475" s="13" t="s">
        <v>13</v>
      </c>
      <c r="I1475" s="13" t="s">
        <v>958</v>
      </c>
    </row>
    <row r="1476" spans="2:9" s="13" customFormat="1" hidden="1" outlineLevel="1" x14ac:dyDescent="0.3">
      <c r="B1476" s="13" t="s">
        <v>959</v>
      </c>
      <c r="C1476" s="13" t="s">
        <v>960</v>
      </c>
      <c r="E1476" s="13" t="s">
        <v>10</v>
      </c>
      <c r="F1476" s="13" t="s">
        <v>11</v>
      </c>
      <c r="G1476" s="13" t="s">
        <v>13</v>
      </c>
      <c r="H1476" s="13" t="s">
        <v>13</v>
      </c>
      <c r="I1476" s="13" t="s">
        <v>961</v>
      </c>
    </row>
    <row r="1477" spans="2:9" s="13" customFormat="1" hidden="1" outlineLevel="1" x14ac:dyDescent="0.3">
      <c r="B1477" s="13" t="s">
        <v>962</v>
      </c>
      <c r="C1477" s="13" t="s">
        <v>963</v>
      </c>
      <c r="E1477" s="13" t="s">
        <v>10</v>
      </c>
      <c r="F1477" s="13" t="s">
        <v>11</v>
      </c>
      <c r="G1477" s="13" t="s">
        <v>13</v>
      </c>
      <c r="H1477" s="13" t="s">
        <v>13</v>
      </c>
      <c r="I1477" s="13" t="s">
        <v>961</v>
      </c>
    </row>
    <row r="1478" spans="2:9" s="13" customFormat="1" hidden="1" outlineLevel="1" x14ac:dyDescent="0.3">
      <c r="B1478" s="13" t="s">
        <v>964</v>
      </c>
      <c r="C1478" s="13" t="s">
        <v>965</v>
      </c>
      <c r="E1478" s="13" t="s">
        <v>10</v>
      </c>
      <c r="F1478" s="13" t="s">
        <v>11</v>
      </c>
      <c r="G1478" s="13" t="s">
        <v>13</v>
      </c>
      <c r="H1478" s="13" t="s">
        <v>13</v>
      </c>
      <c r="I1478" s="13" t="s">
        <v>961</v>
      </c>
    </row>
    <row r="1479" spans="2:9" s="13" customFormat="1" hidden="1" outlineLevel="1" x14ac:dyDescent="0.3">
      <c r="B1479" s="13" t="s">
        <v>966</v>
      </c>
      <c r="C1479" s="13" t="s">
        <v>967</v>
      </c>
      <c r="E1479" s="13" t="s">
        <v>10</v>
      </c>
      <c r="F1479" s="13" t="s">
        <v>11</v>
      </c>
      <c r="G1479" s="13" t="s">
        <v>13</v>
      </c>
      <c r="H1479" s="13" t="s">
        <v>13</v>
      </c>
      <c r="I1479" s="13" t="s">
        <v>968</v>
      </c>
    </row>
    <row r="1480" spans="2:9" s="13" customFormat="1" hidden="1" outlineLevel="1" x14ac:dyDescent="0.3">
      <c r="B1480" s="13" t="s">
        <v>969</v>
      </c>
      <c r="C1480" s="13" t="s">
        <v>970</v>
      </c>
      <c r="E1480" s="13" t="s">
        <v>10</v>
      </c>
      <c r="F1480" s="13" t="s">
        <v>11</v>
      </c>
      <c r="G1480" s="13" t="s">
        <v>13</v>
      </c>
      <c r="H1480" s="13" t="s">
        <v>13</v>
      </c>
      <c r="I1480" s="13" t="s">
        <v>968</v>
      </c>
    </row>
    <row r="1481" spans="2:9" s="13" customFormat="1" hidden="1" outlineLevel="1" x14ac:dyDescent="0.3">
      <c r="B1481" s="13" t="s">
        <v>971</v>
      </c>
      <c r="C1481" s="13" t="s">
        <v>972</v>
      </c>
      <c r="E1481" s="13" t="s">
        <v>10</v>
      </c>
      <c r="F1481" s="13" t="s">
        <v>11</v>
      </c>
      <c r="G1481" s="13" t="s">
        <v>13</v>
      </c>
      <c r="H1481" s="13" t="s">
        <v>13</v>
      </c>
      <c r="I1481" s="13" t="s">
        <v>968</v>
      </c>
    </row>
    <row r="1482" spans="2:9" s="13" customFormat="1" hidden="1" outlineLevel="1" x14ac:dyDescent="0.3">
      <c r="B1482" s="13" t="s">
        <v>973</v>
      </c>
      <c r="C1482" s="13" t="s">
        <v>974</v>
      </c>
      <c r="E1482" s="13" t="s">
        <v>10</v>
      </c>
      <c r="F1482" s="13" t="s">
        <v>11</v>
      </c>
      <c r="G1482" s="13" t="s">
        <v>13</v>
      </c>
      <c r="H1482" s="13" t="s">
        <v>13</v>
      </c>
      <c r="I1482" s="13" t="s">
        <v>975</v>
      </c>
    </row>
    <row r="1483" spans="2:9" s="13" customFormat="1" hidden="1" outlineLevel="1" x14ac:dyDescent="0.3">
      <c r="B1483" s="13" t="s">
        <v>976</v>
      </c>
      <c r="C1483" s="13" t="s">
        <v>977</v>
      </c>
      <c r="E1483" s="13" t="s">
        <v>10</v>
      </c>
      <c r="F1483" s="13" t="s">
        <v>11</v>
      </c>
      <c r="G1483" s="13" t="s">
        <v>13</v>
      </c>
      <c r="H1483" s="13" t="s">
        <v>13</v>
      </c>
      <c r="I1483" s="13" t="s">
        <v>978</v>
      </c>
    </row>
    <row r="1484" spans="2:9" s="13" customFormat="1" hidden="1" outlineLevel="1" x14ac:dyDescent="0.3">
      <c r="B1484" s="13" t="s">
        <v>979</v>
      </c>
      <c r="C1484" s="13" t="s">
        <v>980</v>
      </c>
      <c r="E1484" s="13" t="s">
        <v>10</v>
      </c>
      <c r="F1484" s="13" t="s">
        <v>11</v>
      </c>
      <c r="G1484" s="13" t="s">
        <v>13</v>
      </c>
      <c r="H1484" s="13" t="s">
        <v>13</v>
      </c>
      <c r="I1484" s="13" t="s">
        <v>978</v>
      </c>
    </row>
    <row r="1485" spans="2:9" s="13" customFormat="1" hidden="1" outlineLevel="1" x14ac:dyDescent="0.3">
      <c r="B1485" s="13" t="s">
        <v>981</v>
      </c>
      <c r="C1485" s="13" t="s">
        <v>982</v>
      </c>
      <c r="E1485" s="13" t="s">
        <v>10</v>
      </c>
      <c r="F1485" s="13" t="s">
        <v>11</v>
      </c>
      <c r="G1485" s="13" t="s">
        <v>13</v>
      </c>
      <c r="H1485" s="13" t="s">
        <v>13</v>
      </c>
      <c r="I1485" s="13" t="s">
        <v>983</v>
      </c>
    </row>
    <row r="1486" spans="2:9" s="13" customFormat="1" hidden="1" outlineLevel="1" x14ac:dyDescent="0.3">
      <c r="B1486" s="13" t="s">
        <v>984</v>
      </c>
      <c r="C1486" s="13" t="s">
        <v>985</v>
      </c>
      <c r="E1486" s="13" t="s">
        <v>10</v>
      </c>
      <c r="F1486" s="13" t="s">
        <v>11</v>
      </c>
      <c r="G1486" s="13" t="s">
        <v>13</v>
      </c>
      <c r="H1486" s="13" t="s">
        <v>13</v>
      </c>
      <c r="I1486" s="13" t="s">
        <v>986</v>
      </c>
    </row>
    <row r="1487" spans="2:9" s="13" customFormat="1" hidden="1" outlineLevel="1" x14ac:dyDescent="0.3">
      <c r="B1487" s="13" t="s">
        <v>987</v>
      </c>
      <c r="C1487" s="13" t="s">
        <v>988</v>
      </c>
      <c r="E1487" s="13" t="s">
        <v>10</v>
      </c>
      <c r="F1487" s="13" t="s">
        <v>11</v>
      </c>
      <c r="G1487" s="13" t="s">
        <v>13</v>
      </c>
      <c r="H1487" s="13" t="s">
        <v>13</v>
      </c>
      <c r="I1487" s="13" t="s">
        <v>986</v>
      </c>
    </row>
    <row r="1488" spans="2:9" s="13" customFormat="1" hidden="1" outlineLevel="1" x14ac:dyDescent="0.3">
      <c r="B1488" s="13" t="s">
        <v>989</v>
      </c>
      <c r="C1488" s="13" t="s">
        <v>990</v>
      </c>
      <c r="E1488" s="13" t="s">
        <v>10</v>
      </c>
      <c r="F1488" s="13" t="s">
        <v>11</v>
      </c>
      <c r="G1488" s="13" t="s">
        <v>13</v>
      </c>
      <c r="H1488" s="13" t="s">
        <v>13</v>
      </c>
      <c r="I1488" s="13" t="s">
        <v>991</v>
      </c>
    </row>
    <row r="1489" spans="2:9" s="13" customFormat="1" hidden="1" outlineLevel="1" x14ac:dyDescent="0.3">
      <c r="B1489" s="13" t="s">
        <v>992</v>
      </c>
      <c r="C1489" s="13" t="s">
        <v>993</v>
      </c>
      <c r="E1489" s="13" t="s">
        <v>10</v>
      </c>
      <c r="F1489" s="13" t="s">
        <v>11</v>
      </c>
      <c r="G1489" s="13" t="s">
        <v>13</v>
      </c>
      <c r="H1489" s="13" t="s">
        <v>13</v>
      </c>
      <c r="I1489" s="13" t="s">
        <v>994</v>
      </c>
    </row>
    <row r="1490" spans="2:9" s="13" customFormat="1" hidden="1" outlineLevel="1" x14ac:dyDescent="0.3">
      <c r="B1490" s="13" t="s">
        <v>995</v>
      </c>
      <c r="C1490" s="13" t="s">
        <v>996</v>
      </c>
      <c r="E1490" s="13" t="s">
        <v>10</v>
      </c>
      <c r="F1490" s="13" t="s">
        <v>11</v>
      </c>
      <c r="G1490" s="13" t="s">
        <v>13</v>
      </c>
      <c r="H1490" s="13" t="s">
        <v>13</v>
      </c>
      <c r="I1490" s="13" t="s">
        <v>997</v>
      </c>
    </row>
    <row r="1491" spans="2:9" s="13" customFormat="1" hidden="1" outlineLevel="1" x14ac:dyDescent="0.3">
      <c r="B1491" s="13" t="s">
        <v>998</v>
      </c>
      <c r="C1491" s="13" t="s">
        <v>999</v>
      </c>
      <c r="E1491" s="13" t="s">
        <v>10</v>
      </c>
      <c r="F1491" s="13" t="s">
        <v>11</v>
      </c>
      <c r="G1491" s="13" t="s">
        <v>13</v>
      </c>
      <c r="H1491" s="13" t="s">
        <v>13</v>
      </c>
      <c r="I1491" s="13" t="s">
        <v>1000</v>
      </c>
    </row>
    <row r="1492" spans="2:9" s="13" customFormat="1" hidden="1" outlineLevel="1" x14ac:dyDescent="0.3">
      <c r="B1492" s="13" t="s">
        <v>1001</v>
      </c>
      <c r="C1492" s="13" t="s">
        <v>1002</v>
      </c>
      <c r="E1492" s="13" t="s">
        <v>10</v>
      </c>
      <c r="F1492" s="13" t="s">
        <v>11</v>
      </c>
      <c r="G1492" s="13" t="s">
        <v>13</v>
      </c>
      <c r="H1492" s="13" t="s">
        <v>13</v>
      </c>
      <c r="I1492" s="13" t="s">
        <v>1000</v>
      </c>
    </row>
    <row r="1493" spans="2:9" s="13" customFormat="1" hidden="1" outlineLevel="1" x14ac:dyDescent="0.3">
      <c r="B1493" s="13" t="s">
        <v>1003</v>
      </c>
      <c r="C1493" s="13" t="s">
        <v>1004</v>
      </c>
      <c r="E1493" s="13" t="s">
        <v>10</v>
      </c>
      <c r="F1493" s="13" t="s">
        <v>11</v>
      </c>
      <c r="G1493" s="13" t="s">
        <v>13</v>
      </c>
      <c r="H1493" s="13" t="s">
        <v>13</v>
      </c>
      <c r="I1493" s="13" t="s">
        <v>1000</v>
      </c>
    </row>
    <row r="1494" spans="2:9" s="13" customFormat="1" hidden="1" outlineLevel="1" x14ac:dyDescent="0.3">
      <c r="B1494" s="13" t="s">
        <v>1005</v>
      </c>
      <c r="C1494" s="13" t="s">
        <v>1006</v>
      </c>
      <c r="E1494" s="13" t="s">
        <v>10</v>
      </c>
      <c r="F1494" s="13" t="s">
        <v>11</v>
      </c>
      <c r="G1494" s="13" t="s">
        <v>13</v>
      </c>
      <c r="H1494" s="13" t="s">
        <v>13</v>
      </c>
      <c r="I1494" s="13" t="s">
        <v>1007</v>
      </c>
    </row>
    <row r="1495" spans="2:9" s="13" customFormat="1" hidden="1" outlineLevel="1" x14ac:dyDescent="0.3">
      <c r="B1495" s="13" t="s">
        <v>1008</v>
      </c>
      <c r="C1495" s="13" t="s">
        <v>1009</v>
      </c>
      <c r="E1495" s="13" t="s">
        <v>10</v>
      </c>
      <c r="F1495" s="13" t="s">
        <v>11</v>
      </c>
      <c r="G1495" s="13" t="s">
        <v>13</v>
      </c>
      <c r="H1495" s="13" t="s">
        <v>13</v>
      </c>
      <c r="I1495" s="13" t="s">
        <v>1007</v>
      </c>
    </row>
    <row r="1496" spans="2:9" s="13" customFormat="1" hidden="1" outlineLevel="1" x14ac:dyDescent="0.3">
      <c r="B1496" s="13" t="s">
        <v>1010</v>
      </c>
      <c r="C1496" s="13" t="s">
        <v>1011</v>
      </c>
      <c r="E1496" s="13" t="s">
        <v>10</v>
      </c>
      <c r="F1496" s="13" t="s">
        <v>11</v>
      </c>
      <c r="G1496" s="13" t="s">
        <v>13</v>
      </c>
      <c r="H1496" s="13" t="s">
        <v>13</v>
      </c>
      <c r="I1496" s="13" t="s">
        <v>1012</v>
      </c>
    </row>
    <row r="1497" spans="2:9" s="13" customFormat="1" hidden="1" outlineLevel="1" x14ac:dyDescent="0.3">
      <c r="B1497" s="13" t="s">
        <v>1013</v>
      </c>
      <c r="C1497" s="13" t="s">
        <v>1014</v>
      </c>
      <c r="E1497" s="13" t="s">
        <v>10</v>
      </c>
      <c r="F1497" s="13" t="s">
        <v>11</v>
      </c>
      <c r="G1497" s="13" t="s">
        <v>13</v>
      </c>
      <c r="H1497" s="13" t="s">
        <v>13</v>
      </c>
      <c r="I1497" s="13" t="s">
        <v>1015</v>
      </c>
    </row>
    <row r="1498" spans="2:9" s="13" customFormat="1" hidden="1" outlineLevel="1" x14ac:dyDescent="0.3">
      <c r="B1498" s="13" t="s">
        <v>1016</v>
      </c>
      <c r="C1498" s="13" t="s">
        <v>1017</v>
      </c>
      <c r="E1498" s="13" t="s">
        <v>10</v>
      </c>
      <c r="F1498" s="13" t="s">
        <v>11</v>
      </c>
      <c r="G1498" s="13" t="s">
        <v>13</v>
      </c>
      <c r="H1498" s="13" t="s">
        <v>13</v>
      </c>
      <c r="I1498" s="13" t="s">
        <v>1018</v>
      </c>
    </row>
    <row r="1499" spans="2:9" s="13" customFormat="1" hidden="1" outlineLevel="1" x14ac:dyDescent="0.3">
      <c r="B1499" s="13" t="s">
        <v>1019</v>
      </c>
      <c r="C1499" s="13" t="s">
        <v>1020</v>
      </c>
      <c r="E1499" s="13" t="s">
        <v>10</v>
      </c>
      <c r="F1499" s="13" t="s">
        <v>11</v>
      </c>
      <c r="G1499" s="13" t="s">
        <v>13</v>
      </c>
      <c r="H1499" s="13" t="s">
        <v>13</v>
      </c>
      <c r="I1499" s="13" t="s">
        <v>1018</v>
      </c>
    </row>
    <row r="1500" spans="2:9" s="13" customFormat="1" hidden="1" outlineLevel="1" x14ac:dyDescent="0.3">
      <c r="B1500" s="13" t="s">
        <v>1021</v>
      </c>
      <c r="C1500" s="13" t="s">
        <v>1022</v>
      </c>
      <c r="E1500" s="13" t="s">
        <v>10</v>
      </c>
      <c r="F1500" s="13" t="s">
        <v>11</v>
      </c>
      <c r="G1500" s="13" t="s">
        <v>13</v>
      </c>
      <c r="H1500" s="13" t="s">
        <v>13</v>
      </c>
      <c r="I1500" s="13" t="s">
        <v>1023</v>
      </c>
    </row>
    <row r="1501" spans="2:9" s="13" customFormat="1" hidden="1" outlineLevel="1" x14ac:dyDescent="0.3">
      <c r="B1501" s="13" t="s">
        <v>1024</v>
      </c>
      <c r="C1501" s="13" t="s">
        <v>1025</v>
      </c>
      <c r="E1501" s="13" t="s">
        <v>10</v>
      </c>
      <c r="F1501" s="13" t="s">
        <v>11</v>
      </c>
      <c r="G1501" s="13" t="s">
        <v>13</v>
      </c>
      <c r="H1501" s="13" t="s">
        <v>13</v>
      </c>
      <c r="I1501" s="13" t="s">
        <v>1026</v>
      </c>
    </row>
    <row r="1502" spans="2:9" s="13" customFormat="1" hidden="1" outlineLevel="1" x14ac:dyDescent="0.3">
      <c r="B1502" s="13" t="s">
        <v>1027</v>
      </c>
      <c r="C1502" s="13" t="s">
        <v>1028</v>
      </c>
      <c r="E1502" s="13" t="s">
        <v>10</v>
      </c>
      <c r="F1502" s="13" t="s">
        <v>11</v>
      </c>
      <c r="G1502" s="13" t="s">
        <v>13</v>
      </c>
      <c r="H1502" s="13" t="s">
        <v>13</v>
      </c>
      <c r="I1502" s="13" t="s">
        <v>1029</v>
      </c>
    </row>
    <row r="1503" spans="2:9" s="13" customFormat="1" hidden="1" outlineLevel="1" x14ac:dyDescent="0.3">
      <c r="B1503" s="13" t="s">
        <v>1030</v>
      </c>
      <c r="C1503" s="13" t="s">
        <v>1031</v>
      </c>
      <c r="E1503" s="13" t="s">
        <v>10</v>
      </c>
      <c r="F1503" s="13" t="s">
        <v>11</v>
      </c>
      <c r="G1503" s="13" t="s">
        <v>13</v>
      </c>
      <c r="H1503" s="13" t="s">
        <v>13</v>
      </c>
      <c r="I1503" s="13" t="s">
        <v>1032</v>
      </c>
    </row>
    <row r="1504" spans="2:9" s="13" customFormat="1" hidden="1" outlineLevel="1" x14ac:dyDescent="0.3">
      <c r="B1504" s="13" t="s">
        <v>1033</v>
      </c>
      <c r="C1504" s="13" t="s">
        <v>1034</v>
      </c>
      <c r="E1504" s="13" t="s">
        <v>10</v>
      </c>
      <c r="F1504" s="13" t="s">
        <v>11</v>
      </c>
      <c r="G1504" s="13" t="s">
        <v>13</v>
      </c>
      <c r="H1504" s="13" t="s">
        <v>13</v>
      </c>
      <c r="I1504" s="13" t="s">
        <v>1035</v>
      </c>
    </row>
    <row r="1505" spans="2:9" s="13" customFormat="1" hidden="1" outlineLevel="1" x14ac:dyDescent="0.3">
      <c r="B1505" s="13" t="s">
        <v>1036</v>
      </c>
      <c r="C1505" s="13" t="s">
        <v>1037</v>
      </c>
      <c r="E1505" s="13" t="s">
        <v>10</v>
      </c>
      <c r="F1505" s="13" t="s">
        <v>11</v>
      </c>
      <c r="G1505" s="13" t="s">
        <v>13</v>
      </c>
      <c r="H1505" s="13" t="s">
        <v>13</v>
      </c>
      <c r="I1505" s="13" t="s">
        <v>1038</v>
      </c>
    </row>
    <row r="1506" spans="2:9" s="13" customFormat="1" hidden="1" outlineLevel="1" x14ac:dyDescent="0.3">
      <c r="B1506" s="13" t="s">
        <v>1039</v>
      </c>
      <c r="C1506" s="13" t="s">
        <v>1040</v>
      </c>
      <c r="E1506" s="13" t="s">
        <v>10</v>
      </c>
      <c r="F1506" s="13" t="s">
        <v>11</v>
      </c>
      <c r="G1506" s="13" t="s">
        <v>13</v>
      </c>
      <c r="H1506" s="13" t="s">
        <v>13</v>
      </c>
      <c r="I1506" s="13" t="s">
        <v>1041</v>
      </c>
    </row>
    <row r="1507" spans="2:9" s="13" customFormat="1" hidden="1" outlineLevel="1" x14ac:dyDescent="0.3">
      <c r="B1507" s="13" t="s">
        <v>1042</v>
      </c>
      <c r="C1507" s="13" t="s">
        <v>1043</v>
      </c>
      <c r="E1507" s="13" t="s">
        <v>10</v>
      </c>
      <c r="F1507" s="13" t="s">
        <v>11</v>
      </c>
      <c r="G1507" s="13" t="s">
        <v>13</v>
      </c>
      <c r="H1507" s="13" t="s">
        <v>13</v>
      </c>
      <c r="I1507" s="13" t="s">
        <v>1041</v>
      </c>
    </row>
    <row r="1508" spans="2:9" s="13" customFormat="1" hidden="1" outlineLevel="1" x14ac:dyDescent="0.3">
      <c r="B1508" s="13" t="s">
        <v>1044</v>
      </c>
      <c r="C1508" s="13" t="s">
        <v>1045</v>
      </c>
      <c r="E1508" s="13" t="s">
        <v>10</v>
      </c>
      <c r="F1508" s="13" t="s">
        <v>11</v>
      </c>
      <c r="G1508" s="13" t="s">
        <v>13</v>
      </c>
      <c r="H1508" s="13" t="s">
        <v>13</v>
      </c>
      <c r="I1508" s="13" t="s">
        <v>1041</v>
      </c>
    </row>
    <row r="1509" spans="2:9" s="13" customFormat="1" hidden="1" outlineLevel="1" x14ac:dyDescent="0.3">
      <c r="B1509" s="13" t="s">
        <v>1046</v>
      </c>
      <c r="C1509" s="13" t="s">
        <v>1047</v>
      </c>
      <c r="E1509" s="13" t="s">
        <v>10</v>
      </c>
      <c r="F1509" s="13" t="s">
        <v>11</v>
      </c>
      <c r="G1509" s="13" t="s">
        <v>13</v>
      </c>
      <c r="H1509" s="13" t="s">
        <v>13</v>
      </c>
      <c r="I1509" s="13" t="s">
        <v>1048</v>
      </c>
    </row>
    <row r="1510" spans="2:9" s="13" customFormat="1" hidden="1" outlineLevel="1" x14ac:dyDescent="0.3">
      <c r="B1510" s="13" t="s">
        <v>1049</v>
      </c>
      <c r="C1510" s="13" t="s">
        <v>1050</v>
      </c>
      <c r="E1510" s="13" t="s">
        <v>10</v>
      </c>
      <c r="F1510" s="13" t="s">
        <v>11</v>
      </c>
      <c r="G1510" s="13" t="s">
        <v>13</v>
      </c>
      <c r="H1510" s="13" t="s">
        <v>13</v>
      </c>
      <c r="I1510" s="13" t="s">
        <v>1051</v>
      </c>
    </row>
    <row r="1511" spans="2:9" s="13" customFormat="1" hidden="1" outlineLevel="1" x14ac:dyDescent="0.3">
      <c r="B1511" s="13" t="s">
        <v>1052</v>
      </c>
      <c r="C1511" s="13" t="s">
        <v>1053</v>
      </c>
      <c r="E1511" s="13" t="s">
        <v>10</v>
      </c>
      <c r="F1511" s="13" t="s">
        <v>11</v>
      </c>
      <c r="G1511" s="13" t="s">
        <v>13</v>
      </c>
      <c r="H1511" s="13" t="s">
        <v>13</v>
      </c>
      <c r="I1511" s="13" t="s">
        <v>1054</v>
      </c>
    </row>
    <row r="1512" spans="2:9" s="13" customFormat="1" hidden="1" outlineLevel="1" x14ac:dyDescent="0.3">
      <c r="B1512" s="13" t="s">
        <v>1055</v>
      </c>
      <c r="C1512" s="13" t="s">
        <v>1056</v>
      </c>
      <c r="E1512" s="13" t="s">
        <v>10</v>
      </c>
      <c r="F1512" s="13" t="s">
        <v>11</v>
      </c>
      <c r="G1512" s="13" t="s">
        <v>13</v>
      </c>
      <c r="H1512" s="13" t="s">
        <v>13</v>
      </c>
      <c r="I1512" s="13" t="s">
        <v>1054</v>
      </c>
    </row>
    <row r="1513" spans="2:9" s="13" customFormat="1" hidden="1" outlineLevel="1" x14ac:dyDescent="0.3">
      <c r="B1513" s="13" t="s">
        <v>1057</v>
      </c>
      <c r="C1513" s="13" t="s">
        <v>1058</v>
      </c>
      <c r="E1513" s="13" t="s">
        <v>10</v>
      </c>
      <c r="F1513" s="13" t="s">
        <v>11</v>
      </c>
      <c r="G1513" s="13" t="s">
        <v>13</v>
      </c>
      <c r="H1513" s="13" t="s">
        <v>13</v>
      </c>
      <c r="I1513" s="13" t="s">
        <v>1059</v>
      </c>
    </row>
    <row r="1514" spans="2:9" s="13" customFormat="1" hidden="1" outlineLevel="1" x14ac:dyDescent="0.3">
      <c r="B1514" s="13" t="s">
        <v>1060</v>
      </c>
      <c r="C1514" s="13" t="s">
        <v>1061</v>
      </c>
      <c r="E1514" s="13" t="s">
        <v>10</v>
      </c>
      <c r="F1514" s="13" t="s">
        <v>11</v>
      </c>
      <c r="G1514" s="13" t="s">
        <v>13</v>
      </c>
      <c r="H1514" s="13" t="s">
        <v>13</v>
      </c>
      <c r="I1514" s="13" t="s">
        <v>1062</v>
      </c>
    </row>
    <row r="1515" spans="2:9" s="13" customFormat="1" hidden="1" outlineLevel="1" x14ac:dyDescent="0.3">
      <c r="B1515" s="13" t="s">
        <v>1063</v>
      </c>
      <c r="C1515" s="13" t="s">
        <v>1064</v>
      </c>
      <c r="E1515" s="13" t="s">
        <v>10</v>
      </c>
      <c r="F1515" s="13" t="s">
        <v>11</v>
      </c>
      <c r="G1515" s="13" t="s">
        <v>13</v>
      </c>
      <c r="H1515" s="13" t="s">
        <v>13</v>
      </c>
      <c r="I1515" s="13" t="s">
        <v>1065</v>
      </c>
    </row>
    <row r="1516" spans="2:9" s="13" customFormat="1" hidden="1" outlineLevel="1" x14ac:dyDescent="0.3">
      <c r="B1516" s="13" t="s">
        <v>1066</v>
      </c>
      <c r="C1516" s="13" t="s">
        <v>1067</v>
      </c>
      <c r="E1516" s="13" t="s">
        <v>10</v>
      </c>
      <c r="F1516" s="13" t="s">
        <v>11</v>
      </c>
      <c r="G1516" s="13" t="s">
        <v>13</v>
      </c>
      <c r="H1516" s="13" t="s">
        <v>13</v>
      </c>
      <c r="I1516" s="13" t="s">
        <v>1068</v>
      </c>
    </row>
    <row r="1517" spans="2:9" s="13" customFormat="1" hidden="1" outlineLevel="1" x14ac:dyDescent="0.3">
      <c r="B1517" s="13" t="s">
        <v>1069</v>
      </c>
      <c r="C1517" s="13" t="s">
        <v>1070</v>
      </c>
      <c r="E1517" s="13" t="s">
        <v>10</v>
      </c>
      <c r="F1517" s="13" t="s">
        <v>11</v>
      </c>
      <c r="G1517" s="13" t="s">
        <v>13</v>
      </c>
      <c r="H1517" s="13" t="s">
        <v>13</v>
      </c>
      <c r="I1517" s="13" t="s">
        <v>1071</v>
      </c>
    </row>
    <row r="1518" spans="2:9" s="13" customFormat="1" hidden="1" outlineLevel="1" x14ac:dyDescent="0.3">
      <c r="B1518" s="13" t="s">
        <v>1072</v>
      </c>
      <c r="C1518" s="13" t="s">
        <v>1073</v>
      </c>
      <c r="E1518" s="13" t="s">
        <v>10</v>
      </c>
      <c r="F1518" s="13" t="s">
        <v>11</v>
      </c>
      <c r="G1518" s="13" t="s">
        <v>13</v>
      </c>
      <c r="H1518" s="13" t="s">
        <v>13</v>
      </c>
      <c r="I1518" s="13" t="s">
        <v>1074</v>
      </c>
    </row>
    <row r="1519" spans="2:9" s="13" customFormat="1" hidden="1" outlineLevel="1" x14ac:dyDescent="0.3">
      <c r="B1519" s="13" t="s">
        <v>1075</v>
      </c>
      <c r="C1519" s="13" t="s">
        <v>1076</v>
      </c>
      <c r="E1519" s="13" t="s">
        <v>10</v>
      </c>
      <c r="F1519" s="13" t="s">
        <v>11</v>
      </c>
      <c r="G1519" s="13" t="s">
        <v>13</v>
      </c>
      <c r="H1519" s="13" t="s">
        <v>13</v>
      </c>
      <c r="I1519" s="13" t="s">
        <v>1077</v>
      </c>
    </row>
    <row r="1520" spans="2:9" s="13" customFormat="1" hidden="1" outlineLevel="1" x14ac:dyDescent="0.3">
      <c r="B1520" s="13" t="s">
        <v>1078</v>
      </c>
      <c r="C1520" s="13" t="s">
        <v>1079</v>
      </c>
      <c r="E1520" s="13" t="s">
        <v>10</v>
      </c>
      <c r="F1520" s="13" t="s">
        <v>11</v>
      </c>
      <c r="G1520" s="13" t="s">
        <v>13</v>
      </c>
      <c r="H1520" s="13" t="s">
        <v>13</v>
      </c>
      <c r="I1520" s="13" t="s">
        <v>1077</v>
      </c>
    </row>
    <row r="1521" spans="2:9" s="13" customFormat="1" hidden="1" outlineLevel="1" x14ac:dyDescent="0.3">
      <c r="B1521" s="13" t="s">
        <v>1080</v>
      </c>
      <c r="C1521" s="13" t="s">
        <v>1081</v>
      </c>
      <c r="E1521" s="13" t="s">
        <v>10</v>
      </c>
      <c r="F1521" s="13" t="s">
        <v>11</v>
      </c>
      <c r="G1521" s="13" t="s">
        <v>13</v>
      </c>
      <c r="H1521" s="13" t="s">
        <v>13</v>
      </c>
      <c r="I1521" s="13" t="s">
        <v>1082</v>
      </c>
    </row>
    <row r="1522" spans="2:9" s="13" customFormat="1" hidden="1" outlineLevel="1" x14ac:dyDescent="0.3">
      <c r="B1522" s="13" t="s">
        <v>1083</v>
      </c>
      <c r="C1522" s="13" t="s">
        <v>1084</v>
      </c>
      <c r="E1522" s="13" t="s">
        <v>10</v>
      </c>
      <c r="F1522" s="13" t="s">
        <v>11</v>
      </c>
      <c r="G1522" s="13" t="s">
        <v>13</v>
      </c>
      <c r="H1522" s="13" t="s">
        <v>13</v>
      </c>
      <c r="I1522" s="13" t="s">
        <v>1085</v>
      </c>
    </row>
    <row r="1523" spans="2:9" s="13" customFormat="1" hidden="1" outlineLevel="1" x14ac:dyDescent="0.3">
      <c r="B1523" s="13" t="s">
        <v>1086</v>
      </c>
      <c r="C1523" s="13" t="s">
        <v>1087</v>
      </c>
      <c r="E1523" s="13" t="s">
        <v>10</v>
      </c>
      <c r="F1523" s="13" t="s">
        <v>11</v>
      </c>
      <c r="G1523" s="13" t="s">
        <v>13</v>
      </c>
      <c r="H1523" s="13" t="s">
        <v>13</v>
      </c>
      <c r="I1523" s="13" t="s">
        <v>1088</v>
      </c>
    </row>
    <row r="1524" spans="2:9" s="13" customFormat="1" hidden="1" outlineLevel="1" x14ac:dyDescent="0.3">
      <c r="B1524" s="13" t="s">
        <v>1089</v>
      </c>
      <c r="C1524" s="13" t="s">
        <v>1090</v>
      </c>
      <c r="E1524" s="13" t="s">
        <v>10</v>
      </c>
      <c r="F1524" s="13" t="s">
        <v>11</v>
      </c>
      <c r="G1524" s="13" t="s">
        <v>13</v>
      </c>
      <c r="H1524" s="13" t="s">
        <v>13</v>
      </c>
      <c r="I1524" s="13" t="s">
        <v>1091</v>
      </c>
    </row>
    <row r="1525" spans="2:9" s="13" customFormat="1" hidden="1" outlineLevel="1" x14ac:dyDescent="0.3">
      <c r="B1525" s="13" t="s">
        <v>1092</v>
      </c>
      <c r="C1525" s="13" t="s">
        <v>1093</v>
      </c>
      <c r="E1525" s="13" t="s">
        <v>10</v>
      </c>
      <c r="F1525" s="13" t="s">
        <v>11</v>
      </c>
      <c r="G1525" s="13" t="s">
        <v>13</v>
      </c>
      <c r="H1525" s="13" t="s">
        <v>13</v>
      </c>
      <c r="I1525" s="13" t="s">
        <v>1091</v>
      </c>
    </row>
    <row r="1526" spans="2:9" s="13" customFormat="1" hidden="1" outlineLevel="1" x14ac:dyDescent="0.3">
      <c r="B1526" s="13" t="s">
        <v>1094</v>
      </c>
      <c r="C1526" s="13" t="s">
        <v>1095</v>
      </c>
      <c r="E1526" s="13" t="s">
        <v>10</v>
      </c>
      <c r="F1526" s="13" t="s">
        <v>11</v>
      </c>
      <c r="G1526" s="13" t="s">
        <v>13</v>
      </c>
      <c r="H1526" s="13" t="s">
        <v>13</v>
      </c>
      <c r="I1526" s="13" t="s">
        <v>1091</v>
      </c>
    </row>
    <row r="1527" spans="2:9" s="13" customFormat="1" hidden="1" outlineLevel="1" x14ac:dyDescent="0.3">
      <c r="B1527" s="13" t="s">
        <v>1096</v>
      </c>
      <c r="C1527" s="13" t="s">
        <v>1097</v>
      </c>
      <c r="E1527" s="13" t="s">
        <v>10</v>
      </c>
      <c r="F1527" s="13" t="s">
        <v>11</v>
      </c>
      <c r="G1527" s="13" t="s">
        <v>13</v>
      </c>
      <c r="H1527" s="13" t="s">
        <v>13</v>
      </c>
      <c r="I1527" s="13" t="s">
        <v>1091</v>
      </c>
    </row>
    <row r="1528" spans="2:9" s="13" customFormat="1" hidden="1" outlineLevel="1" x14ac:dyDescent="0.3">
      <c r="B1528" s="13" t="s">
        <v>1098</v>
      </c>
      <c r="C1528" s="13" t="s">
        <v>1099</v>
      </c>
      <c r="E1528" s="13" t="s">
        <v>10</v>
      </c>
      <c r="F1528" s="13" t="s">
        <v>11</v>
      </c>
      <c r="G1528" s="13" t="s">
        <v>13</v>
      </c>
      <c r="H1528" s="13" t="s">
        <v>13</v>
      </c>
      <c r="I1528" s="13" t="s">
        <v>1100</v>
      </c>
    </row>
    <row r="1529" spans="2:9" s="13" customFormat="1" hidden="1" outlineLevel="1" x14ac:dyDescent="0.3">
      <c r="B1529" s="13" t="s">
        <v>1101</v>
      </c>
      <c r="C1529" s="13" t="s">
        <v>1102</v>
      </c>
      <c r="E1529" s="13" t="s">
        <v>10</v>
      </c>
      <c r="F1529" s="13" t="s">
        <v>11</v>
      </c>
      <c r="G1529" s="13" t="s">
        <v>13</v>
      </c>
      <c r="H1529" s="13" t="s">
        <v>13</v>
      </c>
      <c r="I1529" s="13" t="s">
        <v>1103</v>
      </c>
    </row>
    <row r="1530" spans="2:9" s="13" customFormat="1" hidden="1" outlineLevel="1" x14ac:dyDescent="0.3">
      <c r="B1530" s="13" t="s">
        <v>1104</v>
      </c>
      <c r="C1530" s="13" t="s">
        <v>1105</v>
      </c>
      <c r="E1530" s="13" t="s">
        <v>10</v>
      </c>
      <c r="F1530" s="13" t="s">
        <v>11</v>
      </c>
      <c r="G1530" s="13" t="s">
        <v>13</v>
      </c>
      <c r="H1530" s="13" t="s">
        <v>13</v>
      </c>
      <c r="I1530" s="13" t="s">
        <v>1103</v>
      </c>
    </row>
    <row r="1531" spans="2:9" s="13" customFormat="1" hidden="1" outlineLevel="1" x14ac:dyDescent="0.3">
      <c r="B1531" s="13" t="s">
        <v>1106</v>
      </c>
      <c r="C1531" s="13" t="s">
        <v>1107</v>
      </c>
      <c r="E1531" s="13" t="s">
        <v>10</v>
      </c>
      <c r="F1531" s="13" t="s">
        <v>11</v>
      </c>
      <c r="G1531" s="13" t="s">
        <v>13</v>
      </c>
      <c r="H1531" s="13" t="s">
        <v>13</v>
      </c>
      <c r="I1531" s="13" t="s">
        <v>1103</v>
      </c>
    </row>
    <row r="1532" spans="2:9" s="13" customFormat="1" hidden="1" outlineLevel="1" x14ac:dyDescent="0.3">
      <c r="B1532" s="13" t="s">
        <v>1108</v>
      </c>
      <c r="C1532" s="13" t="s">
        <v>1109</v>
      </c>
      <c r="E1532" s="13" t="s">
        <v>10</v>
      </c>
      <c r="F1532" s="13" t="s">
        <v>11</v>
      </c>
      <c r="G1532" s="13" t="s">
        <v>13</v>
      </c>
      <c r="H1532" s="13" t="s">
        <v>13</v>
      </c>
      <c r="I1532" s="13" t="s">
        <v>1100</v>
      </c>
    </row>
    <row r="1533" spans="2:9" s="13" customFormat="1" hidden="1" outlineLevel="1" x14ac:dyDescent="0.3">
      <c r="B1533" s="13" t="s">
        <v>1110</v>
      </c>
      <c r="C1533" s="13" t="s">
        <v>1111</v>
      </c>
      <c r="E1533" s="13" t="s">
        <v>10</v>
      </c>
      <c r="F1533" s="13" t="s">
        <v>11</v>
      </c>
      <c r="G1533" s="13" t="s">
        <v>13</v>
      </c>
      <c r="H1533" s="13" t="s">
        <v>13</v>
      </c>
      <c r="I1533" s="13" t="s">
        <v>1103</v>
      </c>
    </row>
    <row r="1534" spans="2:9" s="13" customFormat="1" hidden="1" outlineLevel="1" x14ac:dyDescent="0.3">
      <c r="B1534" s="13" t="s">
        <v>1112</v>
      </c>
      <c r="C1534" s="13" t="s">
        <v>1113</v>
      </c>
      <c r="E1534" s="13" t="s">
        <v>10</v>
      </c>
      <c r="F1534" s="13" t="s">
        <v>11</v>
      </c>
      <c r="G1534" s="13" t="s">
        <v>13</v>
      </c>
      <c r="H1534" s="13" t="s">
        <v>13</v>
      </c>
      <c r="I1534" s="13" t="s">
        <v>1114</v>
      </c>
    </row>
    <row r="1535" spans="2:9" s="13" customFormat="1" hidden="1" outlineLevel="1" x14ac:dyDescent="0.3">
      <c r="B1535" s="13" t="s">
        <v>1115</v>
      </c>
      <c r="C1535" s="13" t="s">
        <v>1116</v>
      </c>
      <c r="E1535" s="13" t="s">
        <v>10</v>
      </c>
      <c r="F1535" s="13" t="s">
        <v>11</v>
      </c>
      <c r="G1535" s="13" t="s">
        <v>13</v>
      </c>
      <c r="H1535" s="13" t="s">
        <v>13</v>
      </c>
      <c r="I1535" s="13" t="s">
        <v>1117</v>
      </c>
    </row>
    <row r="1536" spans="2:9" s="13" customFormat="1" hidden="1" outlineLevel="1" x14ac:dyDescent="0.3">
      <c r="B1536" s="13" t="s">
        <v>1118</v>
      </c>
      <c r="C1536" s="13" t="s">
        <v>1119</v>
      </c>
      <c r="E1536" s="13" t="s">
        <v>10</v>
      </c>
      <c r="F1536" s="13" t="s">
        <v>11</v>
      </c>
      <c r="G1536" s="13" t="s">
        <v>13</v>
      </c>
      <c r="H1536" s="13" t="s">
        <v>13</v>
      </c>
      <c r="I1536" s="13" t="s">
        <v>1120</v>
      </c>
    </row>
    <row r="1537" spans="2:9" s="13" customFormat="1" hidden="1" outlineLevel="1" x14ac:dyDescent="0.3">
      <c r="B1537" s="13" t="s">
        <v>1121</v>
      </c>
      <c r="C1537" s="13" t="s">
        <v>1122</v>
      </c>
      <c r="E1537" s="13" t="s">
        <v>10</v>
      </c>
      <c r="F1537" s="13" t="s">
        <v>11</v>
      </c>
      <c r="G1537" s="13" t="s">
        <v>13</v>
      </c>
      <c r="H1537" s="13" t="s">
        <v>13</v>
      </c>
      <c r="I1537" s="13" t="s">
        <v>1123</v>
      </c>
    </row>
    <row r="1538" spans="2:9" s="13" customFormat="1" hidden="1" outlineLevel="1" x14ac:dyDescent="0.3">
      <c r="B1538" s="13" t="s">
        <v>1124</v>
      </c>
      <c r="C1538" s="13" t="s">
        <v>1125</v>
      </c>
      <c r="E1538" s="13" t="s">
        <v>10</v>
      </c>
      <c r="F1538" s="13" t="s">
        <v>11</v>
      </c>
      <c r="G1538" s="13" t="s">
        <v>13</v>
      </c>
      <c r="H1538" s="13" t="s">
        <v>13</v>
      </c>
      <c r="I1538" s="13" t="s">
        <v>1126</v>
      </c>
    </row>
    <row r="1539" spans="2:9" s="13" customFormat="1" hidden="1" outlineLevel="1" x14ac:dyDescent="0.3">
      <c r="B1539" s="13" t="s">
        <v>1127</v>
      </c>
      <c r="C1539" s="13" t="s">
        <v>1128</v>
      </c>
      <c r="E1539" s="13" t="s">
        <v>10</v>
      </c>
      <c r="F1539" s="13" t="s">
        <v>11</v>
      </c>
      <c r="G1539" s="13" t="s">
        <v>13</v>
      </c>
      <c r="H1539" s="13" t="s">
        <v>13</v>
      </c>
      <c r="I1539" s="13" t="s">
        <v>1126</v>
      </c>
    </row>
    <row r="1540" spans="2:9" s="13" customFormat="1" hidden="1" outlineLevel="1" x14ac:dyDescent="0.3">
      <c r="B1540" s="13" t="s">
        <v>1129</v>
      </c>
      <c r="C1540" s="13" t="s">
        <v>1130</v>
      </c>
      <c r="E1540" s="13" t="s">
        <v>10</v>
      </c>
      <c r="F1540" s="13" t="s">
        <v>11</v>
      </c>
      <c r="G1540" s="13" t="s">
        <v>13</v>
      </c>
      <c r="H1540" s="13" t="s">
        <v>13</v>
      </c>
      <c r="I1540" s="13" t="s">
        <v>1131</v>
      </c>
    </row>
    <row r="1541" spans="2:9" s="13" customFormat="1" hidden="1" outlineLevel="1" x14ac:dyDescent="0.3">
      <c r="B1541" s="13" t="s">
        <v>1132</v>
      </c>
      <c r="C1541" s="13" t="s">
        <v>1133</v>
      </c>
      <c r="E1541" s="13" t="s">
        <v>10</v>
      </c>
      <c r="F1541" s="13" t="s">
        <v>11</v>
      </c>
      <c r="G1541" s="13" t="s">
        <v>13</v>
      </c>
      <c r="H1541" s="13" t="s">
        <v>13</v>
      </c>
      <c r="I1541" s="13" t="s">
        <v>1134</v>
      </c>
    </row>
    <row r="1542" spans="2:9" s="13" customFormat="1" hidden="1" outlineLevel="1" x14ac:dyDescent="0.3">
      <c r="B1542" s="13" t="s">
        <v>1135</v>
      </c>
      <c r="C1542" s="13" t="s">
        <v>1136</v>
      </c>
      <c r="E1542" s="13" t="s">
        <v>10</v>
      </c>
      <c r="F1542" s="13" t="s">
        <v>11</v>
      </c>
      <c r="G1542" s="13" t="s">
        <v>13</v>
      </c>
      <c r="H1542" s="13" t="s">
        <v>13</v>
      </c>
      <c r="I1542" s="13" t="s">
        <v>1137</v>
      </c>
    </row>
    <row r="1543" spans="2:9" s="13" customFormat="1" hidden="1" outlineLevel="1" x14ac:dyDescent="0.3">
      <c r="B1543" s="13" t="s">
        <v>1138</v>
      </c>
      <c r="C1543" s="13" t="s">
        <v>1139</v>
      </c>
      <c r="E1543" s="13" t="s">
        <v>10</v>
      </c>
      <c r="F1543" s="13" t="s">
        <v>11</v>
      </c>
      <c r="G1543" s="13" t="s">
        <v>13</v>
      </c>
      <c r="H1543" s="13" t="s">
        <v>13</v>
      </c>
      <c r="I1543" s="13" t="s">
        <v>1140</v>
      </c>
    </row>
    <row r="1544" spans="2:9" s="13" customFormat="1" hidden="1" outlineLevel="1" x14ac:dyDescent="0.3">
      <c r="B1544" s="13" t="s">
        <v>1141</v>
      </c>
      <c r="C1544" s="13" t="s">
        <v>1142</v>
      </c>
      <c r="E1544" s="13" t="s">
        <v>10</v>
      </c>
      <c r="F1544" s="13" t="s">
        <v>11</v>
      </c>
      <c r="G1544" s="13" t="s">
        <v>13</v>
      </c>
      <c r="H1544" s="13" t="s">
        <v>13</v>
      </c>
      <c r="I1544" s="13" t="s">
        <v>1143</v>
      </c>
    </row>
    <row r="1545" spans="2:9" s="13" customFormat="1" hidden="1" outlineLevel="1" x14ac:dyDescent="0.3">
      <c r="B1545" s="13" t="s">
        <v>1144</v>
      </c>
      <c r="C1545" s="13" t="s">
        <v>1145</v>
      </c>
      <c r="E1545" s="13" t="s">
        <v>10</v>
      </c>
      <c r="F1545" s="13" t="s">
        <v>11</v>
      </c>
      <c r="G1545" s="13" t="s">
        <v>13</v>
      </c>
      <c r="H1545" s="13" t="s">
        <v>13</v>
      </c>
      <c r="I1545" s="13" t="s">
        <v>1146</v>
      </c>
    </row>
    <row r="1546" spans="2:9" s="13" customFormat="1" hidden="1" outlineLevel="1" x14ac:dyDescent="0.3">
      <c r="B1546" s="13" t="s">
        <v>1147</v>
      </c>
      <c r="C1546" s="13" t="s">
        <v>1148</v>
      </c>
      <c r="E1546" s="13" t="s">
        <v>10</v>
      </c>
      <c r="F1546" s="13" t="s">
        <v>11</v>
      </c>
      <c r="G1546" s="13" t="s">
        <v>13</v>
      </c>
      <c r="H1546" s="13" t="s">
        <v>13</v>
      </c>
      <c r="I1546" s="13" t="s">
        <v>1149</v>
      </c>
    </row>
    <row r="1547" spans="2:9" s="13" customFormat="1" hidden="1" outlineLevel="1" x14ac:dyDescent="0.3">
      <c r="B1547" s="13" t="s">
        <v>1150</v>
      </c>
      <c r="C1547" s="13" t="s">
        <v>1151</v>
      </c>
      <c r="E1547" s="13" t="s">
        <v>10</v>
      </c>
      <c r="F1547" s="13" t="s">
        <v>11</v>
      </c>
      <c r="G1547" s="13" t="s">
        <v>13</v>
      </c>
      <c r="H1547" s="13" t="s">
        <v>13</v>
      </c>
      <c r="I1547" s="13" t="s">
        <v>1152</v>
      </c>
    </row>
    <row r="1548" spans="2:9" s="13" customFormat="1" hidden="1" outlineLevel="1" x14ac:dyDescent="0.3">
      <c r="B1548" s="13" t="s">
        <v>1153</v>
      </c>
      <c r="C1548" s="13" t="s">
        <v>1154</v>
      </c>
      <c r="E1548" s="13" t="s">
        <v>10</v>
      </c>
      <c r="F1548" s="13" t="s">
        <v>11</v>
      </c>
      <c r="G1548" s="13" t="s">
        <v>13</v>
      </c>
      <c r="H1548" s="13" t="s">
        <v>13</v>
      </c>
      <c r="I1548" s="13" t="s">
        <v>1155</v>
      </c>
    </row>
    <row r="1549" spans="2:9" s="13" customFormat="1" hidden="1" outlineLevel="1" x14ac:dyDescent="0.3">
      <c r="B1549" s="13" t="s">
        <v>1156</v>
      </c>
      <c r="C1549" s="13" t="s">
        <v>1157</v>
      </c>
      <c r="E1549" s="13" t="s">
        <v>10</v>
      </c>
      <c r="F1549" s="13" t="s">
        <v>11</v>
      </c>
      <c r="G1549" s="13" t="s">
        <v>13</v>
      </c>
      <c r="H1549" s="13" t="s">
        <v>13</v>
      </c>
      <c r="I1549" s="13" t="s">
        <v>1158</v>
      </c>
    </row>
    <row r="1550" spans="2:9" s="13" customFormat="1" hidden="1" outlineLevel="1" x14ac:dyDescent="0.3">
      <c r="B1550" s="13" t="s">
        <v>1159</v>
      </c>
      <c r="C1550" s="13" t="s">
        <v>1160</v>
      </c>
      <c r="E1550" s="13" t="s">
        <v>10</v>
      </c>
      <c r="F1550" s="13" t="s">
        <v>11</v>
      </c>
      <c r="G1550" s="13" t="s">
        <v>13</v>
      </c>
      <c r="H1550" s="13" t="s">
        <v>13</v>
      </c>
      <c r="I1550" s="13" t="s">
        <v>1161</v>
      </c>
    </row>
    <row r="1551" spans="2:9" s="13" customFormat="1" hidden="1" outlineLevel="1" x14ac:dyDescent="0.3">
      <c r="B1551" s="13" t="s">
        <v>1162</v>
      </c>
      <c r="C1551" s="13" t="s">
        <v>1163</v>
      </c>
      <c r="E1551" s="13" t="s">
        <v>10</v>
      </c>
      <c r="F1551" s="13" t="s">
        <v>11</v>
      </c>
      <c r="G1551" s="13" t="s">
        <v>13</v>
      </c>
      <c r="H1551" s="13" t="s">
        <v>13</v>
      </c>
      <c r="I1551" s="13" t="s">
        <v>1149</v>
      </c>
    </row>
    <row r="1552" spans="2:9" s="13" customFormat="1" hidden="1" outlineLevel="1" x14ac:dyDescent="0.3">
      <c r="B1552" s="13" t="s">
        <v>1164</v>
      </c>
      <c r="C1552" s="13" t="s">
        <v>1165</v>
      </c>
      <c r="E1552" s="13" t="s">
        <v>10</v>
      </c>
      <c r="F1552" s="13" t="s">
        <v>11</v>
      </c>
      <c r="G1552" s="13" t="s">
        <v>13</v>
      </c>
      <c r="H1552" s="13" t="s">
        <v>13</v>
      </c>
      <c r="I1552" s="13" t="s">
        <v>1166</v>
      </c>
    </row>
    <row r="1553" spans="2:9" s="13" customFormat="1" hidden="1" outlineLevel="1" x14ac:dyDescent="0.3">
      <c r="B1553" s="13" t="s">
        <v>1167</v>
      </c>
      <c r="C1553" s="13" t="s">
        <v>1168</v>
      </c>
      <c r="E1553" s="13" t="s">
        <v>10</v>
      </c>
      <c r="F1553" s="13" t="s">
        <v>11</v>
      </c>
      <c r="G1553" s="13" t="s">
        <v>13</v>
      </c>
      <c r="H1553" s="13" t="s">
        <v>13</v>
      </c>
      <c r="I1553" s="13" t="s">
        <v>1169</v>
      </c>
    </row>
    <row r="1554" spans="2:9" s="13" customFormat="1" hidden="1" outlineLevel="1" x14ac:dyDescent="0.3">
      <c r="B1554" s="13" t="s">
        <v>1170</v>
      </c>
      <c r="C1554" s="13" t="s">
        <v>1171</v>
      </c>
      <c r="E1554" s="13" t="s">
        <v>10</v>
      </c>
      <c r="F1554" s="13" t="s">
        <v>11</v>
      </c>
      <c r="G1554" s="13" t="s">
        <v>13</v>
      </c>
      <c r="H1554" s="13" t="s">
        <v>13</v>
      </c>
      <c r="I1554" s="13" t="s">
        <v>1172</v>
      </c>
    </row>
    <row r="1555" spans="2:9" s="13" customFormat="1" hidden="1" outlineLevel="1" x14ac:dyDescent="0.3">
      <c r="B1555" s="13" t="s">
        <v>1173</v>
      </c>
      <c r="C1555" s="13" t="s">
        <v>1174</v>
      </c>
      <c r="E1555" s="13" t="s">
        <v>10</v>
      </c>
      <c r="F1555" s="13" t="s">
        <v>11</v>
      </c>
      <c r="G1555" s="13" t="s">
        <v>13</v>
      </c>
      <c r="H1555" s="13" t="s">
        <v>13</v>
      </c>
      <c r="I1555" s="13" t="s">
        <v>1175</v>
      </c>
    </row>
    <row r="1556" spans="2:9" s="13" customFormat="1" hidden="1" outlineLevel="1" x14ac:dyDescent="0.3">
      <c r="B1556" s="13" t="s">
        <v>1176</v>
      </c>
      <c r="C1556" s="13" t="s">
        <v>1177</v>
      </c>
      <c r="E1556" s="13" t="s">
        <v>10</v>
      </c>
      <c r="F1556" s="13" t="s">
        <v>11</v>
      </c>
      <c r="G1556" s="13" t="s">
        <v>13</v>
      </c>
      <c r="H1556" s="13" t="s">
        <v>13</v>
      </c>
      <c r="I1556" s="13" t="s">
        <v>1178</v>
      </c>
    </row>
    <row r="1557" spans="2:9" s="13" customFormat="1" hidden="1" outlineLevel="1" x14ac:dyDescent="0.3">
      <c r="B1557" s="13" t="s">
        <v>1179</v>
      </c>
      <c r="C1557" s="13" t="s">
        <v>1180</v>
      </c>
      <c r="E1557" s="13" t="s">
        <v>10</v>
      </c>
      <c r="F1557" s="13" t="s">
        <v>11</v>
      </c>
      <c r="G1557" s="13" t="s">
        <v>13</v>
      </c>
      <c r="H1557" s="13" t="s">
        <v>13</v>
      </c>
      <c r="I1557" s="13" t="s">
        <v>1181</v>
      </c>
    </row>
    <row r="1558" spans="2:9" s="13" customFormat="1" hidden="1" outlineLevel="1" x14ac:dyDescent="0.3">
      <c r="B1558" s="13" t="s">
        <v>1182</v>
      </c>
      <c r="C1558" s="13" t="s">
        <v>1183</v>
      </c>
      <c r="E1558" s="13" t="s">
        <v>10</v>
      </c>
      <c r="F1558" s="13" t="s">
        <v>11</v>
      </c>
      <c r="G1558" s="13" t="s">
        <v>13</v>
      </c>
      <c r="H1558" s="13" t="s">
        <v>13</v>
      </c>
      <c r="I1558" s="13" t="s">
        <v>1166</v>
      </c>
    </row>
    <row r="1559" spans="2:9" s="13" customFormat="1" hidden="1" outlineLevel="1" x14ac:dyDescent="0.3">
      <c r="B1559" s="13" t="s">
        <v>1184</v>
      </c>
      <c r="C1559" s="13" t="s">
        <v>1185</v>
      </c>
      <c r="E1559" s="13" t="s">
        <v>10</v>
      </c>
      <c r="F1559" s="13" t="s">
        <v>11</v>
      </c>
      <c r="G1559" s="13" t="s">
        <v>13</v>
      </c>
      <c r="H1559" s="13" t="s">
        <v>13</v>
      </c>
      <c r="I1559" s="13" t="s">
        <v>1186</v>
      </c>
    </row>
    <row r="1560" spans="2:9" s="13" customFormat="1" hidden="1" outlineLevel="1" x14ac:dyDescent="0.3">
      <c r="B1560" s="13" t="s">
        <v>1187</v>
      </c>
      <c r="C1560" s="13" t="s">
        <v>1188</v>
      </c>
      <c r="E1560" s="13" t="s">
        <v>10</v>
      </c>
      <c r="F1560" s="13" t="s">
        <v>11</v>
      </c>
      <c r="G1560" s="13" t="s">
        <v>13</v>
      </c>
      <c r="H1560" s="13" t="s">
        <v>13</v>
      </c>
      <c r="I1560" s="13" t="s">
        <v>1186</v>
      </c>
    </row>
    <row r="1561" spans="2:9" s="13" customFormat="1" hidden="1" outlineLevel="1" x14ac:dyDescent="0.3">
      <c r="B1561" s="13" t="s">
        <v>1189</v>
      </c>
      <c r="C1561" s="13" t="s">
        <v>1190</v>
      </c>
      <c r="E1561" s="13" t="s">
        <v>10</v>
      </c>
      <c r="F1561" s="13" t="s">
        <v>11</v>
      </c>
      <c r="G1561" s="13" t="s">
        <v>13</v>
      </c>
      <c r="H1561" s="13" t="s">
        <v>13</v>
      </c>
      <c r="I1561" s="13" t="s">
        <v>1191</v>
      </c>
    </row>
    <row r="1562" spans="2:9" s="13" customFormat="1" hidden="1" outlineLevel="1" x14ac:dyDescent="0.3">
      <c r="B1562" s="13" t="s">
        <v>1192</v>
      </c>
      <c r="C1562" s="13" t="s">
        <v>1193</v>
      </c>
      <c r="E1562" s="13" t="s">
        <v>10</v>
      </c>
      <c r="F1562" s="13" t="s">
        <v>11</v>
      </c>
      <c r="G1562" s="13" t="s">
        <v>13</v>
      </c>
      <c r="H1562" s="13" t="s">
        <v>13</v>
      </c>
      <c r="I1562" s="13" t="s">
        <v>1194</v>
      </c>
    </row>
    <row r="1563" spans="2:9" s="13" customFormat="1" hidden="1" outlineLevel="1" x14ac:dyDescent="0.3">
      <c r="B1563" s="13" t="s">
        <v>1195</v>
      </c>
      <c r="C1563" s="13" t="s">
        <v>1196</v>
      </c>
      <c r="E1563" s="13" t="s">
        <v>10</v>
      </c>
      <c r="F1563" s="13" t="s">
        <v>11</v>
      </c>
      <c r="G1563" s="13" t="s">
        <v>13</v>
      </c>
      <c r="H1563" s="13" t="s">
        <v>13</v>
      </c>
      <c r="I1563" s="13" t="s">
        <v>1166</v>
      </c>
    </row>
    <row r="1564" spans="2:9" s="13" customFormat="1" hidden="1" outlineLevel="1" x14ac:dyDescent="0.3">
      <c r="B1564" s="13" t="s">
        <v>1197</v>
      </c>
      <c r="C1564" s="13" t="s">
        <v>1198</v>
      </c>
      <c r="E1564" s="13" t="s">
        <v>10</v>
      </c>
      <c r="F1564" s="13" t="s">
        <v>11</v>
      </c>
      <c r="G1564" s="13" t="s">
        <v>13</v>
      </c>
      <c r="H1564" s="13" t="s">
        <v>13</v>
      </c>
      <c r="I1564" s="13" t="s">
        <v>1199</v>
      </c>
    </row>
    <row r="1565" spans="2:9" s="13" customFormat="1" hidden="1" outlineLevel="1" x14ac:dyDescent="0.3">
      <c r="B1565" s="13" t="s">
        <v>1200</v>
      </c>
      <c r="C1565" s="13" t="s">
        <v>1201</v>
      </c>
      <c r="E1565" s="13" t="s">
        <v>10</v>
      </c>
      <c r="F1565" s="13" t="s">
        <v>11</v>
      </c>
      <c r="G1565" s="13" t="s">
        <v>13</v>
      </c>
      <c r="H1565" s="13" t="s">
        <v>13</v>
      </c>
      <c r="I1565" s="13" t="s">
        <v>1202</v>
      </c>
    </row>
    <row r="1566" spans="2:9" s="13" customFormat="1" hidden="1" outlineLevel="1" x14ac:dyDescent="0.3">
      <c r="B1566" s="13" t="s">
        <v>1203</v>
      </c>
      <c r="C1566" s="13" t="s">
        <v>1204</v>
      </c>
      <c r="E1566" s="13" t="s">
        <v>10</v>
      </c>
      <c r="F1566" s="13" t="s">
        <v>11</v>
      </c>
      <c r="G1566" s="13" t="s">
        <v>13</v>
      </c>
      <c r="H1566" s="13" t="s">
        <v>13</v>
      </c>
      <c r="I1566" s="13" t="s">
        <v>1202</v>
      </c>
    </row>
    <row r="1567" spans="2:9" s="13" customFormat="1" hidden="1" outlineLevel="1" x14ac:dyDescent="0.3">
      <c r="B1567" s="13" t="s">
        <v>1205</v>
      </c>
      <c r="C1567" s="13" t="s">
        <v>1206</v>
      </c>
      <c r="E1567" s="13" t="s">
        <v>10</v>
      </c>
      <c r="F1567" s="13" t="s">
        <v>11</v>
      </c>
      <c r="G1567" s="13" t="s">
        <v>13</v>
      </c>
      <c r="H1567" s="13" t="s">
        <v>13</v>
      </c>
      <c r="I1567" s="13" t="s">
        <v>1207</v>
      </c>
    </row>
    <row r="1568" spans="2:9" s="13" customFormat="1" hidden="1" outlineLevel="1" x14ac:dyDescent="0.3">
      <c r="B1568" s="13" t="s">
        <v>1208</v>
      </c>
      <c r="C1568" s="13" t="s">
        <v>1209</v>
      </c>
      <c r="E1568" s="13" t="s">
        <v>10</v>
      </c>
      <c r="F1568" s="13" t="s">
        <v>11</v>
      </c>
      <c r="G1568" s="13" t="s">
        <v>13</v>
      </c>
      <c r="H1568" s="13" t="s">
        <v>13</v>
      </c>
      <c r="I1568" s="13" t="s">
        <v>1210</v>
      </c>
    </row>
    <row r="1569" spans="2:9" s="13" customFormat="1" hidden="1" outlineLevel="1" x14ac:dyDescent="0.3">
      <c r="B1569" s="13" t="s">
        <v>1211</v>
      </c>
      <c r="C1569" s="13" t="s">
        <v>1212</v>
      </c>
      <c r="E1569" s="13" t="s">
        <v>10</v>
      </c>
      <c r="F1569" s="13" t="s">
        <v>11</v>
      </c>
      <c r="G1569" s="13" t="s">
        <v>13</v>
      </c>
      <c r="H1569" s="13" t="s">
        <v>13</v>
      </c>
      <c r="I1569" s="13" t="s">
        <v>1213</v>
      </c>
    </row>
    <row r="1570" spans="2:9" s="13" customFormat="1" hidden="1" outlineLevel="1" x14ac:dyDescent="0.3">
      <c r="B1570" s="13" t="s">
        <v>1214</v>
      </c>
      <c r="C1570" s="13" t="s">
        <v>1215</v>
      </c>
      <c r="E1570" s="13" t="s">
        <v>10</v>
      </c>
      <c r="F1570" s="13" t="s">
        <v>11</v>
      </c>
      <c r="G1570" s="13" t="s">
        <v>13</v>
      </c>
      <c r="H1570" s="13" t="s">
        <v>13</v>
      </c>
      <c r="I1570" s="13" t="s">
        <v>1216</v>
      </c>
    </row>
    <row r="1571" spans="2:9" s="13" customFormat="1" hidden="1" outlineLevel="1" x14ac:dyDescent="0.3">
      <c r="B1571" s="13" t="s">
        <v>1217</v>
      </c>
      <c r="C1571" s="13" t="s">
        <v>1218</v>
      </c>
      <c r="E1571" s="13" t="s">
        <v>10</v>
      </c>
      <c r="F1571" s="13" t="s">
        <v>11</v>
      </c>
      <c r="G1571" s="13" t="s">
        <v>13</v>
      </c>
      <c r="H1571" s="13" t="s">
        <v>13</v>
      </c>
      <c r="I1571" s="13" t="s">
        <v>1219</v>
      </c>
    </row>
    <row r="1572" spans="2:9" s="13" customFormat="1" hidden="1" outlineLevel="1" x14ac:dyDescent="0.3">
      <c r="B1572" s="13" t="s">
        <v>1220</v>
      </c>
      <c r="C1572" s="13" t="s">
        <v>1221</v>
      </c>
      <c r="E1572" s="13" t="s">
        <v>10</v>
      </c>
      <c r="F1572" s="13" t="s">
        <v>11</v>
      </c>
      <c r="G1572" s="13" t="s">
        <v>13</v>
      </c>
      <c r="H1572" s="13" t="s">
        <v>13</v>
      </c>
      <c r="I1572" s="13" t="s">
        <v>1219</v>
      </c>
    </row>
    <row r="1573" spans="2:9" s="13" customFormat="1" hidden="1" outlineLevel="1" x14ac:dyDescent="0.3">
      <c r="B1573" s="13" t="s">
        <v>1222</v>
      </c>
      <c r="C1573" s="13" t="s">
        <v>1223</v>
      </c>
      <c r="E1573" s="13" t="s">
        <v>10</v>
      </c>
      <c r="F1573" s="13" t="s">
        <v>11</v>
      </c>
      <c r="G1573" s="13" t="s">
        <v>13</v>
      </c>
      <c r="H1573" s="13" t="s">
        <v>13</v>
      </c>
      <c r="I1573" s="13" t="s">
        <v>1219</v>
      </c>
    </row>
    <row r="1574" spans="2:9" s="13" customFormat="1" hidden="1" outlineLevel="1" x14ac:dyDescent="0.3">
      <c r="B1574" s="13" t="s">
        <v>1224</v>
      </c>
      <c r="C1574" s="13" t="s">
        <v>1225</v>
      </c>
      <c r="E1574" s="13" t="s">
        <v>10</v>
      </c>
      <c r="F1574" s="13" t="s">
        <v>11</v>
      </c>
      <c r="G1574" s="13" t="s">
        <v>13</v>
      </c>
      <c r="H1574" s="13" t="s">
        <v>13</v>
      </c>
      <c r="I1574" s="13" t="s">
        <v>1226</v>
      </c>
    </row>
    <row r="1575" spans="2:9" s="13" customFormat="1" hidden="1" outlineLevel="1" x14ac:dyDescent="0.3">
      <c r="B1575" s="13" t="s">
        <v>1227</v>
      </c>
      <c r="C1575" s="13" t="s">
        <v>1228</v>
      </c>
      <c r="E1575" s="13" t="s">
        <v>10</v>
      </c>
      <c r="F1575" s="13" t="s">
        <v>11</v>
      </c>
      <c r="G1575" s="13" t="s">
        <v>13</v>
      </c>
      <c r="H1575" s="13" t="s">
        <v>13</v>
      </c>
      <c r="I1575" s="13" t="s">
        <v>1229</v>
      </c>
    </row>
    <row r="1576" spans="2:9" s="13" customFormat="1" hidden="1" outlineLevel="1" x14ac:dyDescent="0.3">
      <c r="B1576" s="13" t="s">
        <v>1230</v>
      </c>
      <c r="C1576" s="13" t="s">
        <v>1231</v>
      </c>
      <c r="E1576" s="13" t="s">
        <v>10</v>
      </c>
      <c r="F1576" s="13" t="s">
        <v>11</v>
      </c>
      <c r="G1576" s="13" t="s">
        <v>13</v>
      </c>
      <c r="H1576" s="13" t="s">
        <v>13</v>
      </c>
      <c r="I1576" s="13" t="s">
        <v>1232</v>
      </c>
    </row>
    <row r="1577" spans="2:9" s="13" customFormat="1" hidden="1" outlineLevel="1" x14ac:dyDescent="0.3">
      <c r="B1577" s="13" t="s">
        <v>1233</v>
      </c>
      <c r="C1577" s="13" t="s">
        <v>1234</v>
      </c>
      <c r="E1577" s="13" t="s">
        <v>10</v>
      </c>
      <c r="F1577" s="13" t="s">
        <v>11</v>
      </c>
      <c r="G1577" s="13" t="s">
        <v>13</v>
      </c>
      <c r="H1577" s="13" t="s">
        <v>13</v>
      </c>
      <c r="I1577" s="13" t="s">
        <v>1235</v>
      </c>
    </row>
    <row r="1578" spans="2:9" s="13" customFormat="1" hidden="1" outlineLevel="1" x14ac:dyDescent="0.3">
      <c r="B1578" s="13" t="s">
        <v>1236</v>
      </c>
      <c r="C1578" s="13" t="s">
        <v>1237</v>
      </c>
      <c r="E1578" s="13" t="s">
        <v>10</v>
      </c>
      <c r="F1578" s="13" t="s">
        <v>11</v>
      </c>
      <c r="G1578" s="13" t="s">
        <v>13</v>
      </c>
      <c r="H1578" s="13" t="s">
        <v>13</v>
      </c>
      <c r="I1578" s="13" t="s">
        <v>1232</v>
      </c>
    </row>
    <row r="1579" spans="2:9" s="13" customFormat="1" hidden="1" outlineLevel="1" x14ac:dyDescent="0.3">
      <c r="B1579" s="13" t="s">
        <v>1238</v>
      </c>
      <c r="C1579" s="13" t="s">
        <v>1239</v>
      </c>
      <c r="E1579" s="13" t="s">
        <v>10</v>
      </c>
      <c r="F1579" s="13" t="s">
        <v>11</v>
      </c>
      <c r="G1579" s="13" t="s">
        <v>13</v>
      </c>
      <c r="H1579" s="13" t="s">
        <v>13</v>
      </c>
      <c r="I1579" s="13" t="s">
        <v>1232</v>
      </c>
    </row>
    <row r="1580" spans="2:9" s="13" customFormat="1" hidden="1" outlineLevel="1" x14ac:dyDescent="0.3">
      <c r="B1580" s="13" t="s">
        <v>1240</v>
      </c>
      <c r="C1580" s="13" t="s">
        <v>1241</v>
      </c>
      <c r="E1580" s="13" t="s">
        <v>10</v>
      </c>
      <c r="F1580" s="13" t="s">
        <v>11</v>
      </c>
      <c r="G1580" s="13" t="s">
        <v>13</v>
      </c>
      <c r="H1580" s="13" t="s">
        <v>13</v>
      </c>
      <c r="I1580" s="13" t="s">
        <v>1232</v>
      </c>
    </row>
    <row r="1581" spans="2:9" s="13" customFormat="1" hidden="1" outlineLevel="1" x14ac:dyDescent="0.3">
      <c r="B1581" s="13" t="s">
        <v>1242</v>
      </c>
      <c r="C1581" s="13" t="s">
        <v>1243</v>
      </c>
      <c r="E1581" s="13" t="s">
        <v>10</v>
      </c>
      <c r="F1581" s="13" t="s">
        <v>11</v>
      </c>
      <c r="G1581" s="13" t="s">
        <v>13</v>
      </c>
      <c r="H1581" s="13" t="s">
        <v>13</v>
      </c>
      <c r="I1581" s="13" t="s">
        <v>1244</v>
      </c>
    </row>
    <row r="1582" spans="2:9" s="13" customFormat="1" hidden="1" outlineLevel="1" x14ac:dyDescent="0.3">
      <c r="B1582" s="13" t="s">
        <v>1245</v>
      </c>
      <c r="C1582" s="13" t="s">
        <v>1246</v>
      </c>
      <c r="E1582" s="13" t="s">
        <v>10</v>
      </c>
      <c r="F1582" s="13" t="s">
        <v>11</v>
      </c>
      <c r="G1582" s="13" t="s">
        <v>13</v>
      </c>
      <c r="H1582" s="13" t="s">
        <v>13</v>
      </c>
      <c r="I1582" s="13" t="s">
        <v>1244</v>
      </c>
    </row>
    <row r="1583" spans="2:9" s="13" customFormat="1" hidden="1" outlineLevel="1" x14ac:dyDescent="0.3">
      <c r="B1583" s="13" t="s">
        <v>1247</v>
      </c>
      <c r="C1583" s="13" t="s">
        <v>1248</v>
      </c>
      <c r="E1583" s="13" t="s">
        <v>10</v>
      </c>
      <c r="F1583" s="13" t="s">
        <v>11</v>
      </c>
      <c r="G1583" s="13" t="s">
        <v>13</v>
      </c>
      <c r="H1583" s="13" t="s">
        <v>13</v>
      </c>
      <c r="I1583" s="13" t="s">
        <v>1249</v>
      </c>
    </row>
    <row r="1584" spans="2:9" s="13" customFormat="1" hidden="1" outlineLevel="1" x14ac:dyDescent="0.3">
      <c r="B1584" s="13" t="s">
        <v>1250</v>
      </c>
      <c r="C1584" s="13" t="s">
        <v>1251</v>
      </c>
      <c r="E1584" s="13" t="s">
        <v>10</v>
      </c>
      <c r="F1584" s="13" t="s">
        <v>11</v>
      </c>
      <c r="G1584" s="13" t="s">
        <v>13</v>
      </c>
      <c r="H1584" s="13" t="s">
        <v>13</v>
      </c>
      <c r="I1584" s="13" t="s">
        <v>1249</v>
      </c>
    </row>
    <row r="1585" spans="2:9" s="13" customFormat="1" hidden="1" outlineLevel="1" x14ac:dyDescent="0.3">
      <c r="B1585" s="13" t="s">
        <v>1252</v>
      </c>
      <c r="C1585" s="13" t="s">
        <v>1253</v>
      </c>
      <c r="E1585" s="13" t="s">
        <v>10</v>
      </c>
      <c r="F1585" s="13" t="s">
        <v>11</v>
      </c>
      <c r="G1585" s="13" t="s">
        <v>13</v>
      </c>
      <c r="H1585" s="13" t="s">
        <v>13</v>
      </c>
      <c r="I1585" s="13" t="s">
        <v>1249</v>
      </c>
    </row>
    <row r="1586" spans="2:9" s="13" customFormat="1" hidden="1" outlineLevel="1" x14ac:dyDescent="0.3">
      <c r="B1586" s="13" t="s">
        <v>1254</v>
      </c>
      <c r="C1586" s="13" t="s">
        <v>1255</v>
      </c>
      <c r="E1586" s="13" t="s">
        <v>10</v>
      </c>
      <c r="F1586" s="13" t="s">
        <v>11</v>
      </c>
      <c r="G1586" s="13" t="s">
        <v>13</v>
      </c>
      <c r="H1586" s="13" t="s">
        <v>13</v>
      </c>
      <c r="I1586" s="13" t="s">
        <v>1256</v>
      </c>
    </row>
    <row r="1587" spans="2:9" s="13" customFormat="1" hidden="1" outlineLevel="1" x14ac:dyDescent="0.3">
      <c r="B1587" s="13" t="s">
        <v>1257</v>
      </c>
      <c r="C1587" s="13" t="s">
        <v>1258</v>
      </c>
      <c r="E1587" s="13" t="s">
        <v>10</v>
      </c>
      <c r="F1587" s="13" t="s">
        <v>11</v>
      </c>
      <c r="G1587" s="13" t="s">
        <v>13</v>
      </c>
      <c r="H1587" s="13" t="s">
        <v>13</v>
      </c>
      <c r="I1587" s="13" t="s">
        <v>1259</v>
      </c>
    </row>
    <row r="1588" spans="2:9" s="13" customFormat="1" hidden="1" outlineLevel="1" x14ac:dyDescent="0.3">
      <c r="B1588" s="13" t="s">
        <v>1260</v>
      </c>
      <c r="C1588" s="13" t="s">
        <v>1261</v>
      </c>
      <c r="E1588" s="13" t="s">
        <v>10</v>
      </c>
      <c r="F1588" s="13" t="s">
        <v>11</v>
      </c>
      <c r="G1588" s="13" t="s">
        <v>13</v>
      </c>
      <c r="H1588" s="13" t="s">
        <v>13</v>
      </c>
      <c r="I1588" s="13" t="s">
        <v>1262</v>
      </c>
    </row>
    <row r="1589" spans="2:9" s="13" customFormat="1" hidden="1" outlineLevel="1" x14ac:dyDescent="0.3">
      <c r="B1589" s="13" t="s">
        <v>1263</v>
      </c>
      <c r="C1589" s="13" t="s">
        <v>1264</v>
      </c>
      <c r="E1589" s="13" t="s">
        <v>10</v>
      </c>
      <c r="F1589" s="13" t="s">
        <v>11</v>
      </c>
      <c r="G1589" s="13" t="s">
        <v>13</v>
      </c>
      <c r="H1589" s="13" t="s">
        <v>13</v>
      </c>
      <c r="I1589" s="13" t="s">
        <v>1265</v>
      </c>
    </row>
    <row r="1590" spans="2:9" s="13" customFormat="1" hidden="1" outlineLevel="1" x14ac:dyDescent="0.3">
      <c r="B1590" s="13" t="s">
        <v>1266</v>
      </c>
      <c r="C1590" s="13" t="s">
        <v>1267</v>
      </c>
      <c r="E1590" s="13" t="s">
        <v>10</v>
      </c>
      <c r="F1590" s="13" t="s">
        <v>11</v>
      </c>
      <c r="G1590" s="13" t="s">
        <v>13</v>
      </c>
      <c r="H1590" s="13" t="s">
        <v>13</v>
      </c>
      <c r="I1590" s="13" t="s">
        <v>1268</v>
      </c>
    </row>
    <row r="1591" spans="2:9" s="13" customFormat="1" hidden="1" outlineLevel="1" x14ac:dyDescent="0.3">
      <c r="B1591" s="13" t="s">
        <v>1269</v>
      </c>
      <c r="C1591" s="13" t="s">
        <v>1270</v>
      </c>
      <c r="E1591" s="13" t="s">
        <v>10</v>
      </c>
      <c r="F1591" s="13" t="s">
        <v>11</v>
      </c>
      <c r="G1591" s="13" t="s">
        <v>13</v>
      </c>
      <c r="H1591" s="13" t="s">
        <v>13</v>
      </c>
      <c r="I1591" s="13" t="s">
        <v>1268</v>
      </c>
    </row>
    <row r="1592" spans="2:9" s="13" customFormat="1" hidden="1" outlineLevel="1" x14ac:dyDescent="0.3">
      <c r="B1592" s="13" t="s">
        <v>1271</v>
      </c>
      <c r="C1592" s="13" t="s">
        <v>1272</v>
      </c>
      <c r="E1592" s="13" t="s">
        <v>10</v>
      </c>
      <c r="F1592" s="13" t="s">
        <v>11</v>
      </c>
      <c r="G1592" s="13" t="s">
        <v>13</v>
      </c>
      <c r="H1592" s="13" t="s">
        <v>13</v>
      </c>
      <c r="I1592" s="13" t="s">
        <v>1268</v>
      </c>
    </row>
    <row r="1593" spans="2:9" s="13" customFormat="1" hidden="1" outlineLevel="1" x14ac:dyDescent="0.3">
      <c r="B1593" s="13" t="s">
        <v>1273</v>
      </c>
      <c r="C1593" s="13" t="s">
        <v>1274</v>
      </c>
      <c r="E1593" s="13" t="s">
        <v>10</v>
      </c>
      <c r="F1593" s="13" t="s">
        <v>11</v>
      </c>
      <c r="G1593" s="13" t="s">
        <v>13</v>
      </c>
      <c r="H1593" s="13" t="s">
        <v>13</v>
      </c>
      <c r="I1593" s="13" t="s">
        <v>1268</v>
      </c>
    </row>
    <row r="1594" spans="2:9" s="13" customFormat="1" hidden="1" outlineLevel="1" x14ac:dyDescent="0.3">
      <c r="B1594" s="13" t="s">
        <v>1275</v>
      </c>
      <c r="C1594" s="13" t="s">
        <v>1276</v>
      </c>
      <c r="E1594" s="13" t="s">
        <v>10</v>
      </c>
      <c r="F1594" s="13" t="s">
        <v>11</v>
      </c>
      <c r="G1594" s="13" t="s">
        <v>13</v>
      </c>
      <c r="H1594" s="13" t="s">
        <v>13</v>
      </c>
      <c r="I1594" s="13" t="s">
        <v>1268</v>
      </c>
    </row>
    <row r="1595" spans="2:9" s="13" customFormat="1" hidden="1" outlineLevel="1" x14ac:dyDescent="0.3">
      <c r="B1595" s="13" t="s">
        <v>1277</v>
      </c>
      <c r="C1595" s="13" t="s">
        <v>1278</v>
      </c>
      <c r="E1595" s="13" t="s">
        <v>10</v>
      </c>
      <c r="F1595" s="13" t="s">
        <v>11</v>
      </c>
      <c r="G1595" s="13" t="s">
        <v>13</v>
      </c>
      <c r="H1595" s="13" t="s">
        <v>13</v>
      </c>
      <c r="I1595" s="13" t="s">
        <v>1268</v>
      </c>
    </row>
    <row r="1596" spans="2:9" s="13" customFormat="1" hidden="1" outlineLevel="1" x14ac:dyDescent="0.3">
      <c r="B1596" s="13" t="s">
        <v>1279</v>
      </c>
      <c r="C1596" s="13" t="s">
        <v>1280</v>
      </c>
      <c r="E1596" s="13" t="s">
        <v>10</v>
      </c>
      <c r="F1596" s="13" t="s">
        <v>11</v>
      </c>
      <c r="G1596" s="13" t="s">
        <v>13</v>
      </c>
      <c r="H1596" s="13" t="s">
        <v>13</v>
      </c>
      <c r="I1596" s="13" t="s">
        <v>1281</v>
      </c>
    </row>
    <row r="1597" spans="2:9" s="13" customFormat="1" hidden="1" outlineLevel="1" x14ac:dyDescent="0.3">
      <c r="B1597" s="13" t="s">
        <v>1282</v>
      </c>
      <c r="C1597" s="13" t="s">
        <v>1283</v>
      </c>
      <c r="E1597" s="13" t="s">
        <v>10</v>
      </c>
      <c r="F1597" s="13" t="s">
        <v>11</v>
      </c>
      <c r="G1597" s="13" t="s">
        <v>13</v>
      </c>
      <c r="H1597" s="13" t="s">
        <v>13</v>
      </c>
      <c r="I1597" s="13" t="s">
        <v>1284</v>
      </c>
    </row>
    <row r="1598" spans="2:9" s="13" customFormat="1" hidden="1" outlineLevel="1" x14ac:dyDescent="0.3">
      <c r="B1598" s="13" t="s">
        <v>1285</v>
      </c>
      <c r="C1598" s="13" t="s">
        <v>1286</v>
      </c>
      <c r="E1598" s="13" t="s">
        <v>10</v>
      </c>
      <c r="F1598" s="13" t="s">
        <v>11</v>
      </c>
      <c r="G1598" s="13" t="s">
        <v>13</v>
      </c>
      <c r="H1598" s="13" t="s">
        <v>13</v>
      </c>
      <c r="I1598" s="13" t="s">
        <v>1287</v>
      </c>
    </row>
    <row r="1599" spans="2:9" s="13" customFormat="1" hidden="1" outlineLevel="1" x14ac:dyDescent="0.3">
      <c r="B1599" s="13" t="s">
        <v>1288</v>
      </c>
      <c r="C1599" s="13" t="s">
        <v>1289</v>
      </c>
      <c r="E1599" s="13" t="s">
        <v>10</v>
      </c>
      <c r="F1599" s="13" t="s">
        <v>11</v>
      </c>
      <c r="G1599" s="13" t="s">
        <v>13</v>
      </c>
      <c r="H1599" s="13" t="s">
        <v>13</v>
      </c>
      <c r="I1599" s="13" t="s">
        <v>1290</v>
      </c>
    </row>
    <row r="1600" spans="2:9" s="13" customFormat="1" hidden="1" outlineLevel="1" x14ac:dyDescent="0.3">
      <c r="B1600" s="13" t="s">
        <v>1291</v>
      </c>
      <c r="C1600" s="13" t="s">
        <v>1292</v>
      </c>
      <c r="E1600" s="13" t="s">
        <v>10</v>
      </c>
      <c r="F1600" s="13" t="s">
        <v>11</v>
      </c>
      <c r="G1600" s="13" t="s">
        <v>13</v>
      </c>
      <c r="H1600" s="13" t="s">
        <v>13</v>
      </c>
      <c r="I1600" s="13" t="s">
        <v>1293</v>
      </c>
    </row>
    <row r="1601" spans="2:9" s="13" customFormat="1" hidden="1" outlineLevel="1" x14ac:dyDescent="0.3">
      <c r="B1601" s="13" t="s">
        <v>1294</v>
      </c>
      <c r="C1601" s="13" t="s">
        <v>1295</v>
      </c>
      <c r="E1601" s="13" t="s">
        <v>10</v>
      </c>
      <c r="F1601" s="13" t="s">
        <v>11</v>
      </c>
      <c r="G1601" s="13" t="s">
        <v>13</v>
      </c>
      <c r="H1601" s="13" t="s">
        <v>13</v>
      </c>
      <c r="I1601" s="13" t="s">
        <v>1296</v>
      </c>
    </row>
    <row r="1602" spans="2:9" s="13" customFormat="1" hidden="1" outlineLevel="1" x14ac:dyDescent="0.3">
      <c r="B1602" s="13" t="s">
        <v>1297</v>
      </c>
      <c r="C1602" s="13" t="s">
        <v>1298</v>
      </c>
      <c r="E1602" s="13" t="s">
        <v>10</v>
      </c>
      <c r="F1602" s="13" t="s">
        <v>11</v>
      </c>
      <c r="G1602" s="13" t="s">
        <v>13</v>
      </c>
      <c r="H1602" s="13" t="s">
        <v>13</v>
      </c>
      <c r="I1602" s="13" t="s">
        <v>1299</v>
      </c>
    </row>
    <row r="1603" spans="2:9" s="13" customFormat="1" hidden="1" outlineLevel="1" x14ac:dyDescent="0.3">
      <c r="B1603" s="13" t="s">
        <v>1300</v>
      </c>
      <c r="C1603" s="13" t="s">
        <v>1301</v>
      </c>
      <c r="E1603" s="13" t="s">
        <v>10</v>
      </c>
      <c r="F1603" s="13" t="s">
        <v>11</v>
      </c>
      <c r="G1603" s="13" t="s">
        <v>13</v>
      </c>
      <c r="H1603" s="13" t="s">
        <v>13</v>
      </c>
      <c r="I1603" s="13" t="s">
        <v>1302</v>
      </c>
    </row>
    <row r="1604" spans="2:9" s="13" customFormat="1" hidden="1" outlineLevel="1" x14ac:dyDescent="0.3">
      <c r="B1604" s="13" t="s">
        <v>1303</v>
      </c>
      <c r="C1604" s="13" t="s">
        <v>1304</v>
      </c>
      <c r="E1604" s="13" t="s">
        <v>10</v>
      </c>
      <c r="F1604" s="13" t="s">
        <v>11</v>
      </c>
      <c r="G1604" s="13" t="s">
        <v>13</v>
      </c>
      <c r="H1604" s="13" t="s">
        <v>13</v>
      </c>
      <c r="I1604" s="13" t="s">
        <v>1299</v>
      </c>
    </row>
    <row r="1605" spans="2:9" s="13" customFormat="1" hidden="1" outlineLevel="1" x14ac:dyDescent="0.3">
      <c r="B1605" s="13" t="s">
        <v>1305</v>
      </c>
      <c r="C1605" s="13" t="s">
        <v>1306</v>
      </c>
      <c r="E1605" s="13" t="s">
        <v>10</v>
      </c>
      <c r="F1605" s="13" t="s">
        <v>11</v>
      </c>
      <c r="G1605" s="13" t="s">
        <v>13</v>
      </c>
      <c r="H1605" s="13" t="s">
        <v>13</v>
      </c>
      <c r="I1605" s="13" t="s">
        <v>1299</v>
      </c>
    </row>
    <row r="1606" spans="2:9" s="13" customFormat="1" hidden="1" outlineLevel="1" x14ac:dyDescent="0.3">
      <c r="B1606" s="13" t="s">
        <v>1307</v>
      </c>
      <c r="C1606" s="13" t="s">
        <v>1308</v>
      </c>
      <c r="E1606" s="13" t="s">
        <v>10</v>
      </c>
      <c r="F1606" s="13" t="s">
        <v>11</v>
      </c>
      <c r="G1606" s="13" t="s">
        <v>13</v>
      </c>
      <c r="H1606" s="13" t="s">
        <v>13</v>
      </c>
      <c r="I1606" s="13" t="s">
        <v>1309</v>
      </c>
    </row>
    <row r="1607" spans="2:9" s="13" customFormat="1" hidden="1" outlineLevel="1" x14ac:dyDescent="0.3">
      <c r="B1607" s="13" t="s">
        <v>1310</v>
      </c>
      <c r="C1607" s="13" t="s">
        <v>1311</v>
      </c>
      <c r="E1607" s="13" t="s">
        <v>10</v>
      </c>
      <c r="F1607" s="13" t="s">
        <v>11</v>
      </c>
      <c r="G1607" s="13" t="s">
        <v>13</v>
      </c>
      <c r="H1607" s="13" t="s">
        <v>13</v>
      </c>
      <c r="I1607" s="13" t="s">
        <v>1312</v>
      </c>
    </row>
    <row r="1608" spans="2:9" s="13" customFormat="1" hidden="1" outlineLevel="1" x14ac:dyDescent="0.3">
      <c r="B1608" s="13" t="s">
        <v>1313</v>
      </c>
      <c r="C1608" s="13" t="s">
        <v>1314</v>
      </c>
      <c r="E1608" s="13" t="s">
        <v>10</v>
      </c>
      <c r="F1608" s="13" t="s">
        <v>11</v>
      </c>
      <c r="G1608" s="13" t="s">
        <v>13</v>
      </c>
      <c r="H1608" s="13" t="s">
        <v>13</v>
      </c>
      <c r="I1608" s="13" t="s">
        <v>1315</v>
      </c>
    </row>
    <row r="1609" spans="2:9" s="13" customFormat="1" hidden="1" outlineLevel="1" x14ac:dyDescent="0.3">
      <c r="B1609" s="13" t="s">
        <v>1316</v>
      </c>
      <c r="C1609" s="13" t="s">
        <v>1317</v>
      </c>
      <c r="E1609" s="13" t="s">
        <v>10</v>
      </c>
      <c r="F1609" s="13" t="s">
        <v>11</v>
      </c>
      <c r="G1609" s="13" t="s">
        <v>13</v>
      </c>
      <c r="H1609" s="13" t="s">
        <v>13</v>
      </c>
      <c r="I1609" s="13" t="s">
        <v>1318</v>
      </c>
    </row>
    <row r="1610" spans="2:9" s="13" customFormat="1" hidden="1" outlineLevel="1" x14ac:dyDescent="0.3">
      <c r="B1610" s="13" t="s">
        <v>1319</v>
      </c>
      <c r="C1610" s="13" t="s">
        <v>1320</v>
      </c>
      <c r="E1610" s="13" t="s">
        <v>10</v>
      </c>
      <c r="F1610" s="13" t="s">
        <v>11</v>
      </c>
      <c r="G1610" s="13" t="s">
        <v>13</v>
      </c>
      <c r="H1610" s="13" t="s">
        <v>13</v>
      </c>
      <c r="I1610" s="13" t="s">
        <v>1315</v>
      </c>
    </row>
    <row r="1611" spans="2:9" s="13" customFormat="1" hidden="1" outlineLevel="1" x14ac:dyDescent="0.3">
      <c r="B1611" s="13" t="s">
        <v>1321</v>
      </c>
      <c r="C1611" s="13" t="s">
        <v>1322</v>
      </c>
      <c r="E1611" s="13" t="s">
        <v>10</v>
      </c>
      <c r="F1611" s="13" t="s">
        <v>11</v>
      </c>
      <c r="G1611" s="13" t="s">
        <v>13</v>
      </c>
      <c r="H1611" s="13" t="s">
        <v>13</v>
      </c>
      <c r="I1611" s="13" t="s">
        <v>1323</v>
      </c>
    </row>
    <row r="1612" spans="2:9" s="13" customFormat="1" hidden="1" outlineLevel="1" x14ac:dyDescent="0.3">
      <c r="B1612" s="13" t="s">
        <v>1324</v>
      </c>
      <c r="C1612" s="13" t="s">
        <v>1325</v>
      </c>
      <c r="E1612" s="13" t="s">
        <v>10</v>
      </c>
      <c r="F1612" s="13" t="s">
        <v>11</v>
      </c>
      <c r="G1612" s="13" t="s">
        <v>13</v>
      </c>
      <c r="H1612" s="13" t="s">
        <v>13</v>
      </c>
      <c r="I1612" s="13" t="s">
        <v>1326</v>
      </c>
    </row>
    <row r="1613" spans="2:9" s="13" customFormat="1" hidden="1" outlineLevel="1" x14ac:dyDescent="0.3">
      <c r="B1613" s="13" t="s">
        <v>1327</v>
      </c>
      <c r="C1613" s="13" t="s">
        <v>1328</v>
      </c>
      <c r="E1613" s="13" t="s">
        <v>10</v>
      </c>
      <c r="F1613" s="13" t="s">
        <v>11</v>
      </c>
      <c r="G1613" s="13" t="s">
        <v>13</v>
      </c>
      <c r="H1613" s="13" t="s">
        <v>13</v>
      </c>
      <c r="I1613" s="13" t="s">
        <v>1329</v>
      </c>
    </row>
    <row r="1614" spans="2:9" s="13" customFormat="1" hidden="1" outlineLevel="1" x14ac:dyDescent="0.3">
      <c r="B1614" s="13" t="s">
        <v>1330</v>
      </c>
      <c r="C1614" s="13" t="s">
        <v>1331</v>
      </c>
      <c r="E1614" s="13" t="s">
        <v>10</v>
      </c>
      <c r="F1614" s="13" t="s">
        <v>11</v>
      </c>
      <c r="G1614" s="13" t="s">
        <v>13</v>
      </c>
      <c r="H1614" s="13" t="s">
        <v>13</v>
      </c>
      <c r="I1614" s="13" t="s">
        <v>1332</v>
      </c>
    </row>
    <row r="1615" spans="2:9" s="13" customFormat="1" hidden="1" outlineLevel="1" x14ac:dyDescent="0.3">
      <c r="B1615" s="13" t="s">
        <v>1333</v>
      </c>
      <c r="C1615" s="13" t="s">
        <v>1334</v>
      </c>
      <c r="E1615" s="13" t="s">
        <v>10</v>
      </c>
      <c r="F1615" s="13" t="s">
        <v>11</v>
      </c>
      <c r="G1615" s="13" t="s">
        <v>13</v>
      </c>
      <c r="H1615" s="13" t="s">
        <v>13</v>
      </c>
      <c r="I1615" s="13" t="s">
        <v>1335</v>
      </c>
    </row>
    <row r="1616" spans="2:9" s="13" customFormat="1" hidden="1" outlineLevel="1" x14ac:dyDescent="0.3">
      <c r="B1616" s="13" t="s">
        <v>1336</v>
      </c>
      <c r="C1616" s="13" t="s">
        <v>1337</v>
      </c>
      <c r="E1616" s="13" t="s">
        <v>10</v>
      </c>
      <c r="F1616" s="13" t="s">
        <v>11</v>
      </c>
      <c r="G1616" s="13" t="s">
        <v>13</v>
      </c>
      <c r="H1616" s="13" t="s">
        <v>13</v>
      </c>
      <c r="I1616" s="13" t="s">
        <v>1338</v>
      </c>
    </row>
    <row r="1617" spans="2:9" s="13" customFormat="1" hidden="1" outlineLevel="1" x14ac:dyDescent="0.3">
      <c r="B1617" s="13" t="s">
        <v>1339</v>
      </c>
      <c r="C1617" s="13" t="s">
        <v>1340</v>
      </c>
      <c r="E1617" s="13" t="s">
        <v>10</v>
      </c>
      <c r="F1617" s="13" t="s">
        <v>11</v>
      </c>
      <c r="G1617" s="13" t="s">
        <v>13</v>
      </c>
      <c r="H1617" s="13" t="s">
        <v>13</v>
      </c>
      <c r="I1617" s="13" t="s">
        <v>1341</v>
      </c>
    </row>
    <row r="1618" spans="2:9" s="13" customFormat="1" hidden="1" outlineLevel="1" x14ac:dyDescent="0.3">
      <c r="B1618" s="13" t="s">
        <v>1342</v>
      </c>
      <c r="C1618" s="13" t="s">
        <v>1343</v>
      </c>
      <c r="E1618" s="13" t="s">
        <v>10</v>
      </c>
      <c r="F1618" s="13" t="s">
        <v>11</v>
      </c>
      <c r="G1618" s="13" t="s">
        <v>13</v>
      </c>
      <c r="H1618" s="13" t="s">
        <v>13</v>
      </c>
      <c r="I1618" s="13" t="s">
        <v>1318</v>
      </c>
    </row>
    <row r="1619" spans="2:9" s="13" customFormat="1" hidden="1" outlineLevel="1" x14ac:dyDescent="0.3">
      <c r="B1619" s="13" t="s">
        <v>1344</v>
      </c>
      <c r="C1619" s="13" t="s">
        <v>1345</v>
      </c>
      <c r="E1619" s="13" t="s">
        <v>10</v>
      </c>
      <c r="F1619" s="13" t="s">
        <v>11</v>
      </c>
      <c r="G1619" s="13" t="s">
        <v>13</v>
      </c>
      <c r="H1619" s="13" t="s">
        <v>13</v>
      </c>
      <c r="I1619" s="13" t="s">
        <v>1341</v>
      </c>
    </row>
    <row r="1620" spans="2:9" s="13" customFormat="1" hidden="1" outlineLevel="1" x14ac:dyDescent="0.3">
      <c r="B1620" s="13" t="s">
        <v>1346</v>
      </c>
      <c r="C1620" s="13" t="s">
        <v>1347</v>
      </c>
      <c r="E1620" s="13" t="s">
        <v>10</v>
      </c>
      <c r="F1620" s="13" t="s">
        <v>11</v>
      </c>
      <c r="G1620" s="13" t="s">
        <v>13</v>
      </c>
      <c r="H1620" s="13" t="s">
        <v>13</v>
      </c>
      <c r="I1620" s="13" t="s">
        <v>1348</v>
      </c>
    </row>
    <row r="1621" spans="2:9" s="13" customFormat="1" hidden="1" outlineLevel="1" x14ac:dyDescent="0.3">
      <c r="B1621" s="13" t="s">
        <v>1349</v>
      </c>
      <c r="C1621" s="13" t="s">
        <v>1350</v>
      </c>
      <c r="E1621" s="13" t="s">
        <v>10</v>
      </c>
      <c r="F1621" s="13" t="s">
        <v>11</v>
      </c>
      <c r="G1621" s="13" t="s">
        <v>13</v>
      </c>
      <c r="H1621" s="13" t="s">
        <v>13</v>
      </c>
      <c r="I1621" s="13" t="s">
        <v>1348</v>
      </c>
    </row>
    <row r="1622" spans="2:9" s="13" customFormat="1" hidden="1" outlineLevel="1" x14ac:dyDescent="0.3">
      <c r="B1622" s="13" t="s">
        <v>1351</v>
      </c>
      <c r="C1622" s="13" t="s">
        <v>1352</v>
      </c>
      <c r="E1622" s="13" t="s">
        <v>10</v>
      </c>
      <c r="F1622" s="13" t="s">
        <v>11</v>
      </c>
      <c r="G1622" s="13" t="s">
        <v>13</v>
      </c>
      <c r="H1622" s="13" t="s">
        <v>13</v>
      </c>
      <c r="I1622" s="13" t="s">
        <v>1348</v>
      </c>
    </row>
    <row r="1623" spans="2:9" s="13" customFormat="1" hidden="1" outlineLevel="1" x14ac:dyDescent="0.3">
      <c r="B1623" s="13" t="s">
        <v>1353</v>
      </c>
      <c r="C1623" s="13" t="s">
        <v>1354</v>
      </c>
      <c r="E1623" s="13" t="s">
        <v>10</v>
      </c>
      <c r="F1623" s="13" t="s">
        <v>11</v>
      </c>
      <c r="G1623" s="13" t="s">
        <v>13</v>
      </c>
      <c r="H1623" s="13" t="s">
        <v>13</v>
      </c>
      <c r="I1623" s="13" t="s">
        <v>1348</v>
      </c>
    </row>
    <row r="1624" spans="2:9" s="13" customFormat="1" hidden="1" outlineLevel="1" x14ac:dyDescent="0.3">
      <c r="B1624" s="13" t="s">
        <v>1355</v>
      </c>
      <c r="C1624" s="13" t="s">
        <v>1356</v>
      </c>
      <c r="E1624" s="13" t="s">
        <v>10</v>
      </c>
      <c r="F1624" s="13" t="s">
        <v>11</v>
      </c>
      <c r="G1624" s="13" t="s">
        <v>13</v>
      </c>
      <c r="H1624" s="13" t="s">
        <v>13</v>
      </c>
      <c r="I1624" s="13" t="s">
        <v>1348</v>
      </c>
    </row>
    <row r="1625" spans="2:9" s="13" customFormat="1" hidden="1" outlineLevel="1" x14ac:dyDescent="0.3">
      <c r="B1625" s="13" t="s">
        <v>1357</v>
      </c>
      <c r="C1625" s="13" t="s">
        <v>1358</v>
      </c>
      <c r="E1625" s="13" t="s">
        <v>10</v>
      </c>
      <c r="F1625" s="13" t="s">
        <v>11</v>
      </c>
      <c r="G1625" s="13" t="s">
        <v>13</v>
      </c>
      <c r="H1625" s="13" t="s">
        <v>13</v>
      </c>
      <c r="I1625" s="13" t="s">
        <v>1348</v>
      </c>
    </row>
    <row r="1626" spans="2:9" s="13" customFormat="1" hidden="1" outlineLevel="1" x14ac:dyDescent="0.3">
      <c r="B1626" s="13" t="s">
        <v>1359</v>
      </c>
      <c r="C1626" s="13" t="s">
        <v>1360</v>
      </c>
      <c r="E1626" s="13" t="s">
        <v>10</v>
      </c>
      <c r="F1626" s="13" t="s">
        <v>11</v>
      </c>
      <c r="G1626" s="13" t="s">
        <v>13</v>
      </c>
      <c r="H1626" s="13" t="s">
        <v>13</v>
      </c>
      <c r="I1626" s="13" t="s">
        <v>958</v>
      </c>
    </row>
    <row r="1627" spans="2:9" s="13" customFormat="1" hidden="1" outlineLevel="1" x14ac:dyDescent="0.3">
      <c r="B1627" s="13" t="s">
        <v>1361</v>
      </c>
      <c r="C1627" s="13" t="s">
        <v>1362</v>
      </c>
      <c r="E1627" s="13" t="s">
        <v>10</v>
      </c>
      <c r="F1627" s="13" t="s">
        <v>11</v>
      </c>
      <c r="G1627" s="13" t="s">
        <v>13</v>
      </c>
      <c r="H1627" s="13" t="s">
        <v>13</v>
      </c>
      <c r="I1627" s="13" t="s">
        <v>958</v>
      </c>
    </row>
    <row r="1628" spans="2:9" hidden="1" outlineLevel="1" x14ac:dyDescent="0.25"/>
    <row r="1629" spans="2:9" collapsed="1" x14ac:dyDescent="0.25"/>
  </sheetData>
  <phoneticPr fontId="2" type="noConversion"/>
  <pageMargins left="0.7" right="0.7" top="0.75" bottom="0.75" header="0.3" footer="0.3"/>
  <drawing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9789ED-87F8-4D66-BB27-6FE064E155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Dashboard</vt:lpstr>
      <vt:lpstr>Model</vt:lpstr>
      <vt:lpstr>Financial Data</vt:lpstr>
      <vt:lpstr>Model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Felicia Nata</dc:creator>
  <cp:lastModifiedBy>Felicia Nata</cp:lastModifiedBy>
  <dcterms:created xsi:type="dcterms:W3CDTF">2026-03-10T21:39:53Z</dcterms:created>
  <dcterms:modified xsi:type="dcterms:W3CDTF">2026-03-12T22:54:00Z</dcterms:modified>
</cp:coreProperties>
</file>