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feli\Downloads\"/>
    </mc:Choice>
  </mc:AlternateContent>
  <xr:revisionPtr revIDLastSave="0" documentId="13_ncr:1_{0CB6F71D-8F8F-4D29-B564-D47EDC1C8BE5}" xr6:coauthVersionLast="47" xr6:coauthVersionMax="47" xr10:uidLastSave="{00000000-0000-0000-0000-000000000000}"/>
  <bookViews>
    <workbookView xWindow="-120" yWindow="-120" windowWidth="38640" windowHeight="21390" activeTab="2" xr2:uid="{9D233258-D635-4CFC-818C-16F1B75C5E62}"/>
  </bookViews>
  <sheets>
    <sheet name="Cover" sheetId="3" r:id="rId1"/>
    <sheet name="Output" sheetId="7" r:id="rId2"/>
    <sheet name="Inpu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6" l="1"/>
  <c r="H65" i="7"/>
  <c r="G65" i="7"/>
  <c r="G54" i="6"/>
  <c r="H64" i="7" s="1"/>
  <c r="F54" i="6"/>
  <c r="G64" i="7" s="1"/>
  <c r="G53" i="6"/>
  <c r="H63" i="7" s="1"/>
  <c r="F53" i="6"/>
  <c r="G63" i="7" s="1"/>
  <c r="G52" i="6"/>
  <c r="F53" i="7" s="1"/>
  <c r="F52" i="6"/>
  <c r="E53" i="7" s="1"/>
  <c r="G51" i="6"/>
  <c r="F52" i="7" s="1"/>
  <c r="F51" i="6"/>
  <c r="E52" i="7" s="1"/>
  <c r="G50" i="6"/>
  <c r="F51" i="7" s="1"/>
  <c r="F50" i="6"/>
  <c r="E51" i="7" s="1"/>
  <c r="G133" i="6"/>
  <c r="F133" i="6"/>
  <c r="G103" i="6"/>
  <c r="F103" i="6"/>
  <c r="D49" i="6"/>
  <c r="E49" i="6"/>
  <c r="F49" i="6"/>
  <c r="C49" i="6"/>
  <c r="D48" i="6"/>
  <c r="E48" i="6"/>
  <c r="F48" i="6"/>
  <c r="G48" i="6"/>
  <c r="C48" i="6"/>
  <c r="D47" i="6"/>
  <c r="E47" i="6"/>
  <c r="F47" i="6"/>
  <c r="G47" i="6"/>
  <c r="C47" i="6"/>
</calcChain>
</file>

<file path=xl/sharedStrings.xml><?xml version="1.0" encoding="utf-8"?>
<sst xmlns="http://schemas.openxmlformats.org/spreadsheetml/2006/main" count="186" uniqueCount="152">
  <si>
    <t>Felicia Nata</t>
  </si>
  <si>
    <t>Table of Contents</t>
  </si>
  <si>
    <t>Inputs</t>
  </si>
  <si>
    <t>https://www.linkedin.com/in/yfelnt/</t>
  </si>
  <si>
    <t>Frauenthal Automotive – Group Performance &amp; Profitability Analysis</t>
  </si>
  <si>
    <t>Sample Case Study</t>
  </si>
  <si>
    <t>Prepared as part of application for Group Business Controller role</t>
  </si>
  <si>
    <t>CONSOLIDATED STATEMENT OF PROFIT OR LOSS</t>
  </si>
  <si>
    <t>Revenue</t>
  </si>
  <si>
    <t>Own work capitalised</t>
  </si>
  <si>
    <t>Other operating income</t>
  </si>
  <si>
    <t>Personnel expenses</t>
  </si>
  <si>
    <t>Other operating expenses</t>
  </si>
  <si>
    <t>EBITDA</t>
  </si>
  <si>
    <t>Unscheduled depreciation</t>
  </si>
  <si>
    <t>EBIT</t>
  </si>
  <si>
    <t>Financial performance</t>
  </si>
  <si>
    <t>Income taxes</t>
  </si>
  <si>
    <t>Profit after tax</t>
  </si>
  <si>
    <t xml:space="preserve"> </t>
  </si>
  <si>
    <t>CONSOLIDATED STATEMENT OF FINANCIAL POSITION</t>
  </si>
  <si>
    <t>ASSETS</t>
  </si>
  <si>
    <t>Long-term assets</t>
  </si>
  <si>
    <t>Intangible assets</t>
  </si>
  <si>
    <t>Leasing licenses</t>
  </si>
  <si>
    <t>Tangible assets</t>
  </si>
  <si>
    <t>Financial assets</t>
  </si>
  <si>
    <t>Other financial assets</t>
  </si>
  <si>
    <t>Deferred tax assets</t>
  </si>
  <si>
    <t>Short-term assets</t>
  </si>
  <si>
    <t>Inventories</t>
  </si>
  <si>
    <t>Tax receivables</t>
  </si>
  <si>
    <t>Term deposit</t>
  </si>
  <si>
    <t>Other non-financial assets</t>
  </si>
  <si>
    <t>TOTAL ASSETS</t>
  </si>
  <si>
    <t>EQUITY AND LIABILITIES</t>
  </si>
  <si>
    <t xml:space="preserve">Equity  </t>
  </si>
  <si>
    <t>Share capital</t>
  </si>
  <si>
    <t>Capital reserve</t>
  </si>
  <si>
    <t>Retained earnings</t>
  </si>
  <si>
    <t>Other comprehensive income</t>
  </si>
  <si>
    <t>Treasury shares</t>
  </si>
  <si>
    <t>Financial liabilities</t>
  </si>
  <si>
    <t>Leasing liabilities</t>
  </si>
  <si>
    <t>Personnel provisions</t>
  </si>
  <si>
    <t>Deferred tax liabilities</t>
  </si>
  <si>
    <t>Other provisions</t>
  </si>
  <si>
    <t>Other financial liabilities</t>
  </si>
  <si>
    <t>Tax liabilities</t>
  </si>
  <si>
    <t>Other non-financial liabilities</t>
  </si>
  <si>
    <t>Investments</t>
  </si>
  <si>
    <t>Scheduled depreciation</t>
  </si>
  <si>
    <t>Disposals</t>
  </si>
  <si>
    <t>Cash flow from earnings</t>
  </si>
  <si>
    <t>Total Assets</t>
  </si>
  <si>
    <t>% of Revenue</t>
  </si>
  <si>
    <t>Personnel</t>
  </si>
  <si>
    <t>Other Opex</t>
  </si>
  <si>
    <t>Debt/Equity</t>
  </si>
  <si>
    <t>Interest Coverage</t>
  </si>
  <si>
    <t>Materials</t>
  </si>
  <si>
    <t>Summary Statement of Profit or Loss (EUR million)</t>
  </si>
  <si>
    <t>EUR million</t>
  </si>
  <si>
    <t>EBITDA (adjusted)</t>
  </si>
  <si>
    <t>Operating Profit (EBIT)</t>
  </si>
  <si>
    <t>EBIT (adjusted)</t>
  </si>
  <si>
    <t>Earnings Before Taxes (EBT)</t>
  </si>
  <si>
    <t>EBT (adjusted)</t>
  </si>
  <si>
    <t>Profit After Tax</t>
  </si>
  <si>
    <t>Earnings After Tax (adjusted)</t>
  </si>
  <si>
    <t>Earnings After Tax (adj. 1 &amp; 2)</t>
  </si>
  <si>
    <t>Cash Flow from Earnings</t>
  </si>
  <si>
    <t>Summary Statement of Financial Position (EUR million)</t>
  </si>
  <si>
    <t>Non-current Assets</t>
  </si>
  <si>
    <t>Current Assets</t>
  </si>
  <si>
    <t>Total Liabilities</t>
  </si>
  <si>
    <t>Equity</t>
  </si>
  <si>
    <t>Equity Ratio (%)</t>
  </si>
  <si>
    <t>Investments (% of Revenue)</t>
  </si>
  <si>
    <t>Operational &amp; Per Employee Metrics</t>
  </si>
  <si>
    <t>Average Employees</t>
  </si>
  <si>
    <t>Revenue per Employee (EUR ‘000)</t>
  </si>
  <si>
    <t>EBIT per Employee (EUR ‘000)</t>
  </si>
  <si>
    <t>Cash Flow per Employee (EUR ‘000)</t>
  </si>
  <si>
    <t>Shares Issued</t>
  </si>
  <si>
    <t>Treasury Shares</t>
  </si>
  <si>
    <t>Shares in Circulation</t>
  </si>
  <si>
    <t>5-Year Performance Overview: Growth, Peak, and Margin Compression</t>
  </si>
  <si>
    <t>The Big Picture</t>
  </si>
  <si>
    <t>Profitability Deep Dive</t>
  </si>
  <si>
    <t>Margin Evolution &amp; Operational Leverage</t>
  </si>
  <si>
    <t>Additional Ratio</t>
  </si>
  <si>
    <t>EBITDA Margin (%)</t>
  </si>
  <si>
    <t>EBIT Margin (%)</t>
  </si>
  <si>
    <t>Net Margin (%)</t>
  </si>
  <si>
    <t>Cost Structure Analysis</t>
  </si>
  <si>
    <t>Change in inventories</t>
  </si>
  <si>
    <t>Operating income total</t>
  </si>
  <si>
    <t>Cost of materials</t>
  </si>
  <si>
    <t>Depreciation &amp; amortisation</t>
  </si>
  <si>
    <t>–</t>
  </si>
  <si>
    <t>Profit before tax</t>
  </si>
  <si>
    <t>EPS (Undiluted &amp; Diluted)</t>
  </si>
  <si>
    <t>(EUR ‘000)</t>
  </si>
  <si>
    <t>Total long-term assets</t>
  </si>
  <si>
    <t>Trade receivables</t>
  </si>
  <si>
    <t>Cash &amp; cash equivalents</t>
  </si>
  <si>
    <t>Total short-term assets</t>
  </si>
  <si>
    <t>Total equity</t>
  </si>
  <si>
    <t>Long-term Liabilities</t>
  </si>
  <si>
    <t>Total long-term liabilities</t>
  </si>
  <si>
    <t>Liabilities</t>
  </si>
  <si>
    <t>Short-term Liabilities</t>
  </si>
  <si>
    <t>Trade payables</t>
  </si>
  <si>
    <t>Total short-term liabilities</t>
  </si>
  <si>
    <t>TOTAL EQUITY &amp; LIABILITIES</t>
  </si>
  <si>
    <t>CASH FLOW STATEMENT</t>
  </si>
  <si>
    <t>Operating activities</t>
  </si>
  <si>
    <t>Investing activities</t>
  </si>
  <si>
    <t>Financing activities</t>
  </si>
  <si>
    <t>Change in cash</t>
  </si>
  <si>
    <t>Cash at year end</t>
  </si>
  <si>
    <t>CHANGES IN FIXED ASSETS (2024)</t>
  </si>
  <si>
    <t>Intangible</t>
  </si>
  <si>
    <t>Tangible</t>
  </si>
  <si>
    <t>Leasing</t>
  </si>
  <si>
    <t>Opening balance</t>
  </si>
  <si>
    <t>FX differences</t>
  </si>
  <si>
    <t>Closing balance</t>
  </si>
  <si>
    <t>Materials (% of Revenue)</t>
  </si>
  <si>
    <t>Personnel (% of Revenue)</t>
  </si>
  <si>
    <t>Other Opex (% of Revenue)</t>
  </si>
  <si>
    <t>Revenue (2024)</t>
  </si>
  <si>
    <t>Financial Stability Section</t>
  </si>
  <si>
    <t>Balance Sheet Resilience Under Pressure</t>
  </si>
  <si>
    <t>Interest Coverage Ratio</t>
  </si>
  <si>
    <t>Equity Ratio</t>
  </si>
  <si>
    <t>Productivity Angle</t>
  </si>
  <si>
    <t>Management Focus Areas for 2025</t>
  </si>
  <si>
    <t>Strategic Recommendation</t>
  </si>
  <si>
    <t>"Revenue peaked in 2022 before declining in the following two years, while adjusted EBIT deteriorated significantly, indicating rising margin pressure despite relatively stable revenue levels."</t>
  </si>
  <si>
    <t>"Material costs increased from 74% to 75% of revenue, indicating reduced operating leverage as revenue declined."</t>
  </si>
  <si>
    <t>"Interest coverage dropped sharply from 2.54x to 0.50x due to declining EBIT, signaling increased pressure on debt servicing capacity."</t>
  </si>
  <si>
    <t>"While revenue per employee continued to increase, EBIT per employee declined significantly after 2022, suggesting margin pressure at the operational level rather than productivity decline."</t>
  </si>
  <si>
    <t>• Improve procurement efficiency to reduce material cost ratio</t>
  </si>
  <si>
    <t>• Protect margins through pricing discipline and product mix optimization</t>
  </si>
  <si>
    <t>• Increase cost flexibility during periods of declining volume</t>
  </si>
  <si>
    <t>• Strengthen interest coverage through EBIT recovery and balance sheet discipline</t>
  </si>
  <si>
    <t>• Prioritize CAPEX investments that enhance production efficiency</t>
  </si>
  <si>
    <t>This analysis is based on publicly available financial information and simplified assumptions. The objective is to demonstrate financial analysis and performance interpretation.</t>
  </si>
  <si>
    <t>Group Performance &amp; Profitability Analysis</t>
  </si>
  <si>
    <t>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</si>
</sst>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#,##0_)_%;\(#,##0\)_%;_(&quot;–&quot;_)_%;_(@_)_%"/>
    <numFmt numFmtId="165" formatCode="_(#,##0.00_)_%;\(#,##0.00\)_%;_(&quot;–&quot;_)_%;_(@_)_%"/>
    <numFmt numFmtId="166" formatCode="_(###0_)_%;\(#,##0\)_%;_(&quot;–&quot;_)_%;_(@_)_%"/>
    <numFmt numFmtId="167" formatCode="_(#,##0.0%_);\(#,##0.0%\);_(&quot;–&quot;_)_%;_(@_)_%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Open Sans"/>
      <family val="2"/>
    </font>
    <font>
      <b/>
      <sz val="11"/>
      <color theme="1"/>
      <name val="Open Sans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Open Sans"/>
      <family val="2"/>
    </font>
    <font>
      <b/>
      <sz val="10"/>
      <color theme="0"/>
      <name val="Open Sans"/>
      <family val="2"/>
    </font>
    <font>
      <sz val="11"/>
      <color theme="0"/>
      <name val="Open Sans"/>
      <family val="2"/>
    </font>
    <font>
      <sz val="10"/>
      <color theme="0"/>
      <name val="Open Sans"/>
      <family val="2"/>
    </font>
    <font>
      <b/>
      <sz val="11"/>
      <color rgb="FF1B5339"/>
      <name val="Open Sans"/>
      <family val="2"/>
    </font>
    <font>
      <b/>
      <sz val="12"/>
      <color theme="0"/>
      <name val="Open Sans"/>
      <family val="2"/>
    </font>
    <font>
      <b/>
      <sz val="14"/>
      <color theme="0"/>
      <name val="Open Sans"/>
      <family val="2"/>
    </font>
    <font>
      <sz val="14"/>
      <color theme="0"/>
      <name val="Open Sans"/>
      <family val="2"/>
    </font>
    <font>
      <sz val="10"/>
      <color theme="1"/>
      <name val="Open Sans"/>
      <family val="2"/>
    </font>
    <font>
      <sz val="10"/>
      <name val="Open Sans"/>
      <family val="2"/>
    </font>
    <font>
      <b/>
      <sz val="10"/>
      <name val="Open Sans"/>
      <family val="2"/>
    </font>
    <font>
      <i/>
      <sz val="10"/>
      <color theme="1"/>
      <name val="Open Sans"/>
      <family val="2"/>
    </font>
    <font>
      <b/>
      <i/>
      <sz val="10"/>
      <color rgb="FF1B5339"/>
      <name val="Open Sans"/>
      <family val="2"/>
    </font>
    <font>
      <b/>
      <sz val="10"/>
      <color rgb="FF1B5339"/>
      <name val="Open Sans"/>
      <family val="2"/>
    </font>
    <font>
      <i/>
      <sz val="11"/>
      <color theme="1"/>
      <name val="Calibri"/>
      <family val="2"/>
      <scheme val="minor"/>
    </font>
    <font>
      <b/>
      <sz val="12"/>
      <color rgb="FF1B5339"/>
      <name val="Open Sans"/>
      <family val="2"/>
    </font>
    <font>
      <sz val="11"/>
      <color theme="1"/>
      <name val="Calibri"/>
      <family val="2"/>
    </font>
    <font>
      <u/>
      <sz val="11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533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1B5339"/>
      </left>
      <right style="medium">
        <color rgb="FF1B5339"/>
      </right>
      <top style="medium">
        <color rgb="FF1B5339"/>
      </top>
      <bottom style="medium">
        <color rgb="FF1B5339"/>
      </bottom>
      <diagonal/>
    </border>
    <border>
      <left style="medium">
        <color rgb="FF1B5339"/>
      </left>
      <right/>
      <top style="medium">
        <color rgb="FF1B5339"/>
      </top>
      <bottom style="medium">
        <color rgb="FF1B5339"/>
      </bottom>
      <diagonal/>
    </border>
    <border>
      <left/>
      <right/>
      <top style="medium">
        <color rgb="FF1B5339"/>
      </top>
      <bottom style="medium">
        <color rgb="FF1B5339"/>
      </bottom>
      <diagonal/>
    </border>
    <border>
      <left/>
      <right/>
      <top/>
      <bottom style="medium">
        <color rgb="FF1B5339"/>
      </bottom>
      <diagonal/>
    </border>
    <border>
      <left/>
      <right/>
      <top/>
      <bottom style="thin">
        <color rgb="FF1B5339"/>
      </bottom>
      <diagonal/>
    </border>
    <border>
      <left/>
      <right/>
      <top style="thin">
        <color rgb="FF1B5339"/>
      </top>
      <bottom style="double">
        <color rgb="FF1B5339"/>
      </bottom>
      <diagonal/>
    </border>
    <border>
      <left/>
      <right/>
      <top style="thin">
        <color rgb="FF1B5339"/>
      </top>
      <bottom/>
      <diagonal/>
    </border>
    <border>
      <left/>
      <right style="medium">
        <color rgb="FF1B5339"/>
      </right>
      <top style="medium">
        <color rgb="FF1B5339"/>
      </top>
      <bottom style="medium">
        <color rgb="FF1B5339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4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4" fillId="0" borderId="0" xfId="0" applyFont="1"/>
    <xf numFmtId="0" fontId="3" fillId="0" borderId="0" xfId="0" applyFont="1" applyAlignment="1">
      <alignment horizontal="right"/>
    </xf>
    <xf numFmtId="0" fontId="6" fillId="0" borderId="0" xfId="1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8" fillId="2" borderId="0" xfId="0" applyFont="1" applyFill="1" applyAlignment="1">
      <alignment vertical="center" wrapText="1"/>
    </xf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10" fillId="0" borderId="0" xfId="0" applyFont="1"/>
    <xf numFmtId="0" fontId="11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0" borderId="0" xfId="0" applyFont="1"/>
    <xf numFmtId="0" fontId="3" fillId="0" borderId="10" xfId="0" applyFont="1" applyBorder="1"/>
    <xf numFmtId="0" fontId="3" fillId="0" borderId="11" xfId="0" applyFont="1" applyBorder="1"/>
    <xf numFmtId="164" fontId="15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5" fontId="15" fillId="0" borderId="0" xfId="0" applyNumberFormat="1" applyFont="1" applyAlignment="1">
      <alignment vertical="center"/>
    </xf>
    <xf numFmtId="164" fontId="16" fillId="0" borderId="0" xfId="0" applyNumberFormat="1" applyFont="1" applyAlignment="1">
      <alignment vertical="center"/>
    </xf>
    <xf numFmtId="164" fontId="15" fillId="0" borderId="13" xfId="0" applyNumberFormat="1" applyFont="1" applyBorder="1" applyAlignment="1">
      <alignment vertical="center"/>
    </xf>
    <xf numFmtId="166" fontId="19" fillId="0" borderId="12" xfId="0" applyNumberFormat="1" applyFont="1" applyBorder="1" applyAlignment="1">
      <alignment vertical="center"/>
    </xf>
    <xf numFmtId="0" fontId="3" fillId="0" borderId="13" xfId="0" applyFon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7" fontId="14" fillId="0" borderId="0" xfId="0" applyNumberFormat="1" applyFont="1" applyAlignment="1">
      <alignment vertical="center"/>
    </xf>
    <xf numFmtId="0" fontId="19" fillId="0" borderId="0" xfId="0" applyFont="1"/>
    <xf numFmtId="0" fontId="0" fillId="0" borderId="0" xfId="0" applyAlignment="1">
      <alignment horizontal="center"/>
    </xf>
    <xf numFmtId="166" fontId="18" fillId="0" borderId="12" xfId="0" applyNumberFormat="1" applyFont="1" applyBorder="1" applyAlignment="1">
      <alignment horizontal="left" vertical="center"/>
    </xf>
    <xf numFmtId="3" fontId="0" fillId="0" borderId="0" xfId="0" applyNumberFormat="1" applyAlignment="1">
      <alignment vertical="center" wrapText="1"/>
    </xf>
    <xf numFmtId="164" fontId="14" fillId="0" borderId="0" xfId="0" applyNumberFormat="1" applyFont="1" applyAlignment="1">
      <alignment vertical="center"/>
    </xf>
    <xf numFmtId="0" fontId="2" fillId="2" borderId="0" xfId="0" applyFont="1" applyFill="1"/>
    <xf numFmtId="0" fontId="11" fillId="2" borderId="0" xfId="0" applyFont="1" applyFill="1"/>
    <xf numFmtId="3" fontId="1" fillId="0" borderId="0" xfId="0" applyNumberFormat="1" applyFont="1" applyAlignment="1">
      <alignment vertical="center" wrapText="1"/>
    </xf>
    <xf numFmtId="165" fontId="16" fillId="0" borderId="0" xfId="0" applyNumberFormat="1" applyFont="1" applyAlignment="1">
      <alignment vertical="center"/>
    </xf>
    <xf numFmtId="164" fontId="15" fillId="0" borderId="13" xfId="0" applyNumberFormat="1" applyFont="1" applyBorder="1" applyAlignment="1">
      <alignment horizontal="right" vertical="center"/>
    </xf>
    <xf numFmtId="165" fontId="15" fillId="0" borderId="13" xfId="0" applyNumberFormat="1" applyFont="1" applyBorder="1" applyAlignment="1">
      <alignment vertical="center"/>
    </xf>
    <xf numFmtId="0" fontId="4" fillId="0" borderId="13" xfId="0" applyFont="1" applyBorder="1"/>
    <xf numFmtId="165" fontId="16" fillId="0" borderId="15" xfId="0" applyNumberFormat="1" applyFont="1" applyBorder="1" applyAlignment="1">
      <alignment vertical="center"/>
    </xf>
    <xf numFmtId="0" fontId="3" fillId="0" borderId="15" xfId="0" applyFont="1" applyBorder="1"/>
    <xf numFmtId="164" fontId="16" fillId="0" borderId="15" xfId="0" applyNumberFormat="1" applyFont="1" applyBorder="1" applyAlignment="1">
      <alignment vertical="center"/>
    </xf>
    <xf numFmtId="165" fontId="18" fillId="0" borderId="0" xfId="0" applyNumberFormat="1" applyFont="1" applyAlignment="1">
      <alignment vertical="center"/>
    </xf>
    <xf numFmtId="3" fontId="0" fillId="0" borderId="13" xfId="0" applyNumberFormat="1" applyBorder="1" applyAlignment="1">
      <alignment vertical="center" wrapText="1"/>
    </xf>
    <xf numFmtId="165" fontId="21" fillId="0" borderId="0" xfId="0" applyNumberFormat="1" applyFont="1" applyAlignment="1">
      <alignment vertical="center"/>
    </xf>
    <xf numFmtId="165" fontId="16" fillId="0" borderId="14" xfId="0" applyNumberFormat="1" applyFont="1" applyBorder="1" applyAlignment="1">
      <alignment vertical="center"/>
    </xf>
    <xf numFmtId="0" fontId="3" fillId="0" borderId="14" xfId="0" applyFont="1" applyBorder="1"/>
    <xf numFmtId="3" fontId="1" fillId="0" borderId="14" xfId="0" applyNumberFormat="1" applyFont="1" applyBorder="1" applyAlignment="1">
      <alignment vertical="center" wrapText="1"/>
    </xf>
    <xf numFmtId="3" fontId="19" fillId="0" borderId="12" xfId="0" applyNumberFormat="1" applyFont="1" applyBorder="1" applyAlignment="1">
      <alignment horizontal="right" vertical="center" wrapText="1"/>
    </xf>
    <xf numFmtId="0" fontId="0" fillId="0" borderId="12" xfId="0" applyBorder="1"/>
    <xf numFmtId="10" fontId="22" fillId="0" borderId="9" xfId="0" applyNumberFormat="1" applyFont="1" applyBorder="1" applyAlignment="1">
      <alignment horizontal="center"/>
    </xf>
    <xf numFmtId="166" fontId="7" fillId="2" borderId="10" xfId="0" applyNumberFormat="1" applyFont="1" applyFill="1" applyBorder="1" applyAlignment="1">
      <alignment vertical="center"/>
    </xf>
    <xf numFmtId="0" fontId="2" fillId="2" borderId="11" xfId="0" applyFont="1" applyFill="1" applyBorder="1"/>
    <xf numFmtId="0" fontId="2" fillId="2" borderId="16" xfId="0" applyFont="1" applyFill="1" applyBorder="1"/>
    <xf numFmtId="0" fontId="19" fillId="0" borderId="12" xfId="0" applyFont="1" applyBorder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 wrapText="1"/>
    </xf>
    <xf numFmtId="0" fontId="10" fillId="0" borderId="11" xfId="0" applyFont="1" applyBorder="1" applyAlignment="1">
      <alignment horizontal="right" vertical="center"/>
    </xf>
    <xf numFmtId="0" fontId="5" fillId="0" borderId="0" xfId="1"/>
    <xf numFmtId="0" fontId="23" fillId="0" borderId="0" xfId="1" applyFont="1"/>
    <xf numFmtId="0" fontId="10" fillId="0" borderId="12" xfId="0" applyFont="1" applyBorder="1"/>
    <xf numFmtId="0" fontId="3" fillId="0" borderId="12" xfId="0" applyFont="1" applyBorder="1"/>
    <xf numFmtId="0" fontId="7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17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B5339"/>
      <color rgb="FFA3BA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Revenue &amp; EBIT</a:t>
            </a:r>
            <a:r>
              <a:rPr lang="en-US" b="1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 (adjusted)</a:t>
            </a:r>
            <a:endParaRPr lang="en-US" b="1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Input!$B$5</c:f>
              <c:strCache>
                <c:ptCount val="1"/>
                <c:pt idx="0">
                  <c:v> Revenue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Input!$C$5:$G$5</c:f>
              <c:numCache>
                <c:formatCode>_(#,##0.00_)_%;\(#,##0.00\)_%;_("–"_)_%;_(@_)_%</c:formatCode>
                <c:ptCount val="5"/>
                <c:pt idx="0">
                  <c:v>874</c:v>
                </c:pt>
                <c:pt idx="1">
                  <c:v>1024.0999999999999</c:v>
                </c:pt>
                <c:pt idx="2">
                  <c:v>1135.2</c:v>
                </c:pt>
                <c:pt idx="3">
                  <c:v>1081</c:v>
                </c:pt>
                <c:pt idx="4">
                  <c:v>1014.3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Input!$C$4:$G$4</c15:sqref>
                        </c15:formulaRef>
                      </c:ext>
                    </c:extLst>
                    <c:numCache>
                      <c:formatCode>_(###0_)_%;\(#,##0\)_%;_("–"_)_%;_(@_)_%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63D9-4B08-A3D7-44CDD5A37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7473951"/>
        <c:axId val="1607474431"/>
      </c:barChart>
      <c:lineChart>
        <c:grouping val="standard"/>
        <c:varyColors val="0"/>
        <c:ser>
          <c:idx val="1"/>
          <c:order val="1"/>
          <c:tx>
            <c:strRef>
              <c:f>Input!$B$9</c:f>
              <c:strCache>
                <c:ptCount val="1"/>
                <c:pt idx="0">
                  <c:v> EBIT (adjusted)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Input!$C$9:$G$9</c:f>
              <c:numCache>
                <c:formatCode>_(#,##0.00_)_%;\(#,##0.00\)_%;_("–"_)_%;_(@_)_%</c:formatCode>
                <c:ptCount val="5"/>
                <c:pt idx="0">
                  <c:v>3.4</c:v>
                </c:pt>
                <c:pt idx="1">
                  <c:v>27.2</c:v>
                </c:pt>
                <c:pt idx="2">
                  <c:v>49.9</c:v>
                </c:pt>
                <c:pt idx="3">
                  <c:v>28.7</c:v>
                </c:pt>
                <c:pt idx="4">
                  <c:v>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D9-4B08-A3D7-44CDD5A37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9946671"/>
        <c:axId val="969940431"/>
      </c:lineChart>
      <c:catAx>
        <c:axId val="1607473951"/>
        <c:scaling>
          <c:orientation val="minMax"/>
        </c:scaling>
        <c:delete val="0"/>
        <c:axPos val="b"/>
        <c:numFmt formatCode="_(###0_)_%;\(#,##0\)_%;_(&quot;–&quot;_)_%;_(@_)_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607474431"/>
        <c:crosses val="autoZero"/>
        <c:auto val="1"/>
        <c:lblAlgn val="ctr"/>
        <c:lblOffset val="100"/>
        <c:noMultiLvlLbl val="0"/>
      </c:catAx>
      <c:valAx>
        <c:axId val="1607474431"/>
        <c:scaling>
          <c:orientation val="minMax"/>
        </c:scaling>
        <c:delete val="0"/>
        <c:axPos val="l"/>
        <c:numFmt formatCode="_(#,##0.00_)_%;\(#,##0.00\)_%;_(&quot;–&quot;_)_%;_(@_)_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473951"/>
        <c:crosses val="autoZero"/>
        <c:crossBetween val="between"/>
      </c:valAx>
      <c:valAx>
        <c:axId val="969940431"/>
        <c:scaling>
          <c:orientation val="minMax"/>
        </c:scaling>
        <c:delete val="0"/>
        <c:axPos val="r"/>
        <c:numFmt formatCode="_(#,##0.00_)_%;\(#,##0.00\)_%;_(&quot;–&quot;_)_%;_(@_)_%" sourceLinked="1"/>
        <c:majorTickMark val="out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946671"/>
        <c:crosses val="max"/>
        <c:crossBetween val="between"/>
      </c:valAx>
      <c:catAx>
        <c:axId val="969946671"/>
        <c:scaling>
          <c:orientation val="minMax"/>
        </c:scaling>
        <c:delete val="1"/>
        <c:axPos val="b"/>
        <c:majorTickMark val="out"/>
        <c:minorTickMark val="none"/>
        <c:tickLblPos val="nextTo"/>
        <c:crossAx val="9699404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1B5339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b="1"/>
              <a:t>Profitability Margin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Input!$B$47</c:f>
              <c:strCache>
                <c:ptCount val="1"/>
                <c:pt idx="0">
                  <c:v> EBITDA Margin (%) 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Input!$C$47:$G$47</c:f>
              <c:numCache>
                <c:formatCode>_(#,##0.00_)_%;\(#,##0.00\)_%;_("–"_)_%;_(@_)_%</c:formatCode>
                <c:ptCount val="5"/>
                <c:pt idx="0">
                  <c:v>4.1075514874141877E-2</c:v>
                </c:pt>
                <c:pt idx="1">
                  <c:v>5.9662142368909293E-2</c:v>
                </c:pt>
                <c:pt idx="2">
                  <c:v>7.364341085271317E-2</c:v>
                </c:pt>
                <c:pt idx="3">
                  <c:v>5.7539315448658652E-2</c:v>
                </c:pt>
                <c:pt idx="4">
                  <c:v>4.3872621512373068E-2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Input!$C$45:$G$46</c15:sqref>
                        </c15:formulaRef>
                      </c:ext>
                    </c:extLst>
                    <c:strCache>
                      <c:ptCount val="5"/>
                      <c:pt idx="0">
                        <c:v> 2020  </c:v>
                      </c:pt>
                      <c:pt idx="1">
                        <c:v> 2021  </c:v>
                      </c:pt>
                      <c:pt idx="2">
                        <c:v> 2022  </c:v>
                      </c:pt>
                      <c:pt idx="3">
                        <c:v> 2023  </c:v>
                      </c:pt>
                      <c:pt idx="4">
                        <c:v> 2024  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E9D0-44AE-A08F-8BF322EE7F9D}"/>
            </c:ext>
          </c:extLst>
        </c:ser>
        <c:ser>
          <c:idx val="1"/>
          <c:order val="1"/>
          <c:tx>
            <c:strRef>
              <c:f>Input!$B$48</c:f>
              <c:strCache>
                <c:ptCount val="1"/>
                <c:pt idx="0">
                  <c:v> EBIT Margin (%) 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Input!$C$48:$G$48</c:f>
              <c:numCache>
                <c:formatCode>_(#,##0.00_)_%;\(#,##0.00\)_%;_("–"_)_%;_(@_)_%</c:formatCode>
                <c:ptCount val="5"/>
                <c:pt idx="0">
                  <c:v>3.8901601830663613E-3</c:v>
                </c:pt>
                <c:pt idx="1">
                  <c:v>2.655990625915438E-2</c:v>
                </c:pt>
                <c:pt idx="2">
                  <c:v>4.3957011980267788E-2</c:v>
                </c:pt>
                <c:pt idx="3">
                  <c:v>2.6549491211840887E-2</c:v>
                </c:pt>
                <c:pt idx="4">
                  <c:v>9.3660652666863846E-3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Input!$C$45:$G$46</c15:sqref>
                        </c15:formulaRef>
                      </c:ext>
                    </c:extLst>
                    <c:strCache>
                      <c:ptCount val="5"/>
                      <c:pt idx="0">
                        <c:v> 2020  </c:v>
                      </c:pt>
                      <c:pt idx="1">
                        <c:v> 2021  </c:v>
                      </c:pt>
                      <c:pt idx="2">
                        <c:v> 2022  </c:v>
                      </c:pt>
                      <c:pt idx="3">
                        <c:v> 2023  </c:v>
                      </c:pt>
                      <c:pt idx="4">
                        <c:v> 2024  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E9D0-44AE-A08F-8BF322EE7F9D}"/>
            </c:ext>
          </c:extLst>
        </c:ser>
        <c:ser>
          <c:idx val="2"/>
          <c:order val="2"/>
          <c:tx>
            <c:strRef>
              <c:f>Input!$B$49</c:f>
              <c:strCache>
                <c:ptCount val="1"/>
                <c:pt idx="0">
                  <c:v> Net Margin (%) 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Input!$C$49:$G$49</c:f>
              <c:numCache>
                <c:formatCode>_(#,##0.00_)_%;\(#,##0.00\)_%;_("–"_)_%;_(@_)_%</c:formatCode>
                <c:ptCount val="5"/>
                <c:pt idx="0">
                  <c:v>-8.8100686498855836E-3</c:v>
                </c:pt>
                <c:pt idx="1">
                  <c:v>1.8650522409920909E-2</c:v>
                </c:pt>
                <c:pt idx="2">
                  <c:v>2.8981677237491187E-2</c:v>
                </c:pt>
                <c:pt idx="3">
                  <c:v>1.3320999074930621E-2</c:v>
                </c:pt>
                <c:pt idx="4">
                  <c:v>-2.3661638568470869E-3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Input!$C$45:$G$46</c15:sqref>
                        </c15:formulaRef>
                      </c:ext>
                    </c:extLst>
                    <c:strCache>
                      <c:ptCount val="5"/>
                      <c:pt idx="0">
                        <c:v> 2020  </c:v>
                      </c:pt>
                      <c:pt idx="1">
                        <c:v> 2021  </c:v>
                      </c:pt>
                      <c:pt idx="2">
                        <c:v> 2022  </c:v>
                      </c:pt>
                      <c:pt idx="3">
                        <c:v> 2023  </c:v>
                      </c:pt>
                      <c:pt idx="4">
                        <c:v> 2024  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E9D0-44AE-A08F-8BF322EE7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300527"/>
        <c:axId val="698302927"/>
      </c:lineChart>
      <c:catAx>
        <c:axId val="698300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98302927"/>
        <c:crosses val="autoZero"/>
        <c:auto val="1"/>
        <c:lblAlgn val="ctr"/>
        <c:lblOffset val="100"/>
        <c:noMultiLvlLbl val="0"/>
      </c:catAx>
      <c:valAx>
        <c:axId val="698302927"/>
        <c:scaling>
          <c:orientation val="minMax"/>
        </c:scaling>
        <c:delete val="1"/>
        <c:axPos val="l"/>
        <c:numFmt formatCode="_(#,##0.00_)_%;\(#,##0.00\)_%;_(&quot;–&quot;_)_%;_(@_)_%" sourceLinked="1"/>
        <c:majorTickMark val="none"/>
        <c:minorTickMark val="none"/>
        <c:tickLblPos val="nextTo"/>
        <c:crossAx val="698300527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Open Sans" panose="020B0606030504020204" pitchFamily="34" charset="0"/>
          <a:ea typeface="Open Sans" panose="020B0606030504020204" pitchFamily="34" charset="0"/>
          <a:cs typeface="Open Sans" panose="020B0606030504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r>
              <a:rPr lang="en-US" b="1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rPr>
              <a:t>Revenue &amp; EBIT per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 per Employee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Input!$C$35:$G$35</c:f>
              <c:numCache>
                <c:formatCode>_(#,##0.00_)_%;\(#,##0.00\)_%;_("–"_)_%;_(@_)_%</c:formatCode>
                <c:ptCount val="5"/>
                <c:pt idx="0">
                  <c:v>265.5</c:v>
                </c:pt>
                <c:pt idx="1">
                  <c:v>314.60000000000002</c:v>
                </c:pt>
                <c:pt idx="2">
                  <c:v>372.6</c:v>
                </c:pt>
                <c:pt idx="3">
                  <c:v>377.7</c:v>
                </c:pt>
                <c:pt idx="4">
                  <c:v>392.7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Input!$C$33:$G$33</c15:sqref>
                        </c15:formulaRef>
                      </c:ext>
                    </c:extLst>
                    <c:numCache>
                      <c:formatCode>_(###0_)_%;\(#,##0\)_%;_("–"_)_%;_(@_)_%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0708-4F56-A995-CCD8D11DE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046991"/>
        <c:axId val="172047471"/>
      </c:lineChart>
      <c:lineChart>
        <c:grouping val="standard"/>
        <c:varyColors val="0"/>
        <c:ser>
          <c:idx val="1"/>
          <c:order val="1"/>
          <c:tx>
            <c:v>EBIT per employee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Input!$C$36:$G$36</c:f>
              <c:numCache>
                <c:formatCode>_(#,##0.00_)_%;\(#,##0.00\)_%;_("–"_)_%;_(@_)_%</c:formatCode>
                <c:ptCount val="5"/>
                <c:pt idx="0">
                  <c:v>-1.1000000000000001</c:v>
                </c:pt>
                <c:pt idx="1">
                  <c:v>6.9</c:v>
                </c:pt>
                <c:pt idx="2">
                  <c:v>17.399999999999999</c:v>
                </c:pt>
                <c:pt idx="3">
                  <c:v>10</c:v>
                </c:pt>
                <c:pt idx="4">
                  <c:v>2.2000000000000002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Input!$C$33:$G$33</c15:sqref>
                        </c15:formulaRef>
                      </c:ext>
                    </c:extLst>
                    <c:numCache>
                      <c:formatCode>_(###0_)_%;\(#,##0\)_%;_("–"_)_%;_(@_)_%</c:formatCode>
                      <c:ptCount val="5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0708-4F56-A995-CCD8D11DE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386719"/>
        <c:axId val="804388159"/>
      </c:lineChart>
      <c:catAx>
        <c:axId val="172046991"/>
        <c:scaling>
          <c:orientation val="minMax"/>
        </c:scaling>
        <c:delete val="0"/>
        <c:axPos val="b"/>
        <c:numFmt formatCode="_(###0_)_%;\(#,##0\)_%;_(&quot;–&quot;_)_%;_(@_)_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172047471"/>
        <c:crosses val="autoZero"/>
        <c:auto val="1"/>
        <c:lblAlgn val="ctr"/>
        <c:lblOffset val="100"/>
        <c:noMultiLvlLbl val="0"/>
      </c:catAx>
      <c:valAx>
        <c:axId val="172047471"/>
        <c:scaling>
          <c:orientation val="minMax"/>
        </c:scaling>
        <c:delete val="0"/>
        <c:axPos val="l"/>
        <c:numFmt formatCode="_(#,##0.00_)_%;\(#,##0.00\)_%;_(&quot;–&quot;_)_%;_(@_)_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46991"/>
        <c:crosses val="autoZero"/>
        <c:crossBetween val="between"/>
      </c:valAx>
      <c:valAx>
        <c:axId val="804388159"/>
        <c:scaling>
          <c:orientation val="minMax"/>
        </c:scaling>
        <c:delete val="0"/>
        <c:axPos val="r"/>
        <c:numFmt formatCode="_(#,##0.00_)_%;\(#,##0.00\)_%;_(&quot;–&quot;_)_%;_(@_)_%" sourceLinked="1"/>
        <c:majorTickMark val="out"/>
        <c:minorTickMark val="none"/>
        <c:tickLblPos val="nextTo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386719"/>
        <c:crosses val="max"/>
        <c:crossBetween val="between"/>
      </c:valAx>
      <c:catAx>
        <c:axId val="804386719"/>
        <c:scaling>
          <c:orientation val="minMax"/>
        </c:scaling>
        <c:delete val="1"/>
        <c:axPos val="b"/>
        <c:numFmt formatCode="_(###0_)_%;\(#,##0\)_%;_(&quot;–&quot;_)_%;_(@_)_%" sourceLinked="1"/>
        <c:majorTickMark val="out"/>
        <c:minorTickMark val="none"/>
        <c:tickLblPos val="nextTo"/>
        <c:crossAx val="8043881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9</xdr:col>
      <xdr:colOff>9526</xdr:colOff>
      <xdr:row>10</xdr:row>
      <xdr:rowOff>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AB141F0-D53D-B631-3C56-B572E01A7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9200" y="1038225"/>
          <a:ext cx="3048001" cy="1047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6B2C47-9B37-363D-7D2D-6054A44661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11</xdr:col>
      <xdr:colOff>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0BA8A6-E4E9-1985-F2DF-2D06F701C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72</xdr:row>
      <xdr:rowOff>0</xdr:rowOff>
    </xdr:from>
    <xdr:to>
      <xdr:col>11</xdr:col>
      <xdr:colOff>0</xdr:colOff>
      <xdr:row>88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D8C3AE-ABE1-97B8-8050-05B7D68C6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0</xdr:row>
      <xdr:rowOff>171450</xdr:rowOff>
    </xdr:from>
    <xdr:to>
      <xdr:col>3</xdr:col>
      <xdr:colOff>295275</xdr:colOff>
      <xdr:row>0</xdr:row>
      <xdr:rowOff>692051</xdr:rowOff>
    </xdr:to>
    <xdr:pic>
      <xdr:nvPicPr>
        <xdr:cNvPr id="6" name="Graphic 5">
          <a:extLst>
            <a:ext uri="{FF2B5EF4-FFF2-40B4-BE49-F238E27FC236}">
              <a16:creationId xmlns:a16="http://schemas.microsoft.com/office/drawing/2014/main" id="{ADD69CEF-73D7-48F2-9902-6DEACA70F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609600" y="171450"/>
          <a:ext cx="1514475" cy="5206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161925</xdr:rowOff>
    </xdr:from>
    <xdr:to>
      <xdr:col>1</xdr:col>
      <xdr:colOff>1495425</xdr:colOff>
      <xdr:row>0</xdr:row>
      <xdr:rowOff>682526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B3A45365-98A0-4E2F-A772-D2D0DED66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4800" y="161925"/>
          <a:ext cx="1514475" cy="5206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58755-5040-4BB6-BFB0-858F42F104E7}">
  <dimension ref="B1:S40"/>
  <sheetViews>
    <sheetView showGridLines="0" workbookViewId="0"/>
  </sheetViews>
  <sheetFormatPr defaultRowHeight="15" x14ac:dyDescent="0.25"/>
  <cols>
    <col min="3" max="3" width="2.7109375" customWidth="1"/>
    <col min="4" max="4" width="3.140625" customWidth="1"/>
    <col min="9" max="9" width="3.140625" customWidth="1"/>
    <col min="18" max="18" width="9.140625" customWidth="1"/>
    <col min="19" max="19" width="9.42578125" customWidth="1"/>
  </cols>
  <sheetData>
    <row r="1" spans="2:19" ht="48" customHeight="1" thickBot="1" x14ac:dyDescent="0.3"/>
    <row r="2" spans="2:19" ht="16.5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 ht="16.5" x14ac:dyDescent="0.3">
      <c r="B3" s="4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2:19" ht="16.5" x14ac:dyDescent="0.3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 spans="2:19" ht="16.5" x14ac:dyDescent="0.3"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6"/>
    </row>
    <row r="6" spans="2:19" ht="16.5" x14ac:dyDescent="0.3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</row>
    <row r="7" spans="2:19" ht="16.5" x14ac:dyDescent="0.3">
      <c r="B7" s="4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6"/>
    </row>
    <row r="8" spans="2:19" ht="16.5" x14ac:dyDescent="0.3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6"/>
    </row>
    <row r="9" spans="2:19" ht="16.5" x14ac:dyDescent="0.3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6"/>
    </row>
    <row r="10" spans="2:19" ht="16.5" x14ac:dyDescent="0.3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6"/>
    </row>
    <row r="11" spans="2:19" ht="16.5" x14ac:dyDescent="0.3">
      <c r="B11" s="4"/>
      <c r="R11" s="5"/>
      <c r="S11" s="6"/>
    </row>
    <row r="12" spans="2:19" ht="16.5" x14ac:dyDescent="0.3">
      <c r="B12" s="4"/>
      <c r="R12" s="5"/>
      <c r="S12" s="6"/>
    </row>
    <row r="13" spans="2:19" ht="16.5" x14ac:dyDescent="0.3">
      <c r="B13" s="4"/>
      <c r="C13" s="19" t="s">
        <v>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6"/>
    </row>
    <row r="14" spans="2:19" ht="16.5" x14ac:dyDescent="0.3">
      <c r="B14" s="4"/>
      <c r="C14" s="5" t="s">
        <v>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6"/>
    </row>
    <row r="15" spans="2:19" ht="16.5" x14ac:dyDescent="0.3">
      <c r="B15" s="4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6"/>
    </row>
    <row r="16" spans="2:19" ht="16.5" x14ac:dyDescent="0.3">
      <c r="B16" s="4"/>
      <c r="C16" s="5" t="s">
        <v>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6"/>
    </row>
    <row r="17" spans="2:19" ht="16.5" x14ac:dyDescent="0.3">
      <c r="B17" s="4"/>
      <c r="C17" s="19" t="s">
        <v>0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8"/>
      <c r="S17" s="6"/>
    </row>
    <row r="18" spans="2:19" ht="16.5" x14ac:dyDescent="0.3">
      <c r="B18" s="4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</row>
    <row r="19" spans="2:19" ht="16.5" x14ac:dyDescent="0.3"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6"/>
    </row>
    <row r="20" spans="2:19" ht="17.25" thickBot="1" x14ac:dyDescent="0.35">
      <c r="B20" s="4"/>
      <c r="C20" s="69" t="s">
        <v>1</v>
      </c>
      <c r="D20" s="70"/>
      <c r="E20" s="70"/>
      <c r="F20" s="70"/>
      <c r="G20" s="70"/>
      <c r="H20" s="70"/>
      <c r="I20" s="70"/>
      <c r="J20" s="70"/>
      <c r="K20" s="70"/>
      <c r="L20" s="70"/>
      <c r="M20" s="69"/>
      <c r="N20" s="70"/>
      <c r="O20" s="70"/>
      <c r="P20" s="5"/>
      <c r="Q20" s="5"/>
      <c r="R20" s="5"/>
      <c r="S20" s="6"/>
    </row>
    <row r="21" spans="2:19" ht="16.5" x14ac:dyDescent="0.3">
      <c r="B21" s="4"/>
      <c r="C21" s="9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6"/>
    </row>
    <row r="22" spans="2:19" ht="16.5" x14ac:dyDescent="0.3">
      <c r="B22" s="4"/>
      <c r="C22" s="68"/>
      <c r="D22" s="68" t="s">
        <v>151</v>
      </c>
      <c r="E22" s="68"/>
      <c r="F22" s="68"/>
      <c r="G22" s="68"/>
      <c r="H22" s="22"/>
      <c r="I22" s="67" t="s">
        <v>2</v>
      </c>
      <c r="J22" s="68"/>
      <c r="K22" s="68"/>
      <c r="L22" s="68"/>
      <c r="M22" s="5"/>
      <c r="N22" s="5"/>
      <c r="O22" s="5"/>
      <c r="P22" s="5"/>
      <c r="Q22" s="5"/>
      <c r="R22" s="5"/>
      <c r="S22" s="6"/>
    </row>
    <row r="23" spans="2:19" ht="16.5" x14ac:dyDescent="0.3">
      <c r="B23" s="4"/>
      <c r="C23" s="68"/>
      <c r="D23" s="68"/>
      <c r="E23" s="68" t="s">
        <v>88</v>
      </c>
      <c r="F23" s="68"/>
      <c r="G23" s="68"/>
      <c r="H23" s="22"/>
      <c r="I23" s="68"/>
      <c r="J23" s="67" t="s">
        <v>61</v>
      </c>
      <c r="K23" s="68"/>
      <c r="L23" s="68"/>
      <c r="M23" s="5"/>
      <c r="N23" s="5"/>
      <c r="O23" s="5"/>
      <c r="P23" s="5"/>
      <c r="Q23" s="5"/>
      <c r="R23" s="5"/>
      <c r="S23" s="6"/>
    </row>
    <row r="24" spans="2:19" ht="16.5" x14ac:dyDescent="0.3">
      <c r="B24" s="4"/>
      <c r="C24" s="68"/>
      <c r="D24" s="68"/>
      <c r="E24" s="68" t="s">
        <v>89</v>
      </c>
      <c r="F24" s="68"/>
      <c r="G24" s="68"/>
      <c r="H24" s="22"/>
      <c r="I24" s="68"/>
      <c r="J24" s="67" t="s">
        <v>72</v>
      </c>
      <c r="K24" s="68"/>
      <c r="L24" s="68"/>
      <c r="M24" s="5"/>
      <c r="N24" s="5"/>
      <c r="O24" s="5"/>
      <c r="P24" s="5"/>
      <c r="Q24" s="5"/>
      <c r="R24" s="5"/>
      <c r="S24" s="6"/>
    </row>
    <row r="25" spans="2:19" ht="16.5" x14ac:dyDescent="0.3">
      <c r="B25" s="4"/>
      <c r="C25" s="68"/>
      <c r="D25" s="68"/>
      <c r="E25" s="68" t="s">
        <v>95</v>
      </c>
      <c r="F25" s="68"/>
      <c r="G25" s="68"/>
      <c r="H25" s="22"/>
      <c r="I25" s="68"/>
      <c r="J25" s="67" t="s">
        <v>79</v>
      </c>
      <c r="K25" s="68"/>
      <c r="L25" s="68"/>
      <c r="M25" s="5"/>
      <c r="N25" s="5"/>
      <c r="O25" s="5"/>
      <c r="P25" s="5"/>
      <c r="Q25" s="5"/>
      <c r="R25" s="5"/>
      <c r="S25" s="6"/>
    </row>
    <row r="26" spans="2:19" ht="16.5" x14ac:dyDescent="0.3">
      <c r="B26" s="4"/>
      <c r="C26" s="68"/>
      <c r="D26" s="68"/>
      <c r="E26" s="68" t="s">
        <v>133</v>
      </c>
      <c r="F26" s="68"/>
      <c r="G26" s="68"/>
      <c r="H26" s="22"/>
      <c r="I26" s="68"/>
      <c r="J26" s="67" t="s">
        <v>91</v>
      </c>
      <c r="K26" s="68"/>
      <c r="L26" s="68"/>
      <c r="M26" s="5"/>
      <c r="N26" s="5"/>
      <c r="O26" s="5"/>
      <c r="P26" s="5"/>
      <c r="Q26" s="5"/>
      <c r="R26" s="5"/>
      <c r="S26" s="6"/>
    </row>
    <row r="27" spans="2:19" ht="16.5" x14ac:dyDescent="0.3">
      <c r="B27" s="4"/>
      <c r="C27" s="22"/>
      <c r="D27" s="22"/>
      <c r="E27" s="67" t="s">
        <v>137</v>
      </c>
      <c r="F27" s="22"/>
      <c r="G27" s="22"/>
      <c r="H27" s="22"/>
      <c r="I27" s="22"/>
      <c r="J27" s="67" t="s">
        <v>7</v>
      </c>
      <c r="K27" s="67"/>
      <c r="L27" s="22"/>
      <c r="M27" s="5"/>
      <c r="N27" s="5"/>
      <c r="O27" s="5"/>
      <c r="P27" s="5"/>
      <c r="Q27" s="5"/>
      <c r="R27" s="5"/>
      <c r="S27" s="6"/>
    </row>
    <row r="28" spans="2:19" ht="16.5" x14ac:dyDescent="0.3">
      <c r="B28" s="4"/>
      <c r="C28" s="22"/>
      <c r="D28" s="22"/>
      <c r="E28" s="67" t="s">
        <v>139</v>
      </c>
      <c r="F28" s="22"/>
      <c r="G28" s="22"/>
      <c r="H28" s="22"/>
      <c r="I28" s="22"/>
      <c r="J28" s="67" t="s">
        <v>20</v>
      </c>
      <c r="K28" s="67"/>
      <c r="L28" s="22"/>
      <c r="M28" s="5"/>
      <c r="N28" s="5"/>
      <c r="O28" s="5"/>
      <c r="P28" s="5"/>
      <c r="Q28" s="5"/>
      <c r="R28" s="5"/>
      <c r="S28" s="6"/>
    </row>
    <row r="29" spans="2:19" ht="16.5" x14ac:dyDescent="0.3">
      <c r="B29" s="4"/>
      <c r="C29" s="22"/>
      <c r="D29" s="22"/>
      <c r="E29" s="22"/>
      <c r="F29" s="22"/>
      <c r="G29" s="22"/>
      <c r="H29" s="22"/>
      <c r="I29" s="5"/>
      <c r="J29" s="67" t="s">
        <v>116</v>
      </c>
      <c r="K29" s="5"/>
      <c r="L29" s="5"/>
      <c r="M29" s="5"/>
      <c r="N29" s="5"/>
      <c r="O29" s="5"/>
      <c r="P29" s="5"/>
      <c r="Q29" s="5"/>
      <c r="R29" s="5"/>
      <c r="S29" s="6"/>
    </row>
    <row r="30" spans="2:19" ht="16.5" x14ac:dyDescent="0.3">
      <c r="B30" s="4"/>
      <c r="C30" s="22"/>
      <c r="D30" s="22"/>
      <c r="E30" s="22"/>
      <c r="F30" s="22"/>
      <c r="G30" s="22"/>
      <c r="H30" s="22"/>
      <c r="I30" s="5"/>
      <c r="J30" s="67" t="s">
        <v>122</v>
      </c>
      <c r="K30" s="5"/>
      <c r="L30" s="5"/>
      <c r="M30" s="5"/>
      <c r="N30" s="5"/>
      <c r="O30" s="5"/>
      <c r="P30" s="5"/>
      <c r="Q30" s="5"/>
      <c r="R30" s="5"/>
      <c r="S30" s="6"/>
    </row>
    <row r="31" spans="2:19" ht="16.5" x14ac:dyDescent="0.3">
      <c r="B31" s="4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6"/>
    </row>
    <row r="32" spans="2:19" ht="16.5" x14ac:dyDescent="0.3">
      <c r="B32" s="4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6"/>
    </row>
    <row r="33" spans="2:19" ht="16.5" x14ac:dyDescent="0.3">
      <c r="B33" s="4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6"/>
    </row>
    <row r="34" spans="2:19" ht="17.25" thickBot="1" x14ac:dyDescent="0.35">
      <c r="B34" s="4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6"/>
    </row>
    <row r="35" spans="2:19" ht="16.5" x14ac:dyDescent="0.3">
      <c r="B35" s="10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2"/>
    </row>
    <row r="36" spans="2:19" ht="16.5" x14ac:dyDescent="0.3">
      <c r="B36" s="13"/>
      <c r="C36" s="71" t="s">
        <v>149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14"/>
    </row>
    <row r="37" spans="2:19" ht="16.5" x14ac:dyDescent="0.3">
      <c r="B37" s="13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14"/>
    </row>
    <row r="38" spans="2:19" ht="16.5" x14ac:dyDescent="0.3">
      <c r="B38" s="13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4"/>
    </row>
    <row r="39" spans="2:19" ht="16.5" x14ac:dyDescent="0.3">
      <c r="B39" s="13"/>
      <c r="C39" s="72" t="s">
        <v>3</v>
      </c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14"/>
    </row>
    <row r="40" spans="2:19" ht="17.25" thickBot="1" x14ac:dyDescent="0.3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8"/>
    </row>
  </sheetData>
  <mergeCells count="2">
    <mergeCell ref="C36:R37"/>
    <mergeCell ref="C39:R39"/>
  </mergeCells>
  <hyperlinks>
    <hyperlink ref="E23" location="Output!B2" display="The Big Picture" xr:uid="{4508D08E-5AC5-42C0-856F-5B945C620B6F}"/>
    <hyperlink ref="D22" location="Output!A1" display="Outputs" xr:uid="{820102F1-B00E-48DB-B2E4-2EFBBED99A32}"/>
    <hyperlink ref="E24" location="Output!B26" display="Profitability Deep Dive" xr:uid="{F5E2FEFB-C680-4B5C-ABAC-71F85E86751F}"/>
    <hyperlink ref="E25" location="Output!B47" display="Cost Structure Analysis" xr:uid="{B2F1492E-92E4-4455-94A0-5E50F554F314}"/>
    <hyperlink ref="E26" location="Output!B59" display="Financial Stability Section" xr:uid="{DE62D241-31B5-493B-B071-56030B739D49}"/>
    <hyperlink ref="E27" location="Output!B71" display="Productivity Angle" xr:uid="{1D112B9E-7E6F-41C3-B7AF-7A420FA482B1}"/>
    <hyperlink ref="E28" location="Output!B94" display="Strategic Recommendation" xr:uid="{54492401-C72E-4E77-88B6-91C690734843}"/>
    <hyperlink ref="I22" location="Input!A1" display="Inputs" xr:uid="{7E2730FB-24A3-4838-BD15-B697C4410683}"/>
    <hyperlink ref="J23" location="Input!B2" display="Summary Statement of Profit or Loss (EUR million)" xr:uid="{BB480D28-0584-4BB3-A508-9766CC3FEF19}"/>
    <hyperlink ref="J24" location="Input!B18" display="Summary Statement of Financial Position (EUR million)" xr:uid="{695259FF-407C-418E-AEF2-E0A940C0F65F}"/>
    <hyperlink ref="J25" location="Input!B31" display="Operational &amp; Per Employee Metrics" xr:uid="{26743159-6412-4FEE-9031-121D9ABE4F10}"/>
    <hyperlink ref="J26" location="Input!B43" display="Additional Ratio" xr:uid="{E64628B9-788A-49BB-8058-406CBFAEE91C}"/>
    <hyperlink ref="J27" location="Input!B57" display="CONSOLIDATED STATEMENT OF PROFIT OR LOSS" xr:uid="{BF9AF581-6482-4283-88F0-D30C3C024115}"/>
    <hyperlink ref="J28" location="Input!B80" display="CONSOLIDATED STATEMENT OF FINANCIAL POSITION" xr:uid="{9A912C95-5928-4F8E-96EF-DB7E59772794}"/>
    <hyperlink ref="J29" location="Input!B136" display="CASH FLOW STATEMENT" xr:uid="{DE3E17C5-B301-4C4C-9FBB-5930AC401B81}"/>
    <hyperlink ref="J30" location="Input!B147" display="CHANGES IN FIXED ASSETS (2024)" xr:uid="{529EE293-FCDB-475F-B44E-40143B2A0392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C702-7EBA-4299-8311-26894CC6E98A}">
  <dimension ref="A1:K102"/>
  <sheetViews>
    <sheetView showGridLines="0" workbookViewId="0">
      <pane ySplit="1" topLeftCell="A2" activePane="bottomLeft" state="frozen"/>
      <selection pane="bottomLeft"/>
    </sheetView>
  </sheetViews>
  <sheetFormatPr defaultRowHeight="15" outlineLevelRow="1" x14ac:dyDescent="0.25"/>
  <sheetData>
    <row r="1" spans="1:11" s="24" customFormat="1" ht="63" customHeight="1" thickBot="1" x14ac:dyDescent="0.35">
      <c r="A1" s="23"/>
      <c r="K1" s="66" t="s">
        <v>150</v>
      </c>
    </row>
    <row r="2" spans="1:11" ht="18" x14ac:dyDescent="0.35">
      <c r="B2" s="42" t="s">
        <v>88</v>
      </c>
      <c r="C2" s="41"/>
      <c r="D2" s="41"/>
      <c r="E2" s="41"/>
      <c r="F2" s="41"/>
      <c r="G2" s="41"/>
      <c r="H2" s="41"/>
      <c r="I2" s="41"/>
      <c r="J2" s="41"/>
      <c r="K2" s="41"/>
    </row>
    <row r="3" spans="1:11" outlineLevel="1" x14ac:dyDescent="0.25"/>
    <row r="4" spans="1:11" ht="15.75" outlineLevel="1" x14ac:dyDescent="0.3">
      <c r="B4" s="36" t="s">
        <v>87</v>
      </c>
    </row>
    <row r="5" spans="1:11" outlineLevel="1" x14ac:dyDescent="0.25"/>
    <row r="6" spans="1:11" outlineLevel="1" x14ac:dyDescent="0.25"/>
    <row r="7" spans="1:11" outlineLevel="1" x14ac:dyDescent="0.25"/>
    <row r="8" spans="1:11" outlineLevel="1" x14ac:dyDescent="0.25"/>
    <row r="9" spans="1:11" outlineLevel="1" x14ac:dyDescent="0.25"/>
    <row r="10" spans="1:11" outlineLevel="1" x14ac:dyDescent="0.25"/>
    <row r="11" spans="1:11" outlineLevel="1" x14ac:dyDescent="0.25"/>
    <row r="12" spans="1:11" outlineLevel="1" x14ac:dyDescent="0.25"/>
    <row r="13" spans="1:11" outlineLevel="1" x14ac:dyDescent="0.25"/>
    <row r="14" spans="1:11" outlineLevel="1" x14ac:dyDescent="0.25"/>
    <row r="15" spans="1:11" outlineLevel="1" x14ac:dyDescent="0.25"/>
    <row r="16" spans="1:11" outlineLevel="1" x14ac:dyDescent="0.25"/>
    <row r="17" spans="2:11" outlineLevel="1" x14ac:dyDescent="0.25"/>
    <row r="18" spans="2:11" outlineLevel="1" x14ac:dyDescent="0.25"/>
    <row r="19" spans="2:11" outlineLevel="1" x14ac:dyDescent="0.25"/>
    <row r="20" spans="2:11" outlineLevel="1" x14ac:dyDescent="0.25"/>
    <row r="21" spans="2:11" outlineLevel="1" x14ac:dyDescent="0.25"/>
    <row r="22" spans="2:11" ht="15" customHeight="1" outlineLevel="1" x14ac:dyDescent="0.25">
      <c r="B22" s="73" t="s">
        <v>140</v>
      </c>
      <c r="C22" s="73"/>
      <c r="D22" s="73"/>
      <c r="E22" s="73"/>
      <c r="F22" s="73"/>
      <c r="G22" s="73"/>
      <c r="H22" s="73"/>
      <c r="I22" s="73"/>
      <c r="J22" s="73"/>
      <c r="K22" s="73"/>
    </row>
    <row r="23" spans="2:11" outlineLevel="1" x14ac:dyDescent="0.25">
      <c r="B23" s="73"/>
      <c r="C23" s="73"/>
      <c r="D23" s="73"/>
      <c r="E23" s="73"/>
      <c r="F23" s="73"/>
      <c r="G23" s="73"/>
      <c r="H23" s="73"/>
      <c r="I23" s="73"/>
      <c r="J23" s="73"/>
      <c r="K23" s="73"/>
    </row>
    <row r="24" spans="2:11" outlineLevel="1" x14ac:dyDescent="0.25"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6" spans="2:11" ht="18" x14ac:dyDescent="0.35">
      <c r="B26" s="42" t="s">
        <v>89</v>
      </c>
      <c r="C26" s="41"/>
      <c r="D26" s="41"/>
      <c r="E26" s="41"/>
      <c r="F26" s="41"/>
      <c r="G26" s="41"/>
      <c r="H26" s="41"/>
      <c r="I26" s="41"/>
      <c r="J26" s="41"/>
      <c r="K26" s="41"/>
    </row>
    <row r="27" spans="2:11" outlineLevel="1" x14ac:dyDescent="0.25"/>
    <row r="28" spans="2:11" ht="15.75" outlineLevel="1" x14ac:dyDescent="0.3">
      <c r="B28" s="36" t="s">
        <v>90</v>
      </c>
    </row>
    <row r="29" spans="2:11" outlineLevel="1" x14ac:dyDescent="0.25"/>
    <row r="30" spans="2:11" outlineLevel="1" x14ac:dyDescent="0.25"/>
    <row r="31" spans="2:11" outlineLevel="1" x14ac:dyDescent="0.25"/>
    <row r="32" spans="2:11" outlineLevel="1" x14ac:dyDescent="0.25"/>
    <row r="33" spans="2:11" outlineLevel="1" x14ac:dyDescent="0.25"/>
    <row r="34" spans="2:11" outlineLevel="1" x14ac:dyDescent="0.25"/>
    <row r="35" spans="2:11" outlineLevel="1" x14ac:dyDescent="0.25"/>
    <row r="36" spans="2:11" outlineLevel="1" x14ac:dyDescent="0.25"/>
    <row r="37" spans="2:11" outlineLevel="1" x14ac:dyDescent="0.25"/>
    <row r="38" spans="2:11" outlineLevel="1" x14ac:dyDescent="0.25"/>
    <row r="39" spans="2:11" outlineLevel="1" x14ac:dyDescent="0.25"/>
    <row r="40" spans="2:11" outlineLevel="1" x14ac:dyDescent="0.25"/>
    <row r="41" spans="2:11" outlineLevel="1" x14ac:dyDescent="0.25"/>
    <row r="42" spans="2:11" outlineLevel="1" x14ac:dyDescent="0.25"/>
    <row r="43" spans="2:11" outlineLevel="1" x14ac:dyDescent="0.25"/>
    <row r="44" spans="2:11" outlineLevel="1" x14ac:dyDescent="0.25"/>
    <row r="45" spans="2:11" outlineLevel="1" x14ac:dyDescent="0.25"/>
    <row r="47" spans="2:11" ht="18" x14ac:dyDescent="0.35">
      <c r="B47" s="42" t="s">
        <v>95</v>
      </c>
      <c r="C47" s="41"/>
      <c r="D47" s="41"/>
      <c r="E47" s="41"/>
      <c r="F47" s="41"/>
      <c r="G47" s="41"/>
      <c r="H47" s="41"/>
      <c r="I47" s="41"/>
      <c r="J47" s="41"/>
      <c r="K47" s="41"/>
    </row>
    <row r="48" spans="2:11" ht="15.75" outlineLevel="1" thickBot="1" x14ac:dyDescent="0.3"/>
    <row r="49" spans="2:11" ht="15.75" outlineLevel="1" thickBot="1" x14ac:dyDescent="0.3">
      <c r="B49" s="31" t="s">
        <v>55</v>
      </c>
      <c r="C49" s="58"/>
      <c r="D49" s="58"/>
      <c r="E49" s="31">
        <v>2023</v>
      </c>
      <c r="F49" s="31">
        <v>2024</v>
      </c>
      <c r="H49" s="60" t="s">
        <v>132</v>
      </c>
      <c r="I49" s="61"/>
      <c r="J49" s="62"/>
      <c r="K49" s="59">
        <v>-0.06</v>
      </c>
    </row>
    <row r="50" spans="2:11" ht="16.5" outlineLevel="1" x14ac:dyDescent="0.3">
      <c r="E50" s="5"/>
      <c r="F50" s="5"/>
    </row>
    <row r="51" spans="2:11" outlineLevel="1" x14ac:dyDescent="0.25">
      <c r="B51" t="s">
        <v>60</v>
      </c>
      <c r="E51" s="28">
        <f>Input!F50</f>
        <v>0.73564755968272821</v>
      </c>
      <c r="F51" s="28">
        <f>Input!G50</f>
        <v>0.74995193904984236</v>
      </c>
    </row>
    <row r="52" spans="2:11" outlineLevel="1" x14ac:dyDescent="0.25">
      <c r="B52" t="s">
        <v>56</v>
      </c>
      <c r="E52" s="28">
        <f>Input!F51</f>
        <v>0.15090946431247607</v>
      </c>
      <c r="F52" s="28">
        <f>Input!G51</f>
        <v>0.15313549638828122</v>
      </c>
    </row>
    <row r="53" spans="2:11" outlineLevel="1" x14ac:dyDescent="0.25">
      <c r="B53" t="s">
        <v>57</v>
      </c>
      <c r="E53" s="28">
        <f>Input!F52</f>
        <v>6.3769813296625427E-2</v>
      </c>
      <c r="F53" s="28">
        <f>Input!G52</f>
        <v>6.3912683851619329E-2</v>
      </c>
    </row>
    <row r="54" spans="2:11" outlineLevel="1" x14ac:dyDescent="0.25">
      <c r="E54" s="28"/>
      <c r="F54" s="28"/>
    </row>
    <row r="55" spans="2:11" ht="15" customHeight="1" outlineLevel="1" x14ac:dyDescent="0.25">
      <c r="B55" s="73" t="s">
        <v>141</v>
      </c>
      <c r="C55" s="73"/>
      <c r="D55" s="73"/>
      <c r="E55" s="73"/>
      <c r="F55" s="73"/>
      <c r="G55" s="73"/>
      <c r="H55" s="73"/>
      <c r="I55" s="73"/>
      <c r="J55" s="73"/>
      <c r="K55" s="73"/>
    </row>
    <row r="56" spans="2:11" outlineLevel="1" x14ac:dyDescent="0.25">
      <c r="B56" s="73"/>
      <c r="C56" s="73"/>
      <c r="D56" s="73"/>
      <c r="E56" s="73"/>
      <c r="F56" s="73"/>
      <c r="G56" s="73"/>
      <c r="H56" s="73"/>
      <c r="I56" s="73"/>
      <c r="J56" s="73"/>
      <c r="K56" s="73"/>
    </row>
    <row r="57" spans="2:11" outlineLevel="1" x14ac:dyDescent="0.25">
      <c r="B57" s="64"/>
      <c r="C57" s="64"/>
      <c r="D57" s="64"/>
      <c r="E57" s="64"/>
      <c r="F57" s="64"/>
      <c r="G57" s="64"/>
      <c r="H57" s="64"/>
      <c r="I57" s="64"/>
      <c r="J57" s="64"/>
      <c r="K57" s="64"/>
    </row>
    <row r="58" spans="2:11" x14ac:dyDescent="0.25">
      <c r="D58" s="28"/>
      <c r="E58" s="28"/>
    </row>
    <row r="59" spans="2:11" ht="18" x14ac:dyDescent="0.35">
      <c r="B59" s="42" t="s">
        <v>133</v>
      </c>
      <c r="C59" s="41"/>
      <c r="D59" s="41"/>
      <c r="E59" s="41"/>
      <c r="F59" s="41"/>
      <c r="G59" s="41"/>
      <c r="H59" s="41"/>
      <c r="I59" s="41"/>
      <c r="J59" s="41"/>
      <c r="K59" s="41"/>
    </row>
    <row r="60" spans="2:11" outlineLevel="1" x14ac:dyDescent="0.25"/>
    <row r="61" spans="2:11" ht="16.5" outlineLevel="1" thickBot="1" x14ac:dyDescent="0.35">
      <c r="B61" s="63" t="s">
        <v>134</v>
      </c>
      <c r="C61" s="58"/>
      <c r="D61" s="58"/>
      <c r="E61" s="58"/>
      <c r="F61" s="58"/>
      <c r="G61" s="31">
        <v>2023</v>
      </c>
      <c r="H61" s="31">
        <v>2024</v>
      </c>
    </row>
    <row r="62" spans="2:11" outlineLevel="1" x14ac:dyDescent="0.25"/>
    <row r="63" spans="2:11" outlineLevel="1" x14ac:dyDescent="0.25">
      <c r="B63" t="s">
        <v>58</v>
      </c>
      <c r="G63" s="28">
        <f>Input!F53</f>
        <v>1.6267535226669165</v>
      </c>
      <c r="H63" s="28">
        <f>Input!G53</f>
        <v>1.8601285489294683</v>
      </c>
    </row>
    <row r="64" spans="2:11" outlineLevel="1" x14ac:dyDescent="0.25">
      <c r="B64" t="s">
        <v>59</v>
      </c>
      <c r="G64" s="28">
        <f>Input!F54</f>
        <v>2.5413460688069338</v>
      </c>
      <c r="H64" s="28">
        <f>Input!G54</f>
        <v>0.50071517968889678</v>
      </c>
    </row>
    <row r="65" spans="2:11" outlineLevel="1" x14ac:dyDescent="0.25">
      <c r="B65" t="s">
        <v>136</v>
      </c>
      <c r="G65" s="28">
        <f>Input!F26</f>
        <v>0.38100000000000001</v>
      </c>
      <c r="H65" s="28">
        <f>Input!G26</f>
        <v>0.35</v>
      </c>
    </row>
    <row r="66" spans="2:11" outlineLevel="1" x14ac:dyDescent="0.25"/>
    <row r="67" spans="2:11" ht="15" customHeight="1" outlineLevel="1" x14ac:dyDescent="0.25">
      <c r="B67" s="73" t="s">
        <v>142</v>
      </c>
      <c r="C67" s="73"/>
      <c r="D67" s="73"/>
      <c r="E67" s="73"/>
      <c r="F67" s="73"/>
      <c r="G67" s="73"/>
      <c r="H67" s="73"/>
      <c r="I67" s="73"/>
      <c r="J67" s="73"/>
      <c r="K67" s="73"/>
    </row>
    <row r="68" spans="2:11" outlineLevel="1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</row>
    <row r="69" spans="2:11" outlineLevel="1" x14ac:dyDescent="0.25">
      <c r="B69" s="65"/>
      <c r="C69" s="65"/>
      <c r="D69" s="65"/>
      <c r="E69" s="65"/>
      <c r="F69" s="65"/>
      <c r="G69" s="65"/>
      <c r="H69" s="65"/>
      <c r="I69" s="65"/>
      <c r="J69" s="65"/>
      <c r="K69" s="65"/>
    </row>
    <row r="71" spans="2:11" ht="18" x14ac:dyDescent="0.35">
      <c r="B71" s="42" t="s">
        <v>137</v>
      </c>
      <c r="C71" s="41"/>
      <c r="D71" s="41"/>
      <c r="E71" s="41"/>
      <c r="F71" s="41"/>
      <c r="G71" s="41"/>
      <c r="H71" s="41"/>
      <c r="I71" s="41"/>
      <c r="J71" s="41"/>
      <c r="K71" s="41"/>
    </row>
    <row r="72" spans="2:11" outlineLevel="1" x14ac:dyDescent="0.25"/>
    <row r="73" spans="2:11" outlineLevel="1" x14ac:dyDescent="0.25"/>
    <row r="74" spans="2:11" outlineLevel="1" x14ac:dyDescent="0.25"/>
    <row r="75" spans="2:11" outlineLevel="1" x14ac:dyDescent="0.25"/>
    <row r="76" spans="2:11" outlineLevel="1" x14ac:dyDescent="0.25"/>
    <row r="77" spans="2:11" outlineLevel="1" x14ac:dyDescent="0.25"/>
    <row r="78" spans="2:11" outlineLevel="1" x14ac:dyDescent="0.25"/>
    <row r="79" spans="2:11" outlineLevel="1" x14ac:dyDescent="0.25"/>
    <row r="80" spans="2:11" outlineLevel="1" x14ac:dyDescent="0.25"/>
    <row r="81" spans="2:11" outlineLevel="1" x14ac:dyDescent="0.25"/>
    <row r="82" spans="2:11" outlineLevel="1" x14ac:dyDescent="0.25"/>
    <row r="83" spans="2:11" outlineLevel="1" x14ac:dyDescent="0.25"/>
    <row r="84" spans="2:11" outlineLevel="1" x14ac:dyDescent="0.25"/>
    <row r="85" spans="2:11" outlineLevel="1" x14ac:dyDescent="0.25"/>
    <row r="86" spans="2:11" outlineLevel="1" x14ac:dyDescent="0.25"/>
    <row r="87" spans="2:11" outlineLevel="1" x14ac:dyDescent="0.25"/>
    <row r="88" spans="2:11" outlineLevel="1" x14ac:dyDescent="0.25"/>
    <row r="89" spans="2:11" outlineLevel="1" x14ac:dyDescent="0.25"/>
    <row r="90" spans="2:11" outlineLevel="1" x14ac:dyDescent="0.25">
      <c r="B90" s="73" t="s">
        <v>143</v>
      </c>
      <c r="C90" s="73"/>
      <c r="D90" s="73"/>
      <c r="E90" s="73"/>
      <c r="F90" s="73"/>
      <c r="G90" s="73"/>
      <c r="H90" s="73"/>
      <c r="I90" s="73"/>
      <c r="J90" s="73"/>
      <c r="K90" s="73"/>
    </row>
    <row r="91" spans="2:11" outlineLevel="1" x14ac:dyDescent="0.25">
      <c r="B91" s="73"/>
      <c r="C91" s="73"/>
      <c r="D91" s="73"/>
      <c r="E91" s="73"/>
      <c r="F91" s="73"/>
      <c r="G91" s="73"/>
      <c r="H91" s="73"/>
      <c r="I91" s="73"/>
      <c r="J91" s="73"/>
      <c r="K91" s="73"/>
    </row>
    <row r="92" spans="2:11" outlineLevel="1" x14ac:dyDescent="0.25"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4" spans="2:11" ht="18" x14ac:dyDescent="0.35">
      <c r="B94" s="42" t="s">
        <v>139</v>
      </c>
      <c r="C94" s="41"/>
      <c r="D94" s="41"/>
      <c r="E94" s="41"/>
      <c r="F94" s="41"/>
      <c r="G94" s="41"/>
      <c r="H94" s="41"/>
      <c r="I94" s="41"/>
      <c r="J94" s="41"/>
      <c r="K94" s="41"/>
    </row>
    <row r="95" spans="2:11" outlineLevel="1" x14ac:dyDescent="0.25"/>
    <row r="96" spans="2:11" ht="15.75" outlineLevel="1" x14ac:dyDescent="0.3">
      <c r="B96" s="36" t="s">
        <v>138</v>
      </c>
    </row>
    <row r="97" spans="2:2" ht="15.75" outlineLevel="1" x14ac:dyDescent="0.3">
      <c r="B97" s="22" t="s">
        <v>144</v>
      </c>
    </row>
    <row r="98" spans="2:2" ht="15.75" outlineLevel="1" x14ac:dyDescent="0.3">
      <c r="B98" s="22" t="s">
        <v>145</v>
      </c>
    </row>
    <row r="99" spans="2:2" ht="15.75" outlineLevel="1" x14ac:dyDescent="0.3">
      <c r="B99" s="22" t="s">
        <v>146</v>
      </c>
    </row>
    <row r="100" spans="2:2" ht="15.75" outlineLevel="1" x14ac:dyDescent="0.3">
      <c r="B100" s="22" t="s">
        <v>147</v>
      </c>
    </row>
    <row r="101" spans="2:2" ht="15.75" outlineLevel="1" x14ac:dyDescent="0.3">
      <c r="B101" s="22" t="s">
        <v>148</v>
      </c>
    </row>
    <row r="102" spans="2:2" outlineLevel="1" x14ac:dyDescent="0.25"/>
  </sheetData>
  <mergeCells count="4">
    <mergeCell ref="B22:K23"/>
    <mergeCell ref="B55:K56"/>
    <mergeCell ref="B67:K68"/>
    <mergeCell ref="B90:K9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30191-0067-4B43-8098-D3D9360349AE}">
  <dimension ref="A1:G157"/>
  <sheetViews>
    <sheetView showGridLines="0" tabSelected="1" workbookViewId="0">
      <pane ySplit="1" topLeftCell="A2" activePane="bottomLeft" state="frozen"/>
      <selection pane="bottomLeft"/>
    </sheetView>
  </sheetViews>
  <sheetFormatPr defaultRowHeight="16.5" outlineLevelRow="1" x14ac:dyDescent="0.3"/>
  <cols>
    <col min="1" max="1" width="4.85546875" style="5" customWidth="1"/>
    <col min="2" max="2" width="34.42578125" style="5" customWidth="1"/>
    <col min="3" max="7" width="14.7109375" style="5" customWidth="1"/>
    <col min="8" max="16384" width="9.140625" style="5"/>
  </cols>
  <sheetData>
    <row r="1" spans="1:7" s="24" customFormat="1" ht="63" customHeight="1" thickBot="1" x14ac:dyDescent="0.35">
      <c r="A1" s="23"/>
      <c r="G1" s="66" t="s">
        <v>150</v>
      </c>
    </row>
    <row r="2" spans="1:7" s="26" customFormat="1" ht="21" x14ac:dyDescent="0.25">
      <c r="A2" s="26" t="s">
        <v>19</v>
      </c>
      <c r="B2" s="20" t="s">
        <v>61</v>
      </c>
      <c r="C2" s="21"/>
      <c r="D2" s="21"/>
      <c r="E2" s="21"/>
      <c r="F2" s="21"/>
      <c r="G2" s="21"/>
    </row>
    <row r="3" spans="1:7" s="26" customFormat="1" ht="17.25" customHeight="1" outlineLevel="1" x14ac:dyDescent="0.25">
      <c r="B3" s="27"/>
    </row>
    <row r="4" spans="1:7" ht="17.25" outlineLevel="1" thickBot="1" x14ac:dyDescent="0.35">
      <c r="B4" s="38" t="s">
        <v>62</v>
      </c>
      <c r="C4" s="31">
        <v>2020</v>
      </c>
      <c r="D4" s="31">
        <v>2021</v>
      </c>
      <c r="E4" s="31">
        <v>2022</v>
      </c>
      <c r="F4" s="31">
        <v>2023</v>
      </c>
      <c r="G4" s="31">
        <v>2024</v>
      </c>
    </row>
    <row r="5" spans="1:7" outlineLevel="1" x14ac:dyDescent="0.3">
      <c r="B5" s="28" t="s">
        <v>8</v>
      </c>
      <c r="C5" s="28">
        <v>874</v>
      </c>
      <c r="D5" s="28">
        <v>1024.0999999999999</v>
      </c>
      <c r="E5" s="28">
        <v>1135.2</v>
      </c>
      <c r="F5" s="28">
        <v>1081</v>
      </c>
      <c r="G5" s="28">
        <v>1014.3</v>
      </c>
    </row>
    <row r="6" spans="1:7" outlineLevel="1" x14ac:dyDescent="0.3">
      <c r="B6" s="28" t="s">
        <v>13</v>
      </c>
      <c r="C6" s="28">
        <v>37.700000000000003</v>
      </c>
      <c r="D6" s="28">
        <v>61.1</v>
      </c>
      <c r="E6" s="28">
        <v>99.1</v>
      </c>
      <c r="F6" s="28">
        <v>62.2</v>
      </c>
      <c r="G6" s="28">
        <v>47.6</v>
      </c>
    </row>
    <row r="7" spans="1:7" outlineLevel="1" x14ac:dyDescent="0.3">
      <c r="B7" s="28" t="s">
        <v>63</v>
      </c>
      <c r="C7" s="28">
        <v>35.9</v>
      </c>
      <c r="D7" s="28">
        <v>61.1</v>
      </c>
      <c r="E7" s="28">
        <v>83.6</v>
      </c>
      <c r="F7" s="28">
        <v>62.2</v>
      </c>
      <c r="G7" s="28">
        <v>44.5</v>
      </c>
    </row>
    <row r="8" spans="1:7" outlineLevel="1" x14ac:dyDescent="0.3">
      <c r="B8" s="28" t="s">
        <v>64</v>
      </c>
      <c r="C8" s="28">
        <v>-3.7</v>
      </c>
      <c r="D8" s="28">
        <v>22.3</v>
      </c>
      <c r="E8" s="28">
        <v>65.5</v>
      </c>
      <c r="F8" s="28">
        <v>28.7</v>
      </c>
      <c r="G8" s="28">
        <v>5.6</v>
      </c>
    </row>
    <row r="9" spans="1:7" outlineLevel="1" x14ac:dyDescent="0.3">
      <c r="B9" s="28" t="s">
        <v>65</v>
      </c>
      <c r="C9" s="28">
        <v>3.4</v>
      </c>
      <c r="D9" s="28">
        <v>27.2</v>
      </c>
      <c r="E9" s="28">
        <v>49.9</v>
      </c>
      <c r="F9" s="28">
        <v>28.7</v>
      </c>
      <c r="G9" s="28">
        <v>9.5</v>
      </c>
    </row>
    <row r="10" spans="1:7" outlineLevel="1" x14ac:dyDescent="0.3">
      <c r="B10" s="28" t="s">
        <v>66</v>
      </c>
      <c r="C10" s="28">
        <v>-10.8</v>
      </c>
      <c r="D10" s="28">
        <v>18.3</v>
      </c>
      <c r="E10" s="28">
        <v>60</v>
      </c>
      <c r="F10" s="28">
        <v>17.399999999999999</v>
      </c>
      <c r="G10" s="28">
        <v>-5.6</v>
      </c>
    </row>
    <row r="11" spans="1:7" outlineLevel="1" x14ac:dyDescent="0.3">
      <c r="B11" s="28" t="s">
        <v>67</v>
      </c>
      <c r="C11" s="28">
        <v>-3.8</v>
      </c>
      <c r="D11" s="28">
        <v>23.2</v>
      </c>
      <c r="E11" s="28">
        <v>44.4</v>
      </c>
      <c r="F11" s="28">
        <v>17.399999999999999</v>
      </c>
      <c r="G11" s="28">
        <v>-1.7</v>
      </c>
    </row>
    <row r="12" spans="1:7" outlineLevel="1" x14ac:dyDescent="0.3">
      <c r="B12" s="28" t="s">
        <v>68</v>
      </c>
      <c r="C12" s="28">
        <v>-14.7</v>
      </c>
      <c r="D12" s="28">
        <v>14.1</v>
      </c>
      <c r="E12" s="28">
        <v>48.5</v>
      </c>
      <c r="F12" s="28">
        <v>14.4</v>
      </c>
      <c r="G12" s="28">
        <v>-5.0999999999999996</v>
      </c>
    </row>
    <row r="13" spans="1:7" outlineLevel="1" x14ac:dyDescent="0.3">
      <c r="B13" s="28" t="s">
        <v>69</v>
      </c>
      <c r="C13" s="28">
        <v>-5.9</v>
      </c>
      <c r="D13" s="28">
        <v>19.100000000000001</v>
      </c>
      <c r="E13" s="28">
        <v>48.5</v>
      </c>
      <c r="F13" s="28">
        <v>14.4</v>
      </c>
      <c r="G13" s="28">
        <v>0.7</v>
      </c>
    </row>
    <row r="14" spans="1:7" outlineLevel="1" x14ac:dyDescent="0.3">
      <c r="B14" s="28" t="s">
        <v>70</v>
      </c>
      <c r="C14" s="28">
        <v>-7.7</v>
      </c>
      <c r="D14" s="28">
        <v>19.100000000000001</v>
      </c>
      <c r="E14" s="28">
        <v>32.9</v>
      </c>
      <c r="F14" s="28">
        <v>14.4</v>
      </c>
      <c r="G14" s="28">
        <v>-2.4</v>
      </c>
    </row>
    <row r="15" spans="1:7" outlineLevel="1" x14ac:dyDescent="0.3">
      <c r="B15" s="28" t="s">
        <v>71</v>
      </c>
      <c r="C15" s="28">
        <v>34.700000000000003</v>
      </c>
      <c r="D15" s="28">
        <v>56.5</v>
      </c>
      <c r="E15" s="28">
        <v>74.400000000000006</v>
      </c>
      <c r="F15" s="28">
        <v>49.4</v>
      </c>
      <c r="G15" s="28">
        <v>29.7</v>
      </c>
    </row>
    <row r="16" spans="1:7" outlineLevel="1" x14ac:dyDescent="0.3">
      <c r="C16" s="25"/>
      <c r="D16" s="25"/>
      <c r="E16" s="25"/>
      <c r="F16" s="25"/>
      <c r="G16" s="25"/>
    </row>
    <row r="18" spans="1:7" s="26" customFormat="1" ht="21" x14ac:dyDescent="0.25">
      <c r="A18" s="26" t="s">
        <v>19</v>
      </c>
      <c r="B18" s="20" t="s">
        <v>72</v>
      </c>
      <c r="C18" s="21"/>
      <c r="D18" s="21"/>
      <c r="E18" s="21"/>
      <c r="F18" s="21"/>
      <c r="G18" s="21"/>
    </row>
    <row r="19" spans="1:7" outlineLevel="1" x14ac:dyDescent="0.3"/>
    <row r="20" spans="1:7" ht="17.25" outlineLevel="1" thickBot="1" x14ac:dyDescent="0.35">
      <c r="B20" s="38" t="s">
        <v>62</v>
      </c>
      <c r="C20" s="31">
        <v>2020</v>
      </c>
      <c r="D20" s="31">
        <v>2021</v>
      </c>
      <c r="E20" s="31">
        <v>2022</v>
      </c>
      <c r="F20" s="31">
        <v>2023</v>
      </c>
      <c r="G20" s="31">
        <v>2024</v>
      </c>
    </row>
    <row r="21" spans="1:7" outlineLevel="1" x14ac:dyDescent="0.3">
      <c r="B21" s="28" t="s">
        <v>73</v>
      </c>
      <c r="C21" s="28">
        <v>188.2</v>
      </c>
      <c r="D21" s="28">
        <v>209.9</v>
      </c>
      <c r="E21" s="28">
        <v>201.3</v>
      </c>
      <c r="F21" s="28">
        <v>203.6</v>
      </c>
      <c r="G21" s="28">
        <v>189.3</v>
      </c>
    </row>
    <row r="22" spans="1:7" outlineLevel="1" x14ac:dyDescent="0.3">
      <c r="B22" s="28" t="s">
        <v>74</v>
      </c>
      <c r="C22" s="28">
        <v>252.8</v>
      </c>
      <c r="D22" s="28">
        <v>286.8</v>
      </c>
      <c r="E22" s="28">
        <v>295.60000000000002</v>
      </c>
      <c r="F22" s="28">
        <v>300.89999999999998</v>
      </c>
      <c r="G22" s="28">
        <v>281.10000000000002</v>
      </c>
    </row>
    <row r="23" spans="1:7" outlineLevel="1" x14ac:dyDescent="0.3">
      <c r="B23" s="28" t="s">
        <v>54</v>
      </c>
      <c r="C23" s="28">
        <v>441</v>
      </c>
      <c r="D23" s="28">
        <v>496.7</v>
      </c>
      <c r="E23" s="28">
        <v>496.9</v>
      </c>
      <c r="F23" s="28">
        <v>504.4</v>
      </c>
      <c r="G23" s="28">
        <v>470.4</v>
      </c>
    </row>
    <row r="24" spans="1:7" outlineLevel="1" x14ac:dyDescent="0.3">
      <c r="B24" s="28" t="s">
        <v>75</v>
      </c>
      <c r="C24" s="28">
        <v>326.60000000000002</v>
      </c>
      <c r="D24" s="28">
        <v>368.1</v>
      </c>
      <c r="E24" s="28">
        <v>316</v>
      </c>
      <c r="F24" s="28">
        <v>312.39999999999998</v>
      </c>
      <c r="G24" s="28">
        <v>305.89999999999998</v>
      </c>
    </row>
    <row r="25" spans="1:7" outlineLevel="1" x14ac:dyDescent="0.3">
      <c r="B25" s="28" t="s">
        <v>76</v>
      </c>
      <c r="C25" s="28">
        <v>114.4</v>
      </c>
      <c r="D25" s="28">
        <v>128.6</v>
      </c>
      <c r="E25" s="28">
        <v>180.9</v>
      </c>
      <c r="F25" s="28">
        <v>192</v>
      </c>
      <c r="G25" s="28">
        <v>164.5</v>
      </c>
    </row>
    <row r="26" spans="1:7" outlineLevel="1" x14ac:dyDescent="0.3">
      <c r="B26" s="28" t="s">
        <v>77</v>
      </c>
      <c r="C26" s="35">
        <v>0.25900000000000001</v>
      </c>
      <c r="D26" s="35">
        <v>0.25900000000000001</v>
      </c>
      <c r="E26" s="35">
        <v>0.36399999999999999</v>
      </c>
      <c r="F26" s="35">
        <v>0.38100000000000001</v>
      </c>
      <c r="G26" s="35">
        <v>0.35</v>
      </c>
    </row>
    <row r="27" spans="1:7" outlineLevel="1" x14ac:dyDescent="0.3">
      <c r="B27" s="28" t="s">
        <v>50</v>
      </c>
      <c r="C27" s="28">
        <v>10.4</v>
      </c>
      <c r="D27" s="28">
        <v>21.3</v>
      </c>
      <c r="E27" s="28">
        <v>22</v>
      </c>
      <c r="F27" s="28">
        <v>21.5</v>
      </c>
      <c r="G27" s="28">
        <v>15.5</v>
      </c>
    </row>
    <row r="28" spans="1:7" outlineLevel="1" x14ac:dyDescent="0.3">
      <c r="B28" s="28" t="s">
        <v>78</v>
      </c>
      <c r="C28" s="35">
        <v>1.2E-2</v>
      </c>
      <c r="D28" s="35">
        <v>2.1000000000000001E-2</v>
      </c>
      <c r="E28" s="35">
        <v>2.1000000000000001E-2</v>
      </c>
      <c r="F28" s="35">
        <v>0.02</v>
      </c>
      <c r="G28" s="35">
        <v>1.4999999999999999E-2</v>
      </c>
    </row>
    <row r="29" spans="1:7" outlineLevel="1" x14ac:dyDescent="0.3">
      <c r="B29" s="28"/>
      <c r="C29" s="28"/>
      <c r="D29" s="28"/>
      <c r="E29" s="28"/>
      <c r="F29" s="28"/>
      <c r="G29" s="28"/>
    </row>
    <row r="30" spans="1:7" x14ac:dyDescent="0.3">
      <c r="B30" s="28"/>
      <c r="C30" s="28"/>
      <c r="D30" s="28"/>
      <c r="E30" s="28"/>
      <c r="F30" s="28"/>
      <c r="G30" s="28"/>
    </row>
    <row r="31" spans="1:7" s="26" customFormat="1" ht="21" x14ac:dyDescent="0.25">
      <c r="A31" s="26" t="s">
        <v>19</v>
      </c>
      <c r="B31" s="20" t="s">
        <v>79</v>
      </c>
      <c r="C31" s="21"/>
      <c r="D31" s="21"/>
      <c r="E31" s="21"/>
      <c r="F31" s="21"/>
      <c r="G31" s="21"/>
    </row>
    <row r="32" spans="1:7" outlineLevel="1" x14ac:dyDescent="0.3"/>
    <row r="33" spans="1:7" ht="17.25" outlineLevel="1" thickBot="1" x14ac:dyDescent="0.35">
      <c r="B33" s="38"/>
      <c r="C33" s="31">
        <v>2020</v>
      </c>
      <c r="D33" s="31">
        <v>2021</v>
      </c>
      <c r="E33" s="31">
        <v>2022</v>
      </c>
      <c r="F33" s="31">
        <v>2023</v>
      </c>
      <c r="G33" s="31">
        <v>2024</v>
      </c>
    </row>
    <row r="34" spans="1:7" outlineLevel="1" x14ac:dyDescent="0.3">
      <c r="B34" s="28" t="s">
        <v>80</v>
      </c>
      <c r="C34" s="28">
        <v>3292</v>
      </c>
      <c r="D34" s="28">
        <v>3255</v>
      </c>
      <c r="E34" s="28">
        <v>2837</v>
      </c>
      <c r="F34" s="28">
        <v>2862</v>
      </c>
      <c r="G34" s="28">
        <v>2583</v>
      </c>
    </row>
    <row r="35" spans="1:7" outlineLevel="1" x14ac:dyDescent="0.3">
      <c r="B35" s="28" t="s">
        <v>81</v>
      </c>
      <c r="C35" s="28">
        <v>265.5</v>
      </c>
      <c r="D35" s="28">
        <v>314.60000000000002</v>
      </c>
      <c r="E35" s="28">
        <v>372.6</v>
      </c>
      <c r="F35" s="28">
        <v>377.7</v>
      </c>
      <c r="G35" s="28">
        <v>392.7</v>
      </c>
    </row>
    <row r="36" spans="1:7" outlineLevel="1" x14ac:dyDescent="0.3">
      <c r="B36" s="28" t="s">
        <v>82</v>
      </c>
      <c r="C36" s="28">
        <v>-1.1000000000000001</v>
      </c>
      <c r="D36" s="28">
        <v>6.9</v>
      </c>
      <c r="E36" s="28">
        <v>17.399999999999999</v>
      </c>
      <c r="F36" s="28">
        <v>10</v>
      </c>
      <c r="G36" s="28">
        <v>2.2000000000000002</v>
      </c>
    </row>
    <row r="37" spans="1:7" outlineLevel="1" x14ac:dyDescent="0.3">
      <c r="B37" s="28" t="s">
        <v>83</v>
      </c>
      <c r="C37" s="28">
        <v>10.5</v>
      </c>
      <c r="D37" s="28">
        <v>17.399999999999999</v>
      </c>
      <c r="E37" s="28">
        <v>25.8</v>
      </c>
      <c r="F37" s="28">
        <v>17.2</v>
      </c>
      <c r="G37" s="28">
        <v>11.5</v>
      </c>
    </row>
    <row r="38" spans="1:7" outlineLevel="1" x14ac:dyDescent="0.3">
      <c r="B38" s="28" t="s">
        <v>84</v>
      </c>
      <c r="C38" s="25">
        <v>9434990</v>
      </c>
      <c r="D38" s="25">
        <v>9434990</v>
      </c>
      <c r="E38" s="25">
        <v>8651491</v>
      </c>
      <c r="F38" s="25">
        <v>8651491</v>
      </c>
      <c r="G38" s="25">
        <v>8651491</v>
      </c>
    </row>
    <row r="39" spans="1:7" outlineLevel="1" x14ac:dyDescent="0.3">
      <c r="B39" s="28" t="s">
        <v>85</v>
      </c>
      <c r="C39" s="25">
        <v>-793499</v>
      </c>
      <c r="D39" s="25">
        <v>-783499</v>
      </c>
      <c r="E39" s="25">
        <v>0</v>
      </c>
      <c r="F39" s="25">
        <v>0</v>
      </c>
      <c r="G39" s="25">
        <v>-865149</v>
      </c>
    </row>
    <row r="40" spans="1:7" outlineLevel="1" x14ac:dyDescent="0.3">
      <c r="B40" s="28" t="s">
        <v>86</v>
      </c>
      <c r="C40" s="25">
        <v>8641491</v>
      </c>
      <c r="D40" s="25">
        <v>8651491</v>
      </c>
      <c r="E40" s="25">
        <v>8651491</v>
      </c>
      <c r="F40" s="25">
        <v>8651491</v>
      </c>
      <c r="G40" s="25">
        <v>7786342</v>
      </c>
    </row>
    <row r="41" spans="1:7" outlineLevel="1" x14ac:dyDescent="0.3">
      <c r="B41" s="28"/>
      <c r="C41" s="40"/>
      <c r="D41" s="40"/>
      <c r="E41" s="40"/>
      <c r="F41" s="40"/>
      <c r="G41" s="40"/>
    </row>
    <row r="43" spans="1:7" s="26" customFormat="1" ht="21" x14ac:dyDescent="0.25">
      <c r="A43" s="26" t="s">
        <v>19</v>
      </c>
      <c r="B43" s="20" t="s">
        <v>91</v>
      </c>
      <c r="C43" s="21"/>
      <c r="D43" s="21"/>
      <c r="E43" s="21"/>
      <c r="F43" s="21"/>
      <c r="G43" s="21"/>
    </row>
    <row r="44" spans="1:7" outlineLevel="1" x14ac:dyDescent="0.3"/>
    <row r="45" spans="1:7" ht="17.25" outlineLevel="1" thickBot="1" x14ac:dyDescent="0.35">
      <c r="B45" s="38"/>
      <c r="C45" s="31">
        <v>2020</v>
      </c>
      <c r="D45" s="31">
        <v>2021</v>
      </c>
      <c r="E45" s="31">
        <v>2022</v>
      </c>
      <c r="F45" s="31">
        <v>2023</v>
      </c>
      <c r="G45" s="31">
        <v>2024</v>
      </c>
    </row>
    <row r="46" spans="1:7" outlineLevel="1" x14ac:dyDescent="0.3"/>
    <row r="47" spans="1:7" outlineLevel="1" x14ac:dyDescent="0.3">
      <c r="B47" s="28" t="s">
        <v>92</v>
      </c>
      <c r="C47" s="28">
        <f>C7/C5</f>
        <v>4.1075514874141877E-2</v>
      </c>
      <c r="D47" s="28">
        <f t="shared" ref="D47:G47" si="0">D7/D5</f>
        <v>5.9662142368909293E-2</v>
      </c>
      <c r="E47" s="28">
        <f t="shared" si="0"/>
        <v>7.364341085271317E-2</v>
      </c>
      <c r="F47" s="28">
        <f t="shared" si="0"/>
        <v>5.7539315448658652E-2</v>
      </c>
      <c r="G47" s="28">
        <f t="shared" si="0"/>
        <v>4.3872621512373068E-2</v>
      </c>
    </row>
    <row r="48" spans="1:7" outlineLevel="1" x14ac:dyDescent="0.3">
      <c r="B48" s="28" t="s">
        <v>93</v>
      </c>
      <c r="C48" s="28">
        <f>C9/C5</f>
        <v>3.8901601830663613E-3</v>
      </c>
      <c r="D48" s="28">
        <f t="shared" ref="D48:G48" si="1">D9/D5</f>
        <v>2.655990625915438E-2</v>
      </c>
      <c r="E48" s="28">
        <f t="shared" si="1"/>
        <v>4.3957011980267788E-2</v>
      </c>
      <c r="F48" s="28">
        <f t="shared" si="1"/>
        <v>2.6549491211840887E-2</v>
      </c>
      <c r="G48" s="28">
        <f t="shared" si="1"/>
        <v>9.3660652666863846E-3</v>
      </c>
    </row>
    <row r="49" spans="1:7" outlineLevel="1" x14ac:dyDescent="0.3">
      <c r="B49" s="28" t="s">
        <v>94</v>
      </c>
      <c r="C49" s="28">
        <f>C14/C5</f>
        <v>-8.8100686498855836E-3</v>
      </c>
      <c r="D49" s="28">
        <f t="shared" ref="D49:F49" si="2">D14/D5</f>
        <v>1.8650522409920909E-2</v>
      </c>
      <c r="E49" s="28">
        <f t="shared" si="2"/>
        <v>2.8981677237491187E-2</v>
      </c>
      <c r="F49" s="28">
        <f t="shared" si="2"/>
        <v>1.3320999074930621E-2</v>
      </c>
      <c r="G49" s="28">
        <f>G14/G5</f>
        <v>-2.3661638568470869E-3</v>
      </c>
    </row>
    <row r="50" spans="1:7" outlineLevel="1" x14ac:dyDescent="0.3">
      <c r="B50" s="28" t="s">
        <v>129</v>
      </c>
      <c r="C50" s="28"/>
      <c r="D50" s="28"/>
      <c r="E50" s="28"/>
      <c r="F50" s="28">
        <f>-F66/F61</f>
        <v>0.73564755968272821</v>
      </c>
      <c r="G50" s="28">
        <f>-G66/G61</f>
        <v>0.74995193904984236</v>
      </c>
    </row>
    <row r="51" spans="1:7" outlineLevel="1" x14ac:dyDescent="0.3">
      <c r="B51" s="28" t="s">
        <v>130</v>
      </c>
      <c r="C51" s="28"/>
      <c r="D51" s="28"/>
      <c r="E51" s="28"/>
      <c r="F51" s="28">
        <f>-F67/F61</f>
        <v>0.15090946431247607</v>
      </c>
      <c r="G51" s="28">
        <f>-G67/G61</f>
        <v>0.15313549638828122</v>
      </c>
    </row>
    <row r="52" spans="1:7" outlineLevel="1" x14ac:dyDescent="0.3">
      <c r="B52" s="28" t="s">
        <v>131</v>
      </c>
      <c r="C52" s="28"/>
      <c r="D52" s="28"/>
      <c r="E52" s="28"/>
      <c r="F52" s="28">
        <f>-F68/F61</f>
        <v>6.3769813296625427E-2</v>
      </c>
      <c r="G52" s="28">
        <f>-G68/G61</f>
        <v>6.3912683851619329E-2</v>
      </c>
    </row>
    <row r="53" spans="1:7" outlineLevel="1" x14ac:dyDescent="0.3">
      <c r="B53" s="28" t="s">
        <v>58</v>
      </c>
      <c r="C53" s="28"/>
      <c r="D53" s="28"/>
      <c r="E53" s="28"/>
      <c r="F53" s="28">
        <f>(F121+F131)/F112</f>
        <v>1.6267535226669165</v>
      </c>
      <c r="G53" s="28">
        <f>(G121+G131)/G112</f>
        <v>1.8601285489294683</v>
      </c>
    </row>
    <row r="54" spans="1:7" outlineLevel="1" x14ac:dyDescent="0.3">
      <c r="B54" s="28" t="s">
        <v>135</v>
      </c>
      <c r="C54" s="28"/>
      <c r="D54" s="28"/>
      <c r="E54" s="28"/>
      <c r="F54" s="28">
        <f>F72/-F73</f>
        <v>2.5413460688069338</v>
      </c>
      <c r="G54" s="28">
        <f>G72/-G73</f>
        <v>0.50071517968889678</v>
      </c>
    </row>
    <row r="55" spans="1:7" outlineLevel="1" x14ac:dyDescent="0.3"/>
    <row r="57" spans="1:7" s="26" customFormat="1" ht="21" x14ac:dyDescent="0.25">
      <c r="A57" s="26" t="s">
        <v>19</v>
      </c>
      <c r="B57" s="20" t="s">
        <v>7</v>
      </c>
      <c r="C57" s="21"/>
      <c r="D57" s="21"/>
      <c r="E57" s="21"/>
      <c r="F57" s="21"/>
      <c r="G57" s="21"/>
    </row>
    <row r="58" spans="1:7" outlineLevel="1" x14ac:dyDescent="0.3"/>
    <row r="59" spans="1:7" ht="17.25" outlineLevel="1" thickBot="1" x14ac:dyDescent="0.35">
      <c r="F59" s="31">
        <v>2023</v>
      </c>
      <c r="G59" s="31">
        <v>2024</v>
      </c>
    </row>
    <row r="60" spans="1:7" outlineLevel="1" x14ac:dyDescent="0.3">
      <c r="B60" s="51" t="s">
        <v>103</v>
      </c>
    </row>
    <row r="61" spans="1:7" outlineLevel="1" x14ac:dyDescent="0.3">
      <c r="B61" s="28" t="s">
        <v>8</v>
      </c>
      <c r="F61" s="25">
        <v>1080966</v>
      </c>
      <c r="G61" s="25">
        <v>1014337</v>
      </c>
    </row>
    <row r="62" spans="1:7" outlineLevel="1" x14ac:dyDescent="0.3">
      <c r="B62" s="28" t="s">
        <v>96</v>
      </c>
      <c r="F62" s="25">
        <v>1233</v>
      </c>
      <c r="G62" s="25">
        <v>-559</v>
      </c>
    </row>
    <row r="63" spans="1:7" outlineLevel="1" x14ac:dyDescent="0.3">
      <c r="B63" s="28" t="s">
        <v>9</v>
      </c>
      <c r="F63" s="25">
        <v>7</v>
      </c>
      <c r="G63" s="25">
        <v>31</v>
      </c>
    </row>
    <row r="64" spans="1:7" s="7" customFormat="1" outlineLevel="1" x14ac:dyDescent="0.3">
      <c r="B64" s="46" t="s">
        <v>10</v>
      </c>
      <c r="C64" s="47"/>
      <c r="D64" s="47"/>
      <c r="E64" s="47"/>
      <c r="F64" s="30">
        <v>7256</v>
      </c>
      <c r="G64" s="30">
        <v>14635</v>
      </c>
    </row>
    <row r="65" spans="1:7" outlineLevel="1" x14ac:dyDescent="0.3">
      <c r="B65" s="44" t="s">
        <v>97</v>
      </c>
      <c r="F65" s="29">
        <v>1089462</v>
      </c>
      <c r="G65" s="29">
        <v>1028444</v>
      </c>
    </row>
    <row r="66" spans="1:7" outlineLevel="1" x14ac:dyDescent="0.3">
      <c r="B66" s="28" t="s">
        <v>98</v>
      </c>
      <c r="F66" s="25">
        <v>-795210</v>
      </c>
      <c r="G66" s="25">
        <v>-760704</v>
      </c>
    </row>
    <row r="67" spans="1:7" outlineLevel="1" x14ac:dyDescent="0.3">
      <c r="B67" s="28" t="s">
        <v>11</v>
      </c>
      <c r="F67" s="25">
        <v>-163128</v>
      </c>
      <c r="G67" s="25">
        <v>-155331</v>
      </c>
    </row>
    <row r="68" spans="1:7" s="7" customFormat="1" outlineLevel="1" x14ac:dyDescent="0.3">
      <c r="B68" s="46" t="s">
        <v>12</v>
      </c>
      <c r="C68" s="47"/>
      <c r="D68" s="47"/>
      <c r="E68" s="47"/>
      <c r="F68" s="30">
        <v>-68933</v>
      </c>
      <c r="G68" s="30">
        <v>-64829</v>
      </c>
    </row>
    <row r="69" spans="1:7" outlineLevel="1" x14ac:dyDescent="0.3">
      <c r="B69" s="44" t="s">
        <v>13</v>
      </c>
      <c r="F69" s="29">
        <v>62191</v>
      </c>
      <c r="G69" s="29">
        <v>47580</v>
      </c>
    </row>
    <row r="70" spans="1:7" outlineLevel="1" x14ac:dyDescent="0.3">
      <c r="B70" s="28" t="s">
        <v>99</v>
      </c>
      <c r="F70" s="25">
        <v>-33456</v>
      </c>
      <c r="G70" s="25">
        <v>-35081</v>
      </c>
    </row>
    <row r="71" spans="1:7" s="7" customFormat="1" outlineLevel="1" x14ac:dyDescent="0.3">
      <c r="B71" s="46" t="s">
        <v>14</v>
      </c>
      <c r="C71" s="47"/>
      <c r="D71" s="47"/>
      <c r="E71" s="47"/>
      <c r="F71" s="45">
        <v>0</v>
      </c>
      <c r="G71" s="30">
        <v>-6898</v>
      </c>
    </row>
    <row r="72" spans="1:7" outlineLevel="1" x14ac:dyDescent="0.3">
      <c r="B72" s="44" t="s">
        <v>15</v>
      </c>
      <c r="F72" s="29">
        <v>28735</v>
      </c>
      <c r="G72" s="29">
        <v>5601</v>
      </c>
    </row>
    <row r="73" spans="1:7" s="7" customFormat="1" outlineLevel="1" x14ac:dyDescent="0.3">
      <c r="B73" s="46" t="s">
        <v>16</v>
      </c>
      <c r="C73" s="47"/>
      <c r="D73" s="47"/>
      <c r="E73" s="47"/>
      <c r="F73" s="30">
        <v>-11307</v>
      </c>
      <c r="G73" s="30">
        <v>-11186</v>
      </c>
    </row>
    <row r="74" spans="1:7" outlineLevel="1" x14ac:dyDescent="0.3">
      <c r="B74" s="48" t="s">
        <v>101</v>
      </c>
      <c r="C74" s="49"/>
      <c r="D74" s="49"/>
      <c r="E74" s="49"/>
      <c r="F74" s="50">
        <v>17428</v>
      </c>
      <c r="G74" s="50">
        <v>-5585</v>
      </c>
    </row>
    <row r="75" spans="1:7" s="7" customFormat="1" outlineLevel="1" x14ac:dyDescent="0.3">
      <c r="B75" s="46" t="s">
        <v>17</v>
      </c>
      <c r="C75" s="47"/>
      <c r="D75" s="47"/>
      <c r="E75" s="47"/>
      <c r="F75" s="30">
        <v>-3029</v>
      </c>
      <c r="G75" s="30">
        <v>476</v>
      </c>
    </row>
    <row r="76" spans="1:7" outlineLevel="1" x14ac:dyDescent="0.3">
      <c r="B76" s="44" t="s">
        <v>18</v>
      </c>
      <c r="F76" s="29">
        <v>14399</v>
      </c>
      <c r="G76" s="29">
        <v>-5109</v>
      </c>
    </row>
    <row r="77" spans="1:7" outlineLevel="1" x14ac:dyDescent="0.3">
      <c r="B77" s="28" t="s">
        <v>102</v>
      </c>
      <c r="F77" s="25">
        <v>1.66</v>
      </c>
      <c r="G77" s="25">
        <v>-0.63</v>
      </c>
    </row>
    <row r="78" spans="1:7" outlineLevel="1" x14ac:dyDescent="0.3"/>
    <row r="80" spans="1:7" s="26" customFormat="1" ht="21" x14ac:dyDescent="0.25">
      <c r="A80" s="26" t="s">
        <v>19</v>
      </c>
      <c r="B80" s="20" t="s">
        <v>20</v>
      </c>
      <c r="C80" s="21"/>
      <c r="D80" s="21"/>
      <c r="E80" s="21"/>
      <c r="F80" s="21"/>
      <c r="G80" s="21"/>
    </row>
    <row r="81" spans="2:7" outlineLevel="1" x14ac:dyDescent="0.3"/>
    <row r="82" spans="2:7" ht="17.25" outlineLevel="1" thickBot="1" x14ac:dyDescent="0.35">
      <c r="B82" s="51" t="s">
        <v>103</v>
      </c>
      <c r="F82" s="31">
        <v>2023</v>
      </c>
      <c r="G82" s="31">
        <v>2024</v>
      </c>
    </row>
    <row r="83" spans="2:7" ht="18" outlineLevel="1" x14ac:dyDescent="0.3">
      <c r="B83" s="53" t="s">
        <v>21</v>
      </c>
    </row>
    <row r="84" spans="2:7" outlineLevel="1" x14ac:dyDescent="0.3">
      <c r="B84" s="44" t="s">
        <v>22</v>
      </c>
    </row>
    <row r="85" spans="2:7" outlineLevel="1" x14ac:dyDescent="0.3">
      <c r="B85" s="28" t="s">
        <v>23</v>
      </c>
      <c r="F85" s="39">
        <v>20386</v>
      </c>
      <c r="G85" s="39">
        <v>18046</v>
      </c>
    </row>
    <row r="86" spans="2:7" outlineLevel="1" x14ac:dyDescent="0.3">
      <c r="B86" s="28" t="s">
        <v>24</v>
      </c>
      <c r="F86" s="39">
        <v>70460</v>
      </c>
      <c r="G86" s="39">
        <v>69700</v>
      </c>
    </row>
    <row r="87" spans="2:7" outlineLevel="1" x14ac:dyDescent="0.3">
      <c r="B87" s="28" t="s">
        <v>25</v>
      </c>
      <c r="F87" s="39">
        <v>108118</v>
      </c>
      <c r="G87" s="39">
        <v>96703</v>
      </c>
    </row>
    <row r="88" spans="2:7" outlineLevel="1" x14ac:dyDescent="0.3">
      <c r="B88" s="28" t="s">
        <v>26</v>
      </c>
      <c r="F88" s="34">
        <v>40</v>
      </c>
      <c r="G88" s="34">
        <v>40</v>
      </c>
    </row>
    <row r="89" spans="2:7" outlineLevel="1" x14ac:dyDescent="0.3">
      <c r="B89" s="28" t="s">
        <v>27</v>
      </c>
      <c r="F89" s="39">
        <v>2113</v>
      </c>
      <c r="G89" s="39">
        <v>2220</v>
      </c>
    </row>
    <row r="90" spans="2:7" outlineLevel="1" x14ac:dyDescent="0.3">
      <c r="B90" s="46" t="s">
        <v>28</v>
      </c>
      <c r="C90" s="32"/>
      <c r="D90" s="32"/>
      <c r="E90" s="32"/>
      <c r="F90" s="52">
        <v>2468</v>
      </c>
      <c r="G90" s="52">
        <v>2587</v>
      </c>
    </row>
    <row r="91" spans="2:7" outlineLevel="1" x14ac:dyDescent="0.3">
      <c r="B91" s="44" t="s">
        <v>104</v>
      </c>
      <c r="F91" s="43">
        <v>203585</v>
      </c>
      <c r="G91" s="43">
        <v>189296</v>
      </c>
    </row>
    <row r="92" spans="2:7" outlineLevel="1" x14ac:dyDescent="0.3"/>
    <row r="93" spans="2:7" outlineLevel="1" x14ac:dyDescent="0.3">
      <c r="B93" s="44" t="s">
        <v>29</v>
      </c>
    </row>
    <row r="94" spans="2:7" outlineLevel="1" x14ac:dyDescent="0.3">
      <c r="B94" s="28" t="s">
        <v>30</v>
      </c>
      <c r="F94" s="39">
        <v>203961</v>
      </c>
      <c r="G94" s="39">
        <v>182928</v>
      </c>
    </row>
    <row r="95" spans="2:7" outlineLevel="1" x14ac:dyDescent="0.3">
      <c r="B95" s="28" t="s">
        <v>105</v>
      </c>
      <c r="F95" s="39">
        <v>29986</v>
      </c>
      <c r="G95" s="39">
        <v>22477</v>
      </c>
    </row>
    <row r="96" spans="2:7" outlineLevel="1" x14ac:dyDescent="0.3">
      <c r="B96" s="28" t="s">
        <v>31</v>
      </c>
      <c r="F96" s="39">
        <v>1305</v>
      </c>
      <c r="G96" s="39">
        <v>1428</v>
      </c>
    </row>
    <row r="97" spans="2:7" outlineLevel="1" x14ac:dyDescent="0.3">
      <c r="B97" s="28" t="s">
        <v>32</v>
      </c>
      <c r="F97" s="39">
        <v>9000</v>
      </c>
      <c r="G97" s="39">
        <v>0</v>
      </c>
    </row>
    <row r="98" spans="2:7" outlineLevel="1" x14ac:dyDescent="0.3">
      <c r="B98" s="28" t="s">
        <v>27</v>
      </c>
      <c r="F98" s="39">
        <v>10238</v>
      </c>
      <c r="G98" s="39">
        <v>14811</v>
      </c>
    </row>
    <row r="99" spans="2:7" outlineLevel="1" x14ac:dyDescent="0.3">
      <c r="B99" s="28" t="s">
        <v>33</v>
      </c>
      <c r="F99" s="39">
        <v>6529</v>
      </c>
      <c r="G99" s="39">
        <v>11010</v>
      </c>
    </row>
    <row r="100" spans="2:7" outlineLevel="1" x14ac:dyDescent="0.3">
      <c r="B100" s="46" t="s">
        <v>106</v>
      </c>
      <c r="C100" s="32"/>
      <c r="D100" s="32"/>
      <c r="E100" s="32"/>
      <c r="F100" s="52">
        <v>39843</v>
      </c>
      <c r="G100" s="52">
        <v>48401</v>
      </c>
    </row>
    <row r="101" spans="2:7" outlineLevel="1" x14ac:dyDescent="0.3">
      <c r="B101" s="44" t="s">
        <v>107</v>
      </c>
      <c r="F101" s="43">
        <v>300862</v>
      </c>
      <c r="G101" s="43">
        <v>281055</v>
      </c>
    </row>
    <row r="102" spans="2:7" outlineLevel="1" x14ac:dyDescent="0.3"/>
    <row r="103" spans="2:7" ht="17.25" outlineLevel="1" thickBot="1" x14ac:dyDescent="0.35">
      <c r="B103" s="54" t="s">
        <v>34</v>
      </c>
      <c r="C103" s="55"/>
      <c r="D103" s="55"/>
      <c r="E103" s="55"/>
      <c r="F103" s="56">
        <f>F101+F91</f>
        <v>504447</v>
      </c>
      <c r="G103" s="56">
        <f>G101+G91</f>
        <v>470351</v>
      </c>
    </row>
    <row r="104" spans="2:7" ht="17.25" outlineLevel="1" thickTop="1" x14ac:dyDescent="0.3"/>
    <row r="105" spans="2:7" ht="18" outlineLevel="1" x14ac:dyDescent="0.3">
      <c r="B105" s="53" t="s">
        <v>35</v>
      </c>
    </row>
    <row r="106" spans="2:7" outlineLevel="1" x14ac:dyDescent="0.3">
      <c r="B106" s="44" t="s">
        <v>36</v>
      </c>
    </row>
    <row r="107" spans="2:7" outlineLevel="1" x14ac:dyDescent="0.3">
      <c r="B107" s="28" t="s">
        <v>37</v>
      </c>
      <c r="F107" s="39">
        <v>8652</v>
      </c>
      <c r="G107" s="39">
        <v>8652</v>
      </c>
    </row>
    <row r="108" spans="2:7" outlineLevel="1" x14ac:dyDescent="0.3">
      <c r="B108" s="28" t="s">
        <v>38</v>
      </c>
      <c r="F108" s="39">
        <v>22331</v>
      </c>
      <c r="G108" s="39">
        <v>22331</v>
      </c>
    </row>
    <row r="109" spans="2:7" outlineLevel="1" x14ac:dyDescent="0.3">
      <c r="B109" s="28" t="s">
        <v>39</v>
      </c>
      <c r="F109" s="39">
        <v>173039</v>
      </c>
      <c r="G109" s="39">
        <v>167930</v>
      </c>
    </row>
    <row r="110" spans="2:7" outlineLevel="1" x14ac:dyDescent="0.3">
      <c r="B110" s="28" t="s">
        <v>40</v>
      </c>
      <c r="F110" s="39">
        <v>-11980</v>
      </c>
      <c r="G110" s="39">
        <v>-13653</v>
      </c>
    </row>
    <row r="111" spans="2:7" outlineLevel="1" x14ac:dyDescent="0.3">
      <c r="B111" s="46" t="s">
        <v>41</v>
      </c>
      <c r="C111" s="32"/>
      <c r="D111" s="32"/>
      <c r="E111" s="32"/>
      <c r="F111" s="52">
        <v>0</v>
      </c>
      <c r="G111" s="52">
        <v>-20809</v>
      </c>
    </row>
    <row r="112" spans="2:7" outlineLevel="1" x14ac:dyDescent="0.3">
      <c r="B112" s="44" t="s">
        <v>108</v>
      </c>
      <c r="F112" s="43">
        <v>192042</v>
      </c>
      <c r="G112" s="43">
        <v>164451</v>
      </c>
    </row>
    <row r="113" spans="2:7" outlineLevel="1" x14ac:dyDescent="0.3">
      <c r="B113" s="44"/>
      <c r="F113" s="43"/>
      <c r="G113" s="43"/>
    </row>
    <row r="114" spans="2:7" outlineLevel="1" x14ac:dyDescent="0.3">
      <c r="B114" s="44" t="s">
        <v>111</v>
      </c>
    </row>
    <row r="115" spans="2:7" outlineLevel="1" x14ac:dyDescent="0.3">
      <c r="B115" s="44" t="s">
        <v>109</v>
      </c>
    </row>
    <row r="116" spans="2:7" outlineLevel="1" x14ac:dyDescent="0.3">
      <c r="B116" s="28" t="s">
        <v>42</v>
      </c>
      <c r="F116" s="39">
        <v>31205</v>
      </c>
      <c r="G116" s="39">
        <v>28754</v>
      </c>
    </row>
    <row r="117" spans="2:7" outlineLevel="1" x14ac:dyDescent="0.3">
      <c r="B117" s="28" t="s">
        <v>43</v>
      </c>
      <c r="F117" s="39">
        <v>55167</v>
      </c>
      <c r="G117" s="39">
        <v>54327</v>
      </c>
    </row>
    <row r="118" spans="2:7" outlineLevel="1" x14ac:dyDescent="0.3">
      <c r="B118" s="28" t="s">
        <v>44</v>
      </c>
      <c r="F118" s="39">
        <v>34061</v>
      </c>
      <c r="G118" s="39">
        <v>33473</v>
      </c>
    </row>
    <row r="119" spans="2:7" outlineLevel="1" x14ac:dyDescent="0.3">
      <c r="B119" s="28" t="s">
        <v>45</v>
      </c>
      <c r="F119" s="39">
        <v>2952</v>
      </c>
      <c r="G119" s="39">
        <v>1915</v>
      </c>
    </row>
    <row r="120" spans="2:7" outlineLevel="1" x14ac:dyDescent="0.3">
      <c r="B120" s="46" t="s">
        <v>46</v>
      </c>
      <c r="C120" s="32"/>
      <c r="D120" s="32"/>
      <c r="E120" s="32"/>
      <c r="F120" s="52">
        <v>712</v>
      </c>
      <c r="G120" s="52">
        <v>751</v>
      </c>
    </row>
    <row r="121" spans="2:7" outlineLevel="1" x14ac:dyDescent="0.3">
      <c r="B121" s="44" t="s">
        <v>110</v>
      </c>
      <c r="C121" s="7"/>
      <c r="D121" s="7"/>
      <c r="E121" s="7"/>
      <c r="F121" s="43">
        <v>124097</v>
      </c>
      <c r="G121" s="43">
        <v>119220</v>
      </c>
    </row>
    <row r="122" spans="2:7" outlineLevel="1" x14ac:dyDescent="0.3"/>
    <row r="123" spans="2:7" outlineLevel="1" x14ac:dyDescent="0.3">
      <c r="B123" s="44" t="s">
        <v>112</v>
      </c>
    </row>
    <row r="124" spans="2:7" outlineLevel="1" x14ac:dyDescent="0.3">
      <c r="B124" s="28" t="s">
        <v>42</v>
      </c>
      <c r="F124" s="39">
        <v>24118</v>
      </c>
      <c r="G124" s="39">
        <v>37599</v>
      </c>
    </row>
    <row r="125" spans="2:7" outlineLevel="1" x14ac:dyDescent="0.3">
      <c r="B125" s="28" t="s">
        <v>43</v>
      </c>
      <c r="F125" s="39">
        <v>16562</v>
      </c>
      <c r="G125" s="39">
        <v>17245</v>
      </c>
    </row>
    <row r="126" spans="2:7" outlineLevel="1" x14ac:dyDescent="0.3">
      <c r="B126" s="28" t="s">
        <v>113</v>
      </c>
      <c r="F126" s="39">
        <v>85018</v>
      </c>
      <c r="G126" s="39">
        <v>73064</v>
      </c>
    </row>
    <row r="127" spans="2:7" outlineLevel="1" x14ac:dyDescent="0.3">
      <c r="B127" s="28" t="s">
        <v>47</v>
      </c>
      <c r="F127" s="39">
        <v>14905</v>
      </c>
      <c r="G127" s="39">
        <v>11393</v>
      </c>
    </row>
    <row r="128" spans="2:7" outlineLevel="1" x14ac:dyDescent="0.3">
      <c r="B128" s="28" t="s">
        <v>49</v>
      </c>
      <c r="F128" s="39">
        <v>43211</v>
      </c>
      <c r="G128" s="39">
        <v>46277</v>
      </c>
    </row>
    <row r="129" spans="1:7" outlineLevel="1" x14ac:dyDescent="0.3">
      <c r="B129" s="28" t="s">
        <v>48</v>
      </c>
      <c r="F129" s="39">
        <v>3390</v>
      </c>
      <c r="G129" s="39">
        <v>125</v>
      </c>
    </row>
    <row r="130" spans="1:7" outlineLevel="1" x14ac:dyDescent="0.3">
      <c r="B130" s="46" t="s">
        <v>46</v>
      </c>
      <c r="C130" s="32"/>
      <c r="D130" s="32"/>
      <c r="E130" s="32"/>
      <c r="F130" s="52">
        <v>1103</v>
      </c>
      <c r="G130" s="52">
        <v>977</v>
      </c>
    </row>
    <row r="131" spans="1:7" outlineLevel="1" x14ac:dyDescent="0.3">
      <c r="B131" s="44" t="s">
        <v>114</v>
      </c>
      <c r="F131" s="43">
        <v>188308</v>
      </c>
      <c r="G131" s="43">
        <v>186680</v>
      </c>
    </row>
    <row r="132" spans="1:7" outlineLevel="1" x14ac:dyDescent="0.3"/>
    <row r="133" spans="1:7" ht="17.25" outlineLevel="1" thickBot="1" x14ac:dyDescent="0.35">
      <c r="B133" s="54" t="s">
        <v>115</v>
      </c>
      <c r="C133" s="55"/>
      <c r="D133" s="55"/>
      <c r="E133" s="55"/>
      <c r="F133" s="56">
        <f>F112+F121+F131</f>
        <v>504447</v>
      </c>
      <c r="G133" s="56">
        <f>G112+G121+G131</f>
        <v>470351</v>
      </c>
    </row>
    <row r="134" spans="1:7" ht="17.25" outlineLevel="1" thickTop="1" x14ac:dyDescent="0.3"/>
    <row r="136" spans="1:7" s="26" customFormat="1" ht="21" x14ac:dyDescent="0.25">
      <c r="A136" s="26" t="s">
        <v>19</v>
      </c>
      <c r="B136" s="20" t="s">
        <v>116</v>
      </c>
      <c r="C136" s="21"/>
      <c r="D136" s="21"/>
      <c r="E136" s="21"/>
      <c r="F136" s="21"/>
      <c r="G136" s="21"/>
    </row>
    <row r="137" spans="1:7" outlineLevel="1" x14ac:dyDescent="0.3"/>
    <row r="138" spans="1:7" ht="17.25" outlineLevel="1" thickBot="1" x14ac:dyDescent="0.35">
      <c r="B138" s="51" t="s">
        <v>103</v>
      </c>
      <c r="F138" s="31">
        <v>2023</v>
      </c>
      <c r="G138" s="31">
        <v>2024</v>
      </c>
    </row>
    <row r="139" spans="1:7" outlineLevel="1" x14ac:dyDescent="0.3">
      <c r="B139" s="28" t="s">
        <v>53</v>
      </c>
      <c r="F139" s="39">
        <v>49361</v>
      </c>
      <c r="G139" s="39">
        <v>29732</v>
      </c>
    </row>
    <row r="140" spans="1:7" outlineLevel="1" x14ac:dyDescent="0.3">
      <c r="B140" s="28" t="s">
        <v>117</v>
      </c>
      <c r="F140" s="39">
        <v>50210</v>
      </c>
      <c r="G140" s="39">
        <v>36001</v>
      </c>
    </row>
    <row r="141" spans="1:7" outlineLevel="1" x14ac:dyDescent="0.3">
      <c r="B141" s="28" t="s">
        <v>118</v>
      </c>
      <c r="F141" s="39">
        <v>-29928</v>
      </c>
      <c r="G141" s="39">
        <v>1956</v>
      </c>
    </row>
    <row r="142" spans="1:7" outlineLevel="1" x14ac:dyDescent="0.3">
      <c r="B142" s="28" t="s">
        <v>119</v>
      </c>
      <c r="F142" s="39">
        <v>-25011</v>
      </c>
      <c r="G142" s="39">
        <v>-29399</v>
      </c>
    </row>
    <row r="143" spans="1:7" outlineLevel="1" x14ac:dyDescent="0.3">
      <c r="B143" s="28" t="s">
        <v>120</v>
      </c>
      <c r="F143" s="39">
        <v>-4729</v>
      </c>
      <c r="G143" s="39">
        <v>8558</v>
      </c>
    </row>
    <row r="144" spans="1:7" outlineLevel="1" x14ac:dyDescent="0.3">
      <c r="B144" s="28" t="s">
        <v>121</v>
      </c>
      <c r="F144" s="39">
        <v>39843</v>
      </c>
      <c r="G144" s="39">
        <v>48401</v>
      </c>
    </row>
    <row r="145" spans="1:7" outlineLevel="1" x14ac:dyDescent="0.3"/>
    <row r="147" spans="1:7" s="26" customFormat="1" ht="21" x14ac:dyDescent="0.25">
      <c r="A147" s="26" t="s">
        <v>19</v>
      </c>
      <c r="B147" s="20" t="s">
        <v>122</v>
      </c>
      <c r="C147" s="21"/>
      <c r="D147" s="21"/>
      <c r="E147" s="21"/>
      <c r="F147" s="21"/>
      <c r="G147" s="21"/>
    </row>
    <row r="148" spans="1:7" outlineLevel="1" x14ac:dyDescent="0.3"/>
    <row r="149" spans="1:7" ht="17.25" outlineLevel="1" thickBot="1" x14ac:dyDescent="0.35">
      <c r="B149" s="33"/>
      <c r="E149" s="57" t="s">
        <v>123</v>
      </c>
      <c r="F149" s="57" t="s">
        <v>124</v>
      </c>
      <c r="G149" s="57" t="s">
        <v>125</v>
      </c>
    </row>
    <row r="150" spans="1:7" outlineLevel="1" x14ac:dyDescent="0.3">
      <c r="B150" s="28" t="s">
        <v>126</v>
      </c>
      <c r="E150" s="39">
        <v>20386</v>
      </c>
      <c r="F150" s="39">
        <v>108118</v>
      </c>
      <c r="G150" s="39">
        <v>70460</v>
      </c>
    </row>
    <row r="151" spans="1:7" outlineLevel="1" x14ac:dyDescent="0.3">
      <c r="B151" s="28" t="s">
        <v>50</v>
      </c>
      <c r="E151" s="39">
        <v>1388</v>
      </c>
      <c r="F151" s="39">
        <v>14127</v>
      </c>
      <c r="G151" s="39">
        <v>4610</v>
      </c>
    </row>
    <row r="152" spans="1:7" outlineLevel="1" x14ac:dyDescent="0.3">
      <c r="B152" s="28" t="s">
        <v>51</v>
      </c>
      <c r="E152" s="39">
        <v>-1918</v>
      </c>
      <c r="F152" s="39">
        <v>-15044</v>
      </c>
      <c r="G152" s="39">
        <v>-18119</v>
      </c>
    </row>
    <row r="153" spans="1:7" outlineLevel="1" x14ac:dyDescent="0.3">
      <c r="B153" s="28" t="s">
        <v>14</v>
      </c>
      <c r="E153" s="39">
        <v>-1800</v>
      </c>
      <c r="F153" s="39">
        <v>-5098</v>
      </c>
      <c r="G153" s="39" t="s">
        <v>100</v>
      </c>
    </row>
    <row r="154" spans="1:7" outlineLevel="1" x14ac:dyDescent="0.3">
      <c r="B154" s="28" t="s">
        <v>52</v>
      </c>
      <c r="E154" s="39">
        <v>-7</v>
      </c>
      <c r="F154" s="39">
        <v>-5006</v>
      </c>
      <c r="G154" s="39">
        <v>-1</v>
      </c>
    </row>
    <row r="155" spans="1:7" outlineLevel="1" x14ac:dyDescent="0.3">
      <c r="B155" s="46" t="s">
        <v>127</v>
      </c>
      <c r="C155" s="32"/>
      <c r="D155" s="32"/>
      <c r="E155" s="52">
        <v>-3</v>
      </c>
      <c r="F155" s="52">
        <v>-393</v>
      </c>
      <c r="G155" s="52">
        <v>-42</v>
      </c>
    </row>
    <row r="156" spans="1:7" outlineLevel="1" x14ac:dyDescent="0.3">
      <c r="B156" s="44" t="s">
        <v>128</v>
      </c>
      <c r="E156" s="43">
        <v>18046</v>
      </c>
      <c r="F156" s="43">
        <v>96703</v>
      </c>
      <c r="G156" s="43">
        <v>69700</v>
      </c>
    </row>
    <row r="157" spans="1:7" outlineLevel="1" x14ac:dyDescent="0.3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Output</vt:lpstr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Nata</dc:creator>
  <cp:lastModifiedBy>Felicia Nata</cp:lastModifiedBy>
  <dcterms:created xsi:type="dcterms:W3CDTF">2026-03-04T13:59:33Z</dcterms:created>
  <dcterms:modified xsi:type="dcterms:W3CDTF">2026-03-05T20:18:10Z</dcterms:modified>
</cp:coreProperties>
</file>