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li\Downloads\"/>
    </mc:Choice>
  </mc:AlternateContent>
  <xr:revisionPtr revIDLastSave="0" documentId="13_ncr:1_{42410691-C130-4819-B824-888EE14AB598}" xr6:coauthVersionLast="47" xr6:coauthVersionMax="47" xr10:uidLastSave="{00000000-0000-0000-0000-000000000000}"/>
  <bookViews>
    <workbookView xWindow="-120" yWindow="-120" windowWidth="38640" windowHeight="21390" xr2:uid="{6F772050-6FC1-4D0A-8EE4-2812187563AE}"/>
  </bookViews>
  <sheets>
    <sheet name="Cover" sheetId="3" r:id="rId1"/>
    <sheet name="Inputs" sheetId="1" r:id="rId2"/>
    <sheet name="Dashboard" sheetId="2" r:id="rId3"/>
    <sheet name="Liquidity Forecast Simulation" sheetId="5" r:id="rId4"/>
  </sheets>
  <definedNames>
    <definedName name="_xlnm.Print_Area" localSheetId="0">Cover!$B$3:$Q$39</definedName>
    <definedName name="_xlnm.Print_Area" localSheetId="2">Dashboard!$B$1:$P$102</definedName>
    <definedName name="_xlnm.Print_Area" localSheetId="1">Inputs!$B$1:$H$47</definedName>
    <definedName name="_xlnm.Print_Area" localSheetId="3">'Liquidity Forecast Simulation'!$B$1:$W$39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5" l="1" a="1"/>
  <c r="L24" i="5" s="1"/>
  <c r="L23" i="5"/>
  <c r="F13" i="5" a="1"/>
  <c r="F13" i="5" s="1"/>
  <c r="G9" i="5"/>
  <c r="C23" i="5" s="1"/>
  <c r="E13" i="5" a="1"/>
  <c r="G13" i="5" a="1"/>
  <c r="H13" i="5" a="1"/>
  <c r="I13" i="5" a="1"/>
  <c r="D13" i="5" a="1"/>
  <c r="E40" i="1"/>
  <c r="E39" i="1"/>
  <c r="E38" i="1"/>
  <c r="N24" i="2"/>
  <c r="J24" i="2"/>
  <c r="F24" i="2"/>
  <c r="B24" i="2"/>
  <c r="E33" i="1"/>
  <c r="F33" i="1"/>
  <c r="G33" i="1"/>
  <c r="H33" i="1"/>
  <c r="D33" i="1"/>
  <c r="E32" i="1"/>
  <c r="F32" i="1"/>
  <c r="G32" i="1"/>
  <c r="H32" i="1"/>
  <c r="E43" i="2" s="1"/>
  <c r="D32" i="1"/>
  <c r="F31" i="1"/>
  <c r="G31" i="1"/>
  <c r="H31" i="1"/>
  <c r="E31" i="1"/>
  <c r="E13" i="5" l="1"/>
  <c r="I13" i="5"/>
  <c r="H13" i="5"/>
  <c r="G13" i="5"/>
  <c r="D13" i="5"/>
  <c r="G10" i="5" s="1"/>
  <c r="F25" i="5" s="1"/>
  <c r="H24" i="5" l="1"/>
  <c r="H26" i="5"/>
  <c r="H29" i="5"/>
  <c r="H31" i="5"/>
  <c r="G27" i="5"/>
  <c r="H32" i="5"/>
  <c r="H33" i="5"/>
  <c r="H34" i="5"/>
  <c r="H23" i="5"/>
  <c r="G25" i="5"/>
  <c r="G28" i="5"/>
  <c r="G29" i="5"/>
  <c r="G30" i="5"/>
  <c r="G31" i="5"/>
  <c r="G32" i="5"/>
  <c r="G33" i="5"/>
  <c r="G34" i="5"/>
  <c r="G23" i="5"/>
  <c r="H25" i="5"/>
  <c r="H27" i="5"/>
  <c r="H28" i="5"/>
  <c r="H30" i="5"/>
  <c r="G26" i="5"/>
  <c r="G24" i="5"/>
  <c r="F24" i="5"/>
  <c r="F26" i="5"/>
  <c r="F28" i="5"/>
  <c r="F29" i="5"/>
  <c r="F30" i="5"/>
  <c r="F31" i="5"/>
  <c r="F32" i="5"/>
  <c r="F33" i="5"/>
  <c r="F34" i="5"/>
  <c r="F23" i="5"/>
  <c r="F27" i="5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1" i="5"/>
  <c r="E31" i="5" s="1"/>
  <c r="D32" i="5"/>
  <c r="E32" i="5" s="1"/>
  <c r="D33" i="5"/>
  <c r="E33" i="5" s="1"/>
  <c r="D34" i="5"/>
  <c r="E34" i="5" s="1"/>
  <c r="D23" i="5"/>
  <c r="E23" i="5" s="1"/>
  <c r="D30" i="5"/>
  <c r="E30" i="5" s="1"/>
  <c r="I23" i="5" l="1"/>
  <c r="C24" i="5" s="1"/>
  <c r="I24" i="5" s="1"/>
  <c r="C25" i="5" s="1"/>
  <c r="I25" i="5" s="1"/>
  <c r="C26" i="5" s="1"/>
  <c r="I26" i="5" l="1"/>
  <c r="C27" i="5" s="1"/>
  <c r="I27" i="5" l="1"/>
  <c r="C28" i="5" s="1"/>
  <c r="I28" i="5" l="1"/>
  <c r="C29" i="5" s="1"/>
  <c r="I29" i="5" l="1"/>
  <c r="C30" i="5" s="1"/>
  <c r="I30" i="5" l="1"/>
  <c r="C31" i="5" s="1"/>
  <c r="I31" i="5" l="1"/>
  <c r="C32" i="5" s="1"/>
  <c r="I32" i="5" l="1"/>
  <c r="C33" i="5" s="1"/>
  <c r="I33" i="5" l="1"/>
  <c r="C34" i="5" s="1"/>
  <c r="I3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<sst xmlns="http://schemas.openxmlformats.org/spreadsheetml/2006/main" count="189" uniqueCount="171">
  <si>
    <t xml:space="preserve"> </t>
  </si>
  <si>
    <t>Revenue</t>
  </si>
  <si>
    <t>Gross Profit</t>
  </si>
  <si>
    <t>EBITDA</t>
  </si>
  <si>
    <t>Adjusted EBITDA</t>
  </si>
  <si>
    <t>Net Income</t>
  </si>
  <si>
    <t>Operating Cash Flow</t>
  </si>
  <si>
    <t>Investing Cash Flow</t>
  </si>
  <si>
    <t>Financing Cash Flow</t>
  </si>
  <si>
    <t>Net Cash Flow</t>
  </si>
  <si>
    <t>Cash &amp; Cash Equivalents</t>
  </si>
  <si>
    <t>Total Assets</t>
  </si>
  <si>
    <t>Equity</t>
  </si>
  <si>
    <t>Current Liabilities</t>
  </si>
  <si>
    <t>Non-Current Liabilities</t>
  </si>
  <si>
    <t>Net Debt</t>
  </si>
  <si>
    <t>Net Debt / Adj EBITDA</t>
  </si>
  <si>
    <t>Equity / Assets (%)</t>
  </si>
  <si>
    <t>EBITDA Margin (%)</t>
  </si>
  <si>
    <t>Net Debt Change (%)</t>
  </si>
  <si>
    <t>Cash / Current Liabilities</t>
  </si>
  <si>
    <t>Operating Cash Flow / EBITDA</t>
  </si>
  <si>
    <t>Table of Contents</t>
  </si>
  <si>
    <t>Inputs</t>
  </si>
  <si>
    <t>https://www.linkedin.com/in/yfelnt/</t>
  </si>
  <si>
    <t>Prepared as part of application for Treasury Manager role</t>
  </si>
  <si>
    <t>Felicia Nata, CTP</t>
  </si>
  <si>
    <t>Treasury Intelligence Brief (2020–2024)</t>
  </si>
  <si>
    <t>Sinch Group</t>
  </si>
  <si>
    <t>M. Sc. In Finance - Umeå University</t>
  </si>
  <si>
    <t>Cerified Treasury Professional (CTP)</t>
  </si>
  <si>
    <t>Liquidity | FX Risk | Global Cash Strategy</t>
  </si>
  <si>
    <t>This brief is based solely on publicly available information and is intended to demonstrate analytical thinking and treasury perspective.</t>
  </si>
  <si>
    <t>How Sinch Generates Cash</t>
  </si>
  <si>
    <t>Sinch operates a global communications platform that enables businesses to connect with customers through messaging, voice, and email APIs.</t>
  </si>
  <si>
    <t>This creates several treasury priorities:</t>
  </si>
  <si>
    <t>• Managing liquidity across global subsidiaries</t>
  </si>
  <si>
    <t>• Monitoring FX exposure from international revenue streams</t>
  </si>
  <si>
    <t>• Supporting large transaction flows through banking infrastructure</t>
  </si>
  <si>
    <t>• Ensuring efficient funding and capital allocation</t>
  </si>
  <si>
    <t>Global Liquidity Snapshot</t>
  </si>
  <si>
    <t>Treasury Optimization Opportunities</t>
  </si>
  <si>
    <t>Understanding the Business</t>
  </si>
  <si>
    <r>
      <t xml:space="preserve">With more than </t>
    </r>
    <r>
      <rPr>
        <b/>
        <sz val="10"/>
        <color theme="1"/>
        <rFont val="Open Sans"/>
        <family val="2"/>
      </rPr>
      <t>175,000 businesses worldwide</t>
    </r>
    <r>
      <rPr>
        <sz val="10"/>
        <color theme="1"/>
        <rFont val="Open Sans"/>
        <family val="2"/>
      </rPr>
      <t>, Sinch processes a significant volume of transactions across multiple currencies and jurisdictions.</t>
    </r>
  </si>
  <si>
    <r>
      <t xml:space="preserve">Treasury therefore plays a </t>
    </r>
    <r>
      <rPr>
        <b/>
        <sz val="10"/>
        <color theme="1"/>
        <rFont val="Open Sans"/>
        <family val="2"/>
      </rPr>
      <t>central role in ensuring financial stability and operational scalability.</t>
    </r>
  </si>
  <si>
    <t>Liquidity Position</t>
  </si>
  <si>
    <t>Overview of Sinch's liquidity position based on publicly available financial data (FY2024).</t>
  </si>
  <si>
    <t>Cash Balance</t>
  </si>
  <si>
    <t>Total Debt</t>
  </si>
  <si>
    <t>Liquidity Buffer</t>
  </si>
  <si>
    <t>Available cash at year-end</t>
  </si>
  <si>
    <t>Approx. derived from Net Debt + Cash</t>
  </si>
  <si>
    <t>Reported company metric</t>
  </si>
  <si>
    <t>Cash available for operations</t>
  </si>
  <si>
    <t xml:space="preserve"> Insights</t>
  </si>
  <si>
    <t>• Cash balances declined as the company prioritized deleveraging and balance sheet strengthening.</t>
  </si>
  <si>
    <t>• Net debt has fallen significantly since 2021, improving financial flexibility.</t>
  </si>
  <si>
    <t>• Strong operating cash flow supports ongoing liquidity needs.</t>
  </si>
  <si>
    <t>Short-Term Liquidity Coverage</t>
  </si>
  <si>
    <t>Available Cash</t>
  </si>
  <si>
    <t>Sinch reduced net leverage from 2.9× EBITDA in 2021 to 1.5× in 2024, reflecting a clear focus on balance sheet strengthening and financial flexibility.</t>
  </si>
  <si>
    <t>FX Exposure &amp; Currency Risk</t>
  </si>
  <si>
    <t>Sinch Treasury Dataset (SEKm)</t>
  </si>
  <si>
    <t>Additional Metrics</t>
  </si>
  <si>
    <t>Regional Revenue Share</t>
  </si>
  <si>
    <t>Region</t>
  </si>
  <si>
    <t>Revenue (SEKm)</t>
  </si>
  <si>
    <t>Americas</t>
  </si>
  <si>
    <t>EMEA</t>
  </si>
  <si>
    <t>APAC</t>
  </si>
  <si>
    <t>Total</t>
  </si>
  <si>
    <t>%</t>
  </si>
  <si>
    <t>Revenue Share</t>
  </si>
  <si>
    <t>Primary Currency Exposure</t>
  </si>
  <si>
    <t>USD</t>
  </si>
  <si>
    <t>EUR / SEK / GBP</t>
  </si>
  <si>
    <t>AUD / INR / SGD</t>
  </si>
  <si>
    <t>FX Exposure Table</t>
  </si>
  <si>
    <t>Geographic revenue distribution used as proxy for currency exposure.</t>
  </si>
  <si>
    <t>Country</t>
  </si>
  <si>
    <t>Currency</t>
  </si>
  <si>
    <t>USA</t>
  </si>
  <si>
    <t>UK</t>
  </si>
  <si>
    <t>GBP</t>
  </si>
  <si>
    <t>India</t>
  </si>
  <si>
    <t>INR</t>
  </si>
  <si>
    <t>Australia</t>
  </si>
  <si>
    <t>AUD</t>
  </si>
  <si>
    <t>France</t>
  </si>
  <si>
    <t>EUR</t>
  </si>
  <si>
    <t>Source of FX Risk</t>
  </si>
  <si>
    <t>Example</t>
  </si>
  <si>
    <t>Customer billing</t>
  </si>
  <si>
    <t>Messaging services billed globally</t>
  </si>
  <si>
    <t>Vendor payments</t>
  </si>
  <si>
    <t>Telecom infrastructure providers</t>
  </si>
  <si>
    <t>Intercompany transfers</t>
  </si>
  <si>
    <t>Funding between subsidiaries</t>
  </si>
  <si>
    <t>Revenue translation</t>
  </si>
  <si>
    <t>Foreign revenue translated into SEK</t>
  </si>
  <si>
    <t>Treasury FX Management</t>
  </si>
  <si>
    <t>With a majority of revenue generated outside Sweden, currency volatility represents an important financial risk factor for the group.</t>
  </si>
  <si>
    <t>Overview of foreign exchange exposure based on geographic revenue distribution and publicly available financial information.</t>
  </si>
  <si>
    <t>• The majority of revenue originates from the Americas (63%), creating significant USD exposure.
• EMEA and APAC operations introduce additional exposure across EUR, GBP, AUD, and emerging market currencies.
• Active FX risk management is important to reduce earnings volatility from currency fluctuations.</t>
  </si>
  <si>
    <t>• FX forward contracts
• Natural hedging across regions
• Internal netting programs
• FX hedging strategies to reduce earnings volatility
• Currency exposure monitoring</t>
  </si>
  <si>
    <t>Potential treasury initiatives to support liquidity visibility, risk management, and global financial efficiency.</t>
  </si>
  <si>
    <t>Strategic Focus Area</t>
  </si>
  <si>
    <t>Global Cash Pooling</t>
  </si>
  <si>
    <t>FX Netting Program</t>
  </si>
  <si>
    <t>Liquidity Forecast Automation</t>
  </si>
  <si>
    <t>Banking Structure Optimization</t>
  </si>
  <si>
    <t>Improve liquidity visibility across subsidiaries</t>
  </si>
  <si>
    <t>Reduce foreign exchange transaction costs</t>
  </si>
  <si>
    <t>Improve short-term liquidity forecasting accuracy</t>
  </si>
  <si>
    <t>Streamline global banking relationships</t>
  </si>
  <si>
    <t>Centralizing cash balances through global cash pooling structures can reduce idle cash, improve capital efficiency, and support faster liquidity allocation across regions.</t>
  </si>
  <si>
    <t>Internal FX netting between subsidiaries can offset currency exposures before external market transactions, lowering transaction costs and improving risk management efficiency.</t>
  </si>
  <si>
    <t>Integrating treasury management systems with financial reporting tools can enhance real-time visibility into global cash positions and funding requirements.</t>
  </si>
  <si>
    <t>Reducing redundant bank accounts and consolidating banking partners can simplify treasury operations, improve control frameworks, and strengthen strategic banking relationships.</t>
  </si>
  <si>
    <t>Treasury Insight</t>
  </si>
  <si>
    <t>As Sinch continues to scale globally, treasury operations must support increasing transaction volumes, multi-currency exposures, and cross-border liquidity management.</t>
  </si>
  <si>
    <t>Strengthening treasury infrastructure can improve financial efficiency, risk management, and decision-making visibility across the organization.</t>
  </si>
  <si>
    <t>Effective treasury management not only protects financial stability but also enables global growth by ensuring that capital is allocated efficiently across the organization.</t>
  </si>
  <si>
    <t>Liquidity Forecast Simulation (12-Month)</t>
  </si>
  <si>
    <t>Liquidity Forecast Scenario</t>
  </si>
  <si>
    <t>Illustrative 12-month liquidity outlook based on operating cash flow trends.</t>
  </si>
  <si>
    <t>Month</t>
  </si>
  <si>
    <t>Opening Cash</t>
  </si>
  <si>
    <t>Closing Cash</t>
  </si>
  <si>
    <t>Jan</t>
  </si>
  <si>
    <t>Feb</t>
  </si>
  <si>
    <t>Mar</t>
  </si>
  <si>
    <t>Base</t>
  </si>
  <si>
    <t>Upside</t>
  </si>
  <si>
    <t>Downside</t>
  </si>
  <si>
    <t>Revenue Growth</t>
  </si>
  <si>
    <t>OCF Margin</t>
  </si>
  <si>
    <t>Debt Repayment
(% of OCF)</t>
  </si>
  <si>
    <t>FX Impact
(% of OCF)</t>
  </si>
  <si>
    <t>OCF</t>
  </si>
  <si>
    <t>Debt Repayment</t>
  </si>
  <si>
    <t>FX Impact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</si>
  <si>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</si>
  <si>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</si>
  <si>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</si>
  <si>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</si>
  <si>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</si>
  <si>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</si>
  <si>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</si>
  <si>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</si>
  <si>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</si>
  <si>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Assumptions</t>
  </si>
  <si>
    <t>Opening Cash (SEKm)</t>
  </si>
  <si>
    <t>Cash at end of FY2024</t>
  </si>
  <si>
    <t>Value</t>
  </si>
  <si>
    <t xml:space="preserve">  Model Driver</t>
  </si>
  <si>
    <t>Working Capital Impact</t>
  </si>
  <si>
    <t>Working Capital Impact
(% of OCF)</t>
  </si>
  <si>
    <t>Revenue + Revenue Growth</t>
  </si>
  <si>
    <t>Liquidity Forecast Table for 2025</t>
  </si>
  <si>
    <t>Notes</t>
  </si>
  <si>
    <t>Capex</t>
  </si>
  <si>
    <t>Key Liquidity Insight</t>
  </si>
  <si>
    <t>Scenario analysis highlights that liquidity remains resilient even under a downside case driven by weaker operating cash flow and FX pressure.</t>
  </si>
  <si>
    <r>
      <t>Based on current operating cash flow levels, Sinch appears capable of</t>
    </r>
    <r>
      <rPr>
        <b/>
        <sz val="10"/>
        <color theme="1"/>
        <rFont val="Open Sans"/>
        <family val="2"/>
      </rPr>
      <t xml:space="preserve"> maintaining a stable liquidity position while continuing to reduce debt</t>
    </r>
    <r>
      <rPr>
        <sz val="10"/>
        <color theme="1"/>
        <rFont val="Open Sans"/>
        <family val="2"/>
      </rPr>
      <t>.</t>
    </r>
  </si>
  <si>
    <t>12-Month Liquidity Outlook</t>
  </si>
  <si>
    <t>Capex
(% of OCF)</t>
  </si>
  <si>
    <t>The table updates automatically based on the selected scenario in the Model Driver switch.</t>
  </si>
  <si>
    <t xml:space="preserve">Treasury Intelligence Brief (2020–2024)     </t>
  </si>
  <si>
    <t>Dashboard</t>
  </si>
  <si>
    <t>Liquidity Forecast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</si>
</sst>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##0_)_%;\(#,##0\)_%;_(&quot;–&quot;_)_%;_(@_)_%"/>
    <numFmt numFmtId="165" formatCode="_(#,##0.00_)_%;\(#,##0.00\)_%;_(&quot;–&quot;_)_%;_(@_)_%"/>
    <numFmt numFmtId="166" formatCode="_(#,##0_)_%;\(#,##0\)_%;_(&quot;–&quot;_)_%;_(@_)_%"/>
    <numFmt numFmtId="167" formatCode="&quot;SEK&quot;\ #,##0\ &quot;m&quot;"/>
    <numFmt numFmtId="168" formatCode="_(#,##0%_);\(#,##0%\);_(&quot;–&quot;_)_%;_(@_)_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0"/>
      <color rgb="FF1B5339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/>
      <name val="Open Sans"/>
      <family val="2"/>
    </font>
    <font>
      <u/>
      <sz val="11"/>
      <color theme="10"/>
      <name val="Calibri"/>
      <family val="2"/>
      <scheme val="minor"/>
    </font>
    <font>
      <b/>
      <sz val="11"/>
      <color rgb="FF1B5339"/>
      <name val="Open Sans"/>
      <family val="2"/>
    </font>
    <font>
      <u/>
      <sz val="11"/>
      <color theme="8" tint="-0.249977111117893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sz val="11"/>
      <name val="Open Sans"/>
      <family val="2"/>
    </font>
    <font>
      <b/>
      <sz val="11"/>
      <name val="Open Sans"/>
      <family val="2"/>
    </font>
    <font>
      <b/>
      <sz val="12"/>
      <name val="Open Sans"/>
      <family val="2"/>
    </font>
    <font>
      <b/>
      <sz val="10"/>
      <color theme="1"/>
      <name val="Open Sans"/>
      <family val="2"/>
    </font>
    <font>
      <b/>
      <sz val="16"/>
      <color theme="1"/>
      <name val="Open Sans"/>
      <family val="2"/>
    </font>
    <font>
      <sz val="9"/>
      <color theme="1"/>
      <name val="Open Sans"/>
      <family val="2"/>
    </font>
    <font>
      <i/>
      <sz val="8"/>
      <color theme="1"/>
      <name val="Open Sans"/>
      <family val="2"/>
    </font>
    <font>
      <b/>
      <sz val="18"/>
      <color theme="1"/>
      <name val="Segoe UI"/>
      <family val="2"/>
    </font>
    <font>
      <i/>
      <sz val="10"/>
      <name val="Open Sans"/>
      <family val="2"/>
    </font>
    <font>
      <i/>
      <sz val="10"/>
      <color theme="1"/>
      <name val="Open Sans"/>
      <family val="2"/>
    </font>
    <font>
      <b/>
      <sz val="11"/>
      <name val="Calibri"/>
      <family val="2"/>
      <scheme val="minor"/>
    </font>
    <font>
      <b/>
      <sz val="9"/>
      <name val="Open Sans"/>
      <family val="2"/>
    </font>
    <font>
      <b/>
      <sz val="9"/>
      <color theme="1"/>
      <name val="Open Sans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E0EF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E5DA"/>
        <bgColor indexed="64"/>
      </patternFill>
    </fill>
    <fill>
      <patternFill patternType="solid">
        <fgColor rgb="FFFCDFDF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E0EFFB"/>
      </bottom>
      <diagonal/>
    </border>
    <border>
      <left/>
      <right/>
      <top/>
      <bottom style="medium">
        <color rgb="FFCBE5DA"/>
      </bottom>
      <diagonal/>
    </border>
    <border>
      <left/>
      <right/>
      <top/>
      <bottom style="medium">
        <color rgb="FFFAEAC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0EFFB"/>
      </left>
      <right/>
      <top style="medium">
        <color rgb="FFE0EFFB"/>
      </top>
      <bottom/>
      <diagonal/>
    </border>
    <border>
      <left/>
      <right/>
      <top style="medium">
        <color rgb="FFE0EFFB"/>
      </top>
      <bottom/>
      <diagonal/>
    </border>
    <border>
      <left/>
      <right style="medium">
        <color rgb="FFE0EFFB"/>
      </right>
      <top style="medium">
        <color rgb="FFE0EFFB"/>
      </top>
      <bottom/>
      <diagonal/>
    </border>
    <border>
      <left style="medium">
        <color rgb="FFE0EFFB"/>
      </left>
      <right/>
      <top/>
      <bottom/>
      <diagonal/>
    </border>
    <border>
      <left/>
      <right style="medium">
        <color rgb="FFE0EFFB"/>
      </right>
      <top/>
      <bottom/>
      <diagonal/>
    </border>
    <border>
      <left style="medium">
        <color rgb="FFE0EFFB"/>
      </left>
      <right/>
      <top/>
      <bottom style="medium">
        <color rgb="FFE0EFFB"/>
      </bottom>
      <diagonal/>
    </border>
    <border>
      <left/>
      <right style="medium">
        <color rgb="FFE0EFFB"/>
      </right>
      <top/>
      <bottom style="medium">
        <color rgb="FFE0EFFB"/>
      </bottom>
      <diagonal/>
    </border>
    <border>
      <left style="medium">
        <color rgb="FFE0EFFB"/>
      </left>
      <right/>
      <top style="medium">
        <color rgb="FFE0EFFB"/>
      </top>
      <bottom style="medium">
        <color rgb="FFE0EFFB"/>
      </bottom>
      <diagonal/>
    </border>
    <border>
      <left/>
      <right/>
      <top style="medium">
        <color rgb="FFE0EFFB"/>
      </top>
      <bottom style="medium">
        <color rgb="FFE0EFFB"/>
      </bottom>
      <diagonal/>
    </border>
    <border>
      <left/>
      <right style="medium">
        <color rgb="FFE0EFFB"/>
      </right>
      <top style="medium">
        <color rgb="FFE0EFFB"/>
      </top>
      <bottom style="medium">
        <color rgb="FFE0EFFB"/>
      </bottom>
      <diagonal/>
    </border>
    <border>
      <left/>
      <right/>
      <top/>
      <bottom style="thin">
        <color rgb="FFE0EFFB"/>
      </bottom>
      <diagonal/>
    </border>
    <border>
      <left/>
      <right/>
      <top/>
      <bottom style="thin">
        <color rgb="FFFAEACA"/>
      </bottom>
      <diagonal/>
    </border>
    <border>
      <left/>
      <right/>
      <top style="thin">
        <color rgb="FFFAEACA"/>
      </top>
      <bottom/>
      <diagonal/>
    </border>
    <border>
      <left style="thin">
        <color rgb="FFE0EFFB"/>
      </left>
      <right style="thin">
        <color rgb="FFE0EFFB"/>
      </right>
      <top style="thin">
        <color rgb="FFE0EFFB"/>
      </top>
      <bottom style="thin">
        <color rgb="FFE0EFFB"/>
      </bottom>
      <diagonal/>
    </border>
    <border>
      <left/>
      <right style="thin">
        <color rgb="FFE0EFFB"/>
      </right>
      <top/>
      <bottom style="thin">
        <color rgb="FFE0EFFB"/>
      </bottom>
      <diagonal/>
    </border>
    <border>
      <left style="thin">
        <color rgb="FFE0EFFB"/>
      </left>
      <right style="thin">
        <color rgb="FFE0EFFB"/>
      </right>
      <top/>
      <bottom style="thin">
        <color rgb="FFE0EFFB"/>
      </bottom>
      <diagonal/>
    </border>
    <border>
      <left style="thin">
        <color rgb="FFE0EFFB"/>
      </left>
      <right/>
      <top/>
      <bottom style="thin">
        <color rgb="FFE0EFFB"/>
      </bottom>
      <diagonal/>
    </border>
    <border>
      <left/>
      <right style="thin">
        <color rgb="FFE0EFFB"/>
      </right>
      <top style="thin">
        <color rgb="FFE0EFFB"/>
      </top>
      <bottom style="thin">
        <color rgb="FFE0EFFB"/>
      </bottom>
      <diagonal/>
    </border>
    <border>
      <left style="thin">
        <color rgb="FFE0EFFB"/>
      </left>
      <right/>
      <top style="thin">
        <color rgb="FFE0EFFB"/>
      </top>
      <bottom style="thin">
        <color rgb="FFE0EFFB"/>
      </bottom>
      <diagonal/>
    </border>
    <border>
      <left/>
      <right style="thin">
        <color rgb="FFE0EFFB"/>
      </right>
      <top style="thin">
        <color rgb="FFE0EFFB"/>
      </top>
      <bottom/>
      <diagonal/>
    </border>
    <border>
      <left style="thin">
        <color rgb="FFE0EFFB"/>
      </left>
      <right style="thin">
        <color rgb="FFE0EFFB"/>
      </right>
      <top style="thin">
        <color rgb="FFE0EFFB"/>
      </top>
      <bottom/>
      <diagonal/>
    </border>
    <border>
      <left style="thin">
        <color rgb="FFE0EFFB"/>
      </left>
      <right/>
      <top style="thin">
        <color rgb="FFE0EFFB"/>
      </top>
      <bottom/>
      <diagonal/>
    </border>
    <border>
      <left style="thin">
        <color rgb="FFE0EFFB"/>
      </left>
      <right/>
      <top/>
      <bottom/>
      <diagonal/>
    </border>
    <border>
      <left/>
      <right style="thin">
        <color rgb="FFE0EFFB"/>
      </right>
      <top/>
      <bottom/>
      <diagonal/>
    </border>
    <border>
      <left/>
      <right/>
      <top style="thin">
        <color rgb="FFE0EFFB"/>
      </top>
      <bottom style="thin">
        <color rgb="FFE0EFFB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5" fillId="2" borderId="0" xfId="0" applyFont="1" applyFill="1"/>
    <xf numFmtId="165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5" fillId="0" borderId="0" xfId="0" applyNumberFormat="1" applyFont="1"/>
    <xf numFmtId="0" fontId="2" fillId="0" borderId="3" xfId="0" applyFont="1" applyBorder="1" applyAlignment="1">
      <alignment horizontal="left" vertical="center" wrapText="1"/>
    </xf>
    <xf numFmtId="164" fontId="8" fillId="0" borderId="3" xfId="0" applyNumberFormat="1" applyFont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13" fillId="0" borderId="0" xfId="2" applyFont="1"/>
    <xf numFmtId="0" fontId="14" fillId="0" borderId="0" xfId="0" applyFont="1"/>
    <xf numFmtId="0" fontId="11" fillId="0" borderId="0" xfId="2"/>
    <xf numFmtId="0" fontId="18" fillId="0" borderId="0" xfId="0" applyFont="1"/>
    <xf numFmtId="0" fontId="12" fillId="0" borderId="0" xfId="0" applyFont="1"/>
    <xf numFmtId="0" fontId="19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20" fillId="0" borderId="0" xfId="0" applyFont="1"/>
    <xf numFmtId="0" fontId="5" fillId="3" borderId="0" xfId="0" applyFont="1" applyFill="1"/>
    <xf numFmtId="0" fontId="5" fillId="0" borderId="3" xfId="0" applyFont="1" applyBorder="1"/>
    <xf numFmtId="0" fontId="5" fillId="0" borderId="0" xfId="0" applyFont="1" applyAlignment="1">
      <alignment horizontal="center"/>
    </xf>
    <xf numFmtId="0" fontId="21" fillId="4" borderId="0" xfId="0" applyFont="1" applyFill="1"/>
    <xf numFmtId="0" fontId="5" fillId="4" borderId="0" xfId="0" applyFont="1" applyFill="1"/>
    <xf numFmtId="0" fontId="10" fillId="4" borderId="0" xfId="0" applyFont="1" applyFill="1"/>
    <xf numFmtId="0" fontId="5" fillId="0" borderId="17" xfId="0" applyFont="1" applyBorder="1"/>
    <xf numFmtId="0" fontId="5" fillId="0" borderId="1" xfId="0" applyFont="1" applyBorder="1"/>
    <xf numFmtId="0" fontId="5" fillId="0" borderId="18" xfId="0" applyFont="1" applyBorder="1"/>
    <xf numFmtId="0" fontId="5" fillId="0" borderId="1" xfId="0" applyFont="1" applyBorder="1" applyAlignment="1">
      <alignment horizontal="center"/>
    </xf>
    <xf numFmtId="0" fontId="20" fillId="2" borderId="0" xfId="0" applyFont="1" applyFill="1"/>
    <xf numFmtId="0" fontId="14" fillId="0" borderId="17" xfId="0" applyFont="1" applyBorder="1"/>
    <xf numFmtId="165" fontId="8" fillId="0" borderId="23" xfId="0" applyNumberFormat="1" applyFont="1" applyBorder="1" applyAlignment="1">
      <alignment vertical="center"/>
    </xf>
    <xf numFmtId="165" fontId="8" fillId="0" borderId="23" xfId="0" applyNumberFormat="1" applyFont="1" applyBorder="1" applyAlignment="1">
      <alignment horizontal="right" vertical="center"/>
    </xf>
    <xf numFmtId="168" fontId="14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23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168" fontId="14" fillId="0" borderId="0" xfId="0" applyNumberFormat="1" applyFont="1" applyAlignment="1">
      <alignment horizontal="right" vertical="center"/>
    </xf>
    <xf numFmtId="0" fontId="23" fillId="0" borderId="0" xfId="0" applyFont="1" applyAlignment="1">
      <alignment wrapText="1"/>
    </xf>
    <xf numFmtId="0" fontId="28" fillId="2" borderId="26" xfId="0" applyFont="1" applyFill="1" applyBorder="1" applyAlignment="1">
      <alignment horizontal="center" vertical="center" wrapText="1"/>
    </xf>
    <xf numFmtId="0" fontId="28" fillId="2" borderId="27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3" fontId="22" fillId="3" borderId="25" xfId="0" applyNumberFormat="1" applyFont="1" applyFill="1" applyBorder="1" applyAlignment="1">
      <alignment horizontal="center" vertical="center" wrapText="1"/>
    </xf>
    <xf numFmtId="0" fontId="22" fillId="3" borderId="30" xfId="0" applyFont="1" applyFill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35" xfId="0" applyFont="1" applyBorder="1" applyAlignment="1">
      <alignment horizontal="left" vertical="center"/>
    </xf>
    <xf numFmtId="0" fontId="22" fillId="0" borderId="28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9" fillId="2" borderId="30" xfId="0" applyFont="1" applyFill="1" applyBorder="1" applyAlignment="1">
      <alignment horizontal="left" vertical="center"/>
    </xf>
    <xf numFmtId="0" fontId="22" fillId="2" borderId="36" xfId="0" applyFont="1" applyFill="1" applyBorder="1" applyAlignment="1">
      <alignment horizontal="left" vertical="center"/>
    </xf>
    <xf numFmtId="0" fontId="29" fillId="2" borderId="36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4" fillId="2" borderId="0" xfId="0" applyFont="1" applyFill="1"/>
    <xf numFmtId="166" fontId="8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vertical="center"/>
    </xf>
    <xf numFmtId="0" fontId="20" fillId="0" borderId="0" xfId="0" applyFont="1" applyAlignment="1">
      <alignment horizontal="right" vertical="center" wrapText="1"/>
    </xf>
    <xf numFmtId="166" fontId="8" fillId="0" borderId="3" xfId="0" applyNumberFormat="1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3" xfId="0" applyFont="1" applyBorder="1"/>
    <xf numFmtId="166" fontId="8" fillId="0" borderId="3" xfId="0" applyNumberFormat="1" applyFont="1" applyBorder="1" applyAlignment="1">
      <alignment horizontal="right" vertical="center" wrapText="1"/>
    </xf>
    <xf numFmtId="10" fontId="0" fillId="2" borderId="0" xfId="0" applyNumberFormat="1" applyFill="1" applyAlignment="1">
      <alignment vertical="center"/>
    </xf>
    <xf numFmtId="0" fontId="27" fillId="2" borderId="0" xfId="0" applyFont="1" applyFill="1" applyAlignment="1">
      <alignment vertical="center"/>
    </xf>
    <xf numFmtId="0" fontId="17" fillId="2" borderId="0" xfId="0" applyFont="1" applyFill="1"/>
    <xf numFmtId="0" fontId="31" fillId="2" borderId="0" xfId="0" applyFont="1" applyFill="1"/>
    <xf numFmtId="166" fontId="15" fillId="0" borderId="0" xfId="0" applyNumberFormat="1" applyFont="1" applyAlignment="1">
      <alignment horizontal="right" vertical="center"/>
    </xf>
    <xf numFmtId="0" fontId="3" fillId="0" borderId="0" xfId="0" applyFont="1"/>
    <xf numFmtId="166" fontId="16" fillId="0" borderId="0" xfId="0" applyNumberFormat="1" applyFont="1" applyAlignment="1">
      <alignment vertical="center"/>
    </xf>
    <xf numFmtId="0" fontId="6" fillId="4" borderId="0" xfId="0" applyFont="1" applyFill="1" applyAlignment="1">
      <alignment horizontal="right" vertical="center"/>
    </xf>
    <xf numFmtId="0" fontId="17" fillId="4" borderId="4" xfId="0" applyFont="1" applyFill="1" applyBorder="1"/>
    <xf numFmtId="0" fontId="17" fillId="4" borderId="5" xfId="0" applyFont="1" applyFill="1" applyBorder="1"/>
    <xf numFmtId="0" fontId="17" fillId="4" borderId="6" xfId="0" applyFont="1" applyFill="1" applyBorder="1"/>
    <xf numFmtId="0" fontId="17" fillId="4" borderId="7" xfId="0" applyFont="1" applyFill="1" applyBorder="1"/>
    <xf numFmtId="0" fontId="8" fillId="4" borderId="0" xfId="0" applyFont="1" applyFill="1" applyAlignment="1">
      <alignment vertical="center"/>
    </xf>
    <xf numFmtId="0" fontId="17" fillId="4" borderId="8" xfId="0" applyFont="1" applyFill="1" applyBorder="1"/>
    <xf numFmtId="0" fontId="17" fillId="4" borderId="9" xfId="0" applyFont="1" applyFill="1" applyBorder="1"/>
    <xf numFmtId="0" fontId="17" fillId="4" borderId="10" xfId="0" applyFont="1" applyFill="1" applyBorder="1"/>
    <xf numFmtId="0" fontId="17" fillId="4" borderId="11" xfId="0" applyFont="1" applyFill="1" applyBorder="1"/>
    <xf numFmtId="0" fontId="19" fillId="0" borderId="2" xfId="0" applyFont="1" applyBorder="1"/>
    <xf numFmtId="0" fontId="5" fillId="0" borderId="2" xfId="0" applyFont="1" applyBorder="1"/>
    <xf numFmtId="0" fontId="32" fillId="0" borderId="0" xfId="2" applyFont="1"/>
    <xf numFmtId="0" fontId="17" fillId="0" borderId="0" xfId="0" applyFont="1"/>
    <xf numFmtId="0" fontId="33" fillId="0" borderId="0" xfId="0" applyFont="1"/>
    <xf numFmtId="0" fontId="26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165" fontId="8" fillId="0" borderId="23" xfId="0" applyNumberFormat="1" applyFont="1" applyBorder="1" applyAlignment="1">
      <alignment horizontal="right" vertical="center"/>
    </xf>
    <xf numFmtId="166" fontId="9" fillId="0" borderId="24" xfId="0" applyNumberFormat="1" applyFont="1" applyBorder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20" fillId="2" borderId="19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167" fontId="24" fillId="0" borderId="15" xfId="0" applyNumberFormat="1" applyFont="1" applyBorder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7" fontId="24" fillId="0" borderId="16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167" fontId="24" fillId="0" borderId="18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10" fontId="24" fillId="0" borderId="12" xfId="1" applyNumberFormat="1" applyFont="1" applyBorder="1" applyAlignment="1">
      <alignment horizontal="center" vertical="center"/>
    </xf>
    <xf numFmtId="10" fontId="24" fillId="0" borderId="13" xfId="1" applyNumberFormat="1" applyFont="1" applyBorder="1" applyAlignment="1">
      <alignment horizontal="center" vertical="center"/>
    </xf>
    <xf numFmtId="10" fontId="24" fillId="0" borderId="14" xfId="1" applyNumberFormat="1" applyFont="1" applyBorder="1" applyAlignment="1">
      <alignment horizontal="center" vertical="center"/>
    </xf>
    <xf numFmtId="10" fontId="24" fillId="0" borderId="17" xfId="1" applyNumberFormat="1" applyFont="1" applyBorder="1" applyAlignment="1">
      <alignment horizontal="center" vertical="center"/>
    </xf>
    <xf numFmtId="10" fontId="24" fillId="0" borderId="1" xfId="1" applyNumberFormat="1" applyFont="1" applyBorder="1" applyAlignment="1">
      <alignment horizontal="center" vertical="center"/>
    </xf>
    <xf numFmtId="10" fontId="24" fillId="0" borderId="18" xfId="1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25" fillId="2" borderId="19" xfId="0" applyFont="1" applyFill="1" applyBorder="1" applyAlignment="1">
      <alignment horizontal="left" vertical="center"/>
    </xf>
    <xf numFmtId="0" fontId="25" fillId="2" borderId="20" xfId="0" applyFont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0" borderId="0" xfId="0" applyFont="1" applyAlignment="1">
      <alignment horizontal="center" wrapText="1"/>
    </xf>
    <xf numFmtId="0" fontId="29" fillId="5" borderId="30" xfId="0" applyFont="1" applyFill="1" applyBorder="1" applyAlignment="1">
      <alignment horizontal="center"/>
    </xf>
    <xf numFmtId="0" fontId="29" fillId="5" borderId="36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2" fillId="3" borderId="34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22" fillId="3" borderId="35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167" fontId="4" fillId="0" borderId="15" xfId="0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167" fontId="4" fillId="0" borderId="16" xfId="0" applyNumberFormat="1" applyFont="1" applyBorder="1" applyAlignment="1">
      <alignment horizontal="center" vertical="center" wrapText="1"/>
    </xf>
    <xf numFmtId="167" fontId="4" fillId="0" borderId="17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7" fontId="4" fillId="0" borderId="18" xfId="0" applyNumberFormat="1" applyFont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wrapText="1"/>
    </xf>
    <xf numFmtId="0" fontId="20" fillId="2" borderId="20" xfId="0" applyFont="1" applyFill="1" applyBorder="1" applyAlignment="1">
      <alignment horizontal="center" wrapText="1"/>
    </xf>
    <xf numFmtId="0" fontId="20" fillId="2" borderId="21" xfId="0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8">
    <dxf>
      <font>
        <strike val="0"/>
        <outline val="0"/>
        <shadow val="0"/>
        <u val="none"/>
        <vertAlign val="baseline"/>
        <sz val="9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0EFFB"/>
        </left>
        <right/>
        <top style="thin">
          <color rgb="FFE0EFFB"/>
        </top>
        <bottom style="thin">
          <color rgb="FFE0EFFB"/>
        </bottom>
      </border>
    </dxf>
    <dxf>
      <font>
        <strike val="0"/>
        <outline val="0"/>
        <shadow val="0"/>
        <u val="none"/>
        <vertAlign val="baseline"/>
        <sz val="9"/>
        <name val="Open Sans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0EFFB"/>
        </left>
        <right style="thin">
          <color rgb="FFE0EFFB"/>
        </right>
        <top style="thin">
          <color rgb="FFE0EFFB"/>
        </top>
        <bottom style="thin">
          <color rgb="FFE0EFFB"/>
        </bottom>
      </border>
    </dxf>
    <dxf>
      <font>
        <strike val="0"/>
        <outline val="0"/>
        <shadow val="0"/>
        <u val="none"/>
        <vertAlign val="baseline"/>
        <sz val="9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E0EFFB"/>
        </right>
        <top style="thin">
          <color rgb="FFE0EFFB"/>
        </top>
        <bottom style="thin">
          <color rgb="FFE0EFFB"/>
        </bottom>
      </border>
    </dxf>
    <dxf>
      <border>
        <top style="thin">
          <color rgb="FFE0EFFB"/>
        </top>
      </border>
    </dxf>
    <dxf>
      <border diagonalUp="0" diagonalDown="0">
        <left style="thin">
          <color rgb="FFE0EFFB"/>
        </left>
        <right style="thin">
          <color rgb="FFE0EFFB"/>
        </right>
        <top style="thin">
          <color rgb="FFE0EFFB"/>
        </top>
        <bottom style="thin">
          <color rgb="FFE0EFFB"/>
        </bottom>
      </border>
    </dxf>
    <dxf>
      <font>
        <strike val="0"/>
        <outline val="0"/>
        <shadow val="0"/>
        <u val="none"/>
        <vertAlign val="baseline"/>
        <sz val="9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E0EFF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Open Sans"/>
        <family val="2"/>
        <scheme val="none"/>
      </font>
      <fill>
        <patternFill patternType="solid">
          <fgColor indexed="64"/>
          <bgColor rgb="FFE0EF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0EFFB"/>
        </left>
        <right style="thin">
          <color rgb="FFE0EFFB"/>
        </right>
        <top/>
        <bottom/>
      </border>
    </dxf>
  </dxfs>
  <tableStyles count="0" defaultTableStyle="TableStyleMedium2" defaultPivotStyle="PivotStyleLight16"/>
  <colors>
    <mruColors>
      <color rgb="FFCBE5DA"/>
      <color rgb="FFFCDFDF"/>
      <color rgb="FFE0EFFB"/>
      <color rgb="FFFAE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400" b="1" i="0" u="none" strike="noStrike" baseline="0"/>
              <a:t>Liquidity &amp; Deleveraging Trend</a:t>
            </a:r>
            <a:endParaRPr lang="en-US" b="1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Inputs!$B$21</c:f>
              <c:strCache>
                <c:ptCount val="1"/>
                <c:pt idx="0">
                  <c:v> Net Debt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Inputs!$D$21:$H$21</c:f>
              <c:numCache>
                <c:formatCode>_(#,##0_)_%;\(#,##0\)_%;_("–"_)_%;_(@_)_%</c:formatCode>
                <c:ptCount val="5"/>
                <c:pt idx="0">
                  <c:v>-1989</c:v>
                </c:pt>
                <c:pt idx="1">
                  <c:v>10640</c:v>
                </c:pt>
                <c:pt idx="2">
                  <c:v>9162</c:v>
                </c:pt>
                <c:pt idx="3">
                  <c:v>7987</c:v>
                </c:pt>
                <c:pt idx="4">
                  <c:v>6012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Inputs!$D$5:$H$5</c15:sqref>
                        </c15:formulaRef>
                      </c:ext>
                    </c:extLst>
                    <c:numCache>
                      <c:formatCode>_(###0_)_%;\(#,##0\)_%;_("–"_)_%;_(@_)_%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B94-41B7-AC70-41C7F39A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94064"/>
        <c:axId val="106897904"/>
      </c:barChart>
      <c:catAx>
        <c:axId val="106894064"/>
        <c:scaling>
          <c:orientation val="minMax"/>
        </c:scaling>
        <c:delete val="0"/>
        <c:axPos val="b"/>
        <c:numFmt formatCode="_(###0_)_%;\(#,##0\)_%;_(&quot;–&quot;_)_%;_(@_)_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7904"/>
        <c:crosses val="autoZero"/>
        <c:auto val="1"/>
        <c:lblAlgn val="ctr"/>
        <c:lblOffset val="100"/>
        <c:noMultiLvlLbl val="0"/>
      </c:catAx>
      <c:valAx>
        <c:axId val="106897904"/>
        <c:scaling>
          <c:orientation val="minMax"/>
        </c:scaling>
        <c:delete val="1"/>
        <c:axPos val="l"/>
        <c:numFmt formatCode="_(#,##0_)_%;\(#,##0\)_%;_(&quot;–&quot;_)_%;_(@_)_%" sourceLinked="1"/>
        <c:majorTickMark val="none"/>
        <c:minorTickMark val="none"/>
        <c:tickLblPos val="nextTo"/>
        <c:crossAx val="1068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FF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Cash (SEKm)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Inputs!$B$16</c:f>
              <c:strCache>
                <c:ptCount val="1"/>
                <c:pt idx="0">
                  <c:v> Cash &amp; Cash Equivalents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Inputs!$D$16:$H$16</c:f>
              <c:numCache>
                <c:formatCode>_(#,##0_)_%;\(#,##0\)_%;_("–"_)_%;_(@_)_%</c:formatCode>
                <c:ptCount val="5"/>
                <c:pt idx="0">
                  <c:v>3123</c:v>
                </c:pt>
                <c:pt idx="1">
                  <c:v>1871</c:v>
                </c:pt>
                <c:pt idx="2">
                  <c:v>2173</c:v>
                </c:pt>
                <c:pt idx="3">
                  <c:v>1012</c:v>
                </c:pt>
                <c:pt idx="4">
                  <c:v>1083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Inputs!$D$5:$H$5</c15:sqref>
                        </c15:formulaRef>
                      </c:ext>
                    </c:extLst>
                    <c:numCache>
                      <c:formatCode>_(###0_)_%;\(#,##0\)_%;_("–"_)_%;_(@_)_%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86A-4643-BDF0-E96EEBC54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906864"/>
        <c:axId val="2124894384"/>
      </c:lineChart>
      <c:catAx>
        <c:axId val="2124906864"/>
        <c:scaling>
          <c:orientation val="minMax"/>
        </c:scaling>
        <c:delete val="0"/>
        <c:axPos val="b"/>
        <c:numFmt formatCode="_(###0_)_%;\(#,##0\)_%;_(&quot;–&quot;_)_%;_(@_)_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94384"/>
        <c:crosses val="autoZero"/>
        <c:auto val="1"/>
        <c:lblAlgn val="ctr"/>
        <c:lblOffset val="100"/>
        <c:noMultiLvlLbl val="0"/>
      </c:catAx>
      <c:valAx>
        <c:axId val="2124894384"/>
        <c:scaling>
          <c:orientation val="minMax"/>
        </c:scaling>
        <c:delete val="1"/>
        <c:axPos val="l"/>
        <c:numFmt formatCode="_(#,##0_)_%;\(#,##0\)_%;_(&quot;–&quot;_)_%;_(@_)_%" sourceLinked="1"/>
        <c:majorTickMark val="none"/>
        <c:minorTickMark val="none"/>
        <c:tickLblPos val="nextTo"/>
        <c:crossAx val="212490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FF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100" b="1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Revenue by Region</a:t>
            </a:r>
            <a:r>
              <a:rPr lang="en-US" sz="1100" b="1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 - </a:t>
            </a:r>
            <a:r>
              <a:rPr lang="en-US" sz="1100" b="1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FX</a:t>
            </a:r>
            <a:r>
              <a:rPr lang="en-US" sz="1100" b="1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 Exposure Proxy</a:t>
            </a:r>
            <a:endParaRPr lang="en-US" sz="1100" b="1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Inputs!$C$37</c:f>
              <c:strCache>
                <c:ptCount val="1"/>
                <c:pt idx="0">
                  <c:v> Region 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E4-4100-9BA9-58440D7EEB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E4-4100-9BA9-58440D7EEB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E4-4100-9BA9-58440D7EEB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Inputs!$C$38:$C$40</c:f>
              <c:strCache>
                <c:ptCount val="3"/>
                <c:pt idx="0">
                  <c:v> Americas  </c:v>
                </c:pt>
                <c:pt idx="1">
                  <c:v> EMEA  </c:v>
                </c:pt>
                <c:pt idx="2">
                  <c:v> APAC  </c:v>
                </c:pt>
              </c:strCache>
            </c:strRef>
          </c:cat>
          <c:val>
            <c:numRef>
              <c:f>Inputs!$E$38:$E$40</c:f>
              <c:numCache>
                <c:formatCode>_(#,##0%_);\(#,##0%\);_("–"_)_%;_(@_)_%</c:formatCode>
                <c:ptCount val="3"/>
                <c:pt idx="0">
                  <c:v>0.63071189746447476</c:v>
                </c:pt>
                <c:pt idx="1">
                  <c:v>0.23126219002507661</c:v>
                </c:pt>
                <c:pt idx="2">
                  <c:v>0.1380259125104486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A-48C9-A251-E89971C8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FF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 </a:t>
            </a:r>
            <a:r>
              <a:rPr lang="en-US" sz="2000" b="1" i="0" u="none" strike="noStrike" baseline="0"/>
              <a:t>Projected Liquidity Position (12 Months)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'Liquidity Forecast Simulation'!$I$21</c:f>
              <c:strCache>
                <c:ptCount val="1"/>
                <c:pt idx="0">
                  <c:v> Closing Cash  </c:v>
                </c:pt>
              </c:strCache>
            </c:strRef>
          </c:tx>
          <c:spPr>
            <a:solidFill>
              <a:srgbClr val="E0EFFB"/>
            </a:solidFill>
            <a:ln>
              <a:noFill/>
            </a:ln>
            <a:effectLst/>
          </c:spPr>
          <c:invertIfNegative val="0"/>
          <c:cat>
            <c:strRef>
              <c:f>'Liquidity Forecast Simulation'!$B$23:$B$34</c:f>
              <c:strCache>
                <c:ptCount val="12"/>
                <c:pt idx="0">
                  <c:v> Jan  </c:v>
                </c:pt>
                <c:pt idx="1">
                  <c:v> Feb  </c:v>
                </c:pt>
                <c:pt idx="2">
                  <c:v> Mar  </c:v>
                </c:pt>
                <c:pt idx="3">
                  <c:v> Apr  </c:v>
                </c:pt>
                <c:pt idx="4">
                  <c:v> May  </c:v>
                </c:pt>
                <c:pt idx="5">
                  <c:v> Jun  </c:v>
                </c:pt>
                <c:pt idx="6">
                  <c:v> Jul  </c:v>
                </c:pt>
                <c:pt idx="7">
                  <c:v> Aug  </c:v>
                </c:pt>
                <c:pt idx="8">
                  <c:v> Sep  </c:v>
                </c:pt>
                <c:pt idx="9">
                  <c:v> Oct  </c:v>
                </c:pt>
                <c:pt idx="10">
                  <c:v> Nov  </c:v>
                </c:pt>
                <c:pt idx="11">
                  <c:v> Dec  </c:v>
                </c:pt>
              </c:strCache>
            </c:strRef>
          </c:cat>
          <c:val>
            <c:numRef>
              <c:f>'Liquidity Forecast Simulation'!$I$23:$I$34</c:f>
              <c:numCache>
                <c:formatCode>_(#,##0_)_%;\(#,##0\)_%;_("–"_)_%;_(@_)_%</c:formatCode>
                <c:ptCount val="12"/>
                <c:pt idx="0">
                  <c:v>1197.4197126666666</c:v>
                </c:pt>
                <c:pt idx="1">
                  <c:v>1311.8394253333331</c:v>
                </c:pt>
                <c:pt idx="2">
                  <c:v>1426.2591379999997</c:v>
                </c:pt>
                <c:pt idx="3">
                  <c:v>1540.6788506666662</c:v>
                </c:pt>
                <c:pt idx="4">
                  <c:v>1655.0985633333328</c:v>
                </c:pt>
                <c:pt idx="5">
                  <c:v>1769.5182759999993</c:v>
                </c:pt>
                <c:pt idx="6">
                  <c:v>1883.9379886666659</c:v>
                </c:pt>
                <c:pt idx="7">
                  <c:v>1998.3577013333322</c:v>
                </c:pt>
                <c:pt idx="8">
                  <c:v>2112.7774139999992</c:v>
                </c:pt>
                <c:pt idx="9">
                  <c:v>2227.1971266666665</c:v>
                </c:pt>
                <c:pt idx="10">
                  <c:v>2341.6168393333337</c:v>
                </c:pt>
                <c:pt idx="11">
                  <c:v>2456.0365520000009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A-403B-A20A-28C0648D2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1785984"/>
        <c:axId val="311787904"/>
      </c:barChart>
      <c:lineChart>
        <c:grouping val="standard"/>
        <c:varyColors val="0"/>
        <c:ser>
          <c:idx val="1"/>
          <c:order val="1"/>
          <c:tx>
            <c:strRef>
              <c:f>'Liquidity Forecast Simulation'!$J$21</c:f>
              <c:strCache>
                <c:ptCount val="1"/>
                <c:pt idx="0">
                  <c:v> Liquidity Buffer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'Liquidity Forecast Simulation'!$B$23:$B$34</c:f>
              <c:strCache>
                <c:ptCount val="12"/>
                <c:pt idx="0">
                  <c:v> Jan  </c:v>
                </c:pt>
                <c:pt idx="1">
                  <c:v> Feb  </c:v>
                </c:pt>
                <c:pt idx="2">
                  <c:v> Mar  </c:v>
                </c:pt>
                <c:pt idx="3">
                  <c:v> Apr  </c:v>
                </c:pt>
                <c:pt idx="4">
                  <c:v> May  </c:v>
                </c:pt>
                <c:pt idx="5">
                  <c:v> Jun  </c:v>
                </c:pt>
                <c:pt idx="6">
                  <c:v> Jul  </c:v>
                </c:pt>
                <c:pt idx="7">
                  <c:v> Aug  </c:v>
                </c:pt>
                <c:pt idx="8">
                  <c:v> Sep  </c:v>
                </c:pt>
                <c:pt idx="9">
                  <c:v> Oct  </c:v>
                </c:pt>
                <c:pt idx="10">
                  <c:v> Nov  </c:v>
                </c:pt>
                <c:pt idx="11">
                  <c:v> Dec  </c:v>
                </c:pt>
              </c:strCache>
            </c:strRef>
          </c:cat>
          <c:val>
            <c:numRef>
              <c:f>'Liquidity Forecast Simulation'!$J$23:$J$34</c:f>
            </c:numRef>
          </c:val>
          <c:smooth val="0"/>
          <c:extLst>
            <c:ext xmlns:c16="http://schemas.microsoft.com/office/drawing/2014/chart" uri="{C3380CC4-5D6E-409C-BE32-E72D297353CC}">
              <c16:uniqueId val="{00000001-0D3A-403B-A20A-28C0648D2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785984"/>
        <c:axId val="311787904"/>
      </c:lineChart>
      <c:catAx>
        <c:axId val="3117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311787904"/>
        <c:crosses val="autoZero"/>
        <c:auto val="1"/>
        <c:lblAlgn val="ctr"/>
        <c:lblOffset val="100"/>
        <c:noMultiLvlLbl val="0"/>
      </c:catAx>
      <c:valAx>
        <c:axId val="311787904"/>
        <c:scaling>
          <c:orientation val="minMax"/>
        </c:scaling>
        <c:delete val="1"/>
        <c:axPos val="l"/>
        <c:numFmt formatCode="_(#,##0_)_%;\(#,##0\)_%;_(&quot;–&quot;_)_%;_(@_)_%" sourceLinked="1"/>
        <c:majorTickMark val="none"/>
        <c:minorTickMark val="none"/>
        <c:tickLblPos val="nextTo"/>
        <c:crossAx val="31178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FF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C$8" fmlaRange="$B$15:$B$17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</xdr:colOff>
      <xdr:row>7</xdr:row>
      <xdr:rowOff>66675</xdr:rowOff>
    </xdr:from>
    <xdr:to>
      <xdr:col>7</xdr:col>
      <xdr:colOff>207169</xdr:colOff>
      <xdr:row>11</xdr:row>
      <xdr:rowOff>61144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B4D88B2-0CFC-4A2F-AC45-5FDAAA2DD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47774" y="1314450"/>
          <a:ext cx="3226595" cy="832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295275</xdr:rowOff>
    </xdr:from>
    <xdr:to>
      <xdr:col>2</xdr:col>
      <xdr:colOff>1543050</xdr:colOff>
      <xdr:row>0</xdr:row>
      <xdr:rowOff>727894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95B2AE0-8F01-745E-7467-6B1E70CD1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8175" y="295275"/>
          <a:ext cx="1676400" cy="432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189634</xdr:rowOff>
    </xdr:from>
    <xdr:to>
      <xdr:col>3</xdr:col>
      <xdr:colOff>676275</xdr:colOff>
      <xdr:row>0</xdr:row>
      <xdr:rowOff>622253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A1201F9-7D4E-48B3-AF82-5EF0A514B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8675" y="189634"/>
          <a:ext cx="1676400" cy="4326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207817</xdr:rowOff>
    </xdr:from>
    <xdr:to>
      <xdr:col>8</xdr:col>
      <xdr:colOff>0</xdr:colOff>
      <xdr:row>41</xdr:row>
      <xdr:rowOff>233794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00F18-6A8A-A5C0-EC9D-587765E81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207817</xdr:rowOff>
    </xdr:from>
    <xdr:to>
      <xdr:col>16</xdr:col>
      <xdr:colOff>0</xdr:colOff>
      <xdr:row>38</xdr:row>
      <xdr:rowOff>207817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485C1-9CC7-A7B4-14F1-AABF67AA6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</xdr:colOff>
      <xdr:row>53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859744-EA70-D2C9-496E-0C665A6D3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3</xdr:col>
          <xdr:colOff>0</xdr:colOff>
          <xdr:row>7</xdr:row>
          <xdr:rowOff>209550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0</xdr:colOff>
      <xdr:row>7</xdr:row>
      <xdr:rowOff>0</xdr:rowOff>
    </xdr:from>
    <xdr:to>
      <xdr:col>22</xdr:col>
      <xdr:colOff>609599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9611A-58DF-2877-D9F7-8A5E76AF8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38100</xdr:colOff>
      <xdr:row>0</xdr:row>
      <xdr:rowOff>208684</xdr:rowOff>
    </xdr:from>
    <xdr:to>
      <xdr:col>2</xdr:col>
      <xdr:colOff>542925</xdr:colOff>
      <xdr:row>0</xdr:row>
      <xdr:rowOff>641303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B56EAEC2-4553-48B9-A559-C47142C62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7700" y="208684"/>
          <a:ext cx="1676400" cy="4326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47AE4-3579-456E-8B5A-DAC7E23922F6}" name="Table1" displayName="Table1" ref="I60:K65" totalsRowShown="0" headerRowDxfId="7" dataDxfId="5" headerRowBorderDxfId="6" tableBorderDxfId="4" totalsRowBorderDxfId="3">
  <autoFilter ref="I60:K65" xr:uid="{AB147AE4-3579-456E-8B5A-DAC7E23922F6}"/>
  <tableColumns count="3">
    <tableColumn id="1" xr3:uid="{82BACEDA-463A-4478-83AB-372DE43204CB}" name="Country" dataDxfId="2"/>
    <tableColumn id="2" xr3:uid="{CF29FDEB-0CE2-4ACA-B0D9-EA4E175E0A81}" name="Revenue" dataDxfId="1"/>
    <tableColumn id="3" xr3:uid="{CF2B4C47-F286-4995-975B-9B33BA5C2589}" name="Curr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DFA3-194C-40B5-87E4-4FAB106AF17B}">
  <dimension ref="B2:Q39"/>
  <sheetViews>
    <sheetView showGridLines="0" tabSelected="1" zoomScaleNormal="100" workbookViewId="0"/>
  </sheetViews>
  <sheetFormatPr defaultRowHeight="15" x14ac:dyDescent="0.25"/>
  <cols>
    <col min="12" max="12" width="3.28515625" customWidth="1"/>
    <col min="14" max="14" width="4.140625" customWidth="1"/>
    <col min="17" max="17" width="36.7109375" customWidth="1"/>
  </cols>
  <sheetData>
    <row r="2" spans="2:17" ht="15.75" thickBot="1" x14ac:dyDescent="0.3"/>
    <row r="3" spans="2:17" ht="16.5" x14ac:dyDescent="0.3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2:17" ht="16.5" x14ac:dyDescent="0.3">
      <c r="B4" s="1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"/>
    </row>
    <row r="5" spans="2:17" ht="16.5" x14ac:dyDescent="0.3"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6"/>
    </row>
    <row r="6" spans="2:17" ht="16.5" x14ac:dyDescent="0.3"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6"/>
    </row>
    <row r="7" spans="2:17" ht="16.5" x14ac:dyDescent="0.3"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"/>
    </row>
    <row r="8" spans="2:17" ht="16.5" x14ac:dyDescent="0.3">
      <c r="B8" s="1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6"/>
    </row>
    <row r="9" spans="2:17" ht="16.5" x14ac:dyDescent="0.3"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6"/>
    </row>
    <row r="10" spans="2:17" ht="16.5" x14ac:dyDescent="0.3">
      <c r="B10" s="1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6"/>
    </row>
    <row r="11" spans="2:17" ht="16.5" x14ac:dyDescent="0.3"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6"/>
    </row>
    <row r="12" spans="2:17" ht="16.5" x14ac:dyDescent="0.3">
      <c r="B12" s="15"/>
      <c r="Q12" s="16"/>
    </row>
    <row r="13" spans="2:17" ht="16.5" x14ac:dyDescent="0.3">
      <c r="B13" s="15"/>
      <c r="Q13" s="16"/>
    </row>
    <row r="14" spans="2:17" ht="18.75" thickBot="1" x14ac:dyDescent="0.4">
      <c r="B14" s="15"/>
      <c r="C14" s="23" t="s">
        <v>27</v>
      </c>
      <c r="D14" s="1"/>
      <c r="E14" s="1"/>
      <c r="F14" s="1"/>
      <c r="G14" s="1"/>
      <c r="H14" s="1"/>
      <c r="I14" s="1"/>
      <c r="J14" s="1"/>
      <c r="K14" s="1"/>
      <c r="N14" s="94" t="s">
        <v>22</v>
      </c>
      <c r="O14" s="95"/>
      <c r="P14" s="1"/>
      <c r="Q14" s="16"/>
    </row>
    <row r="15" spans="2:17" ht="18" x14ac:dyDescent="0.35">
      <c r="B15" s="15"/>
      <c r="C15" s="24" t="s">
        <v>28</v>
      </c>
      <c r="D15" s="1"/>
      <c r="E15" s="1"/>
      <c r="F15" s="1"/>
      <c r="G15" s="1"/>
      <c r="H15" s="1"/>
      <c r="I15" s="1"/>
      <c r="J15" s="1"/>
      <c r="K15" s="1"/>
      <c r="N15" s="1"/>
      <c r="P15" s="1"/>
      <c r="Q15" s="16"/>
    </row>
    <row r="16" spans="2:17" ht="16.5" x14ac:dyDescent="0.3">
      <c r="B16" s="15"/>
      <c r="C16" s="1" t="s">
        <v>31</v>
      </c>
      <c r="D16" s="1"/>
      <c r="E16" s="1"/>
      <c r="F16" s="1"/>
      <c r="G16" s="1"/>
      <c r="H16" s="1"/>
      <c r="I16" s="1"/>
      <c r="J16" s="1"/>
      <c r="K16" s="1"/>
      <c r="N16" s="1"/>
      <c r="O16" s="96" t="s">
        <v>23</v>
      </c>
      <c r="P16" s="1"/>
      <c r="Q16" s="16"/>
    </row>
    <row r="17" spans="2:17" ht="16.5" x14ac:dyDescent="0.3">
      <c r="B17" s="15"/>
      <c r="D17" s="1"/>
      <c r="E17" s="1"/>
      <c r="F17" s="1"/>
      <c r="G17" s="1"/>
      <c r="H17" s="1"/>
      <c r="I17" s="1"/>
      <c r="J17" s="1"/>
      <c r="K17" s="1"/>
      <c r="N17" s="1"/>
      <c r="O17" s="96" t="s">
        <v>169</v>
      </c>
      <c r="P17" s="1"/>
      <c r="Q17" s="16"/>
    </row>
    <row r="18" spans="2:17" ht="16.5" x14ac:dyDescent="0.3">
      <c r="B18" s="15"/>
      <c r="D18" s="1"/>
      <c r="E18" s="1"/>
      <c r="F18" s="1"/>
      <c r="G18" s="1"/>
      <c r="H18" s="1"/>
      <c r="I18" s="1"/>
      <c r="J18" s="1"/>
      <c r="K18" s="1"/>
      <c r="N18" s="1"/>
      <c r="O18" s="96" t="s">
        <v>170</v>
      </c>
      <c r="P18" s="1"/>
      <c r="Q18" s="16"/>
    </row>
    <row r="19" spans="2:17" ht="18" x14ac:dyDescent="0.35">
      <c r="B19" s="15"/>
      <c r="D19" s="1"/>
      <c r="E19" s="1"/>
      <c r="F19" s="1"/>
      <c r="G19" s="1"/>
      <c r="H19" s="1"/>
      <c r="I19" s="1"/>
      <c r="J19" s="1"/>
      <c r="K19" s="1"/>
      <c r="L19" s="1"/>
      <c r="M19" s="98"/>
      <c r="N19" s="97"/>
      <c r="O19" s="97"/>
      <c r="P19" s="1"/>
      <c r="Q19" s="16"/>
    </row>
    <row r="20" spans="2:17" ht="18" x14ac:dyDescent="0.35">
      <c r="B20" s="15"/>
      <c r="D20" s="1"/>
      <c r="E20" s="1"/>
      <c r="F20" s="1"/>
      <c r="G20" s="1"/>
      <c r="H20" s="1"/>
      <c r="I20" s="1"/>
      <c r="J20" s="1"/>
      <c r="K20" s="1"/>
      <c r="L20" s="1"/>
      <c r="M20" s="98"/>
      <c r="N20" s="97"/>
      <c r="O20" s="97"/>
      <c r="P20" s="1"/>
      <c r="Q20" s="16"/>
    </row>
    <row r="21" spans="2:17" ht="16.5" x14ac:dyDescent="0.3">
      <c r="B21" s="15"/>
      <c r="P21" s="1"/>
      <c r="Q21" s="16"/>
    </row>
    <row r="22" spans="2:17" ht="16.5" x14ac:dyDescent="0.3">
      <c r="B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6"/>
    </row>
    <row r="23" spans="2:17" ht="16.5" x14ac:dyDescent="0.3">
      <c r="B23" s="15"/>
      <c r="D23" s="1"/>
      <c r="E23" s="1"/>
      <c r="F23" s="1"/>
      <c r="G23" s="1"/>
      <c r="H23" s="1"/>
      <c r="I23" s="1"/>
      <c r="J23" s="1"/>
      <c r="K23" s="1"/>
      <c r="L23" s="1"/>
      <c r="M23" s="22"/>
      <c r="N23" s="1"/>
      <c r="O23" s="1"/>
      <c r="P23" s="1"/>
      <c r="Q23" s="16"/>
    </row>
    <row r="24" spans="2:17" ht="16.5" x14ac:dyDescent="0.3">
      <c r="B24" s="15"/>
      <c r="C24" s="18"/>
      <c r="D24" s="18"/>
      <c r="E24" s="18"/>
      <c r="F24" s="18"/>
      <c r="G24" s="18"/>
      <c r="H24" s="19"/>
      <c r="I24" s="18"/>
      <c r="J24" s="20"/>
      <c r="K24" s="18"/>
      <c r="L24" s="18"/>
      <c r="M24" s="1"/>
      <c r="N24" s="1"/>
      <c r="O24" s="1"/>
      <c r="P24" s="1"/>
      <c r="Q24" s="16"/>
    </row>
    <row r="25" spans="2:17" ht="16.5" x14ac:dyDescent="0.3">
      <c r="B25" s="15"/>
      <c r="C25" s="18"/>
      <c r="D25" s="18"/>
      <c r="E25" s="18"/>
      <c r="F25" s="18"/>
      <c r="G25" s="18"/>
      <c r="H25" s="19"/>
      <c r="I25" s="18"/>
      <c r="J25" s="20"/>
      <c r="K25" s="18"/>
      <c r="L25" s="18"/>
      <c r="M25" s="1"/>
      <c r="N25" s="1"/>
      <c r="O25" s="1"/>
      <c r="P25" s="1"/>
      <c r="Q25" s="16"/>
    </row>
    <row r="26" spans="2:17" ht="16.5" x14ac:dyDescent="0.3">
      <c r="B26" s="15"/>
      <c r="C26" s="18"/>
      <c r="D26" s="18"/>
      <c r="E26" s="18"/>
      <c r="F26" s="18"/>
      <c r="G26" s="18"/>
      <c r="H26" s="19"/>
      <c r="I26" s="18"/>
      <c r="J26" s="20"/>
      <c r="K26" s="18"/>
      <c r="L26" s="18"/>
      <c r="M26" s="1"/>
      <c r="N26" s="1"/>
      <c r="O26" s="1"/>
      <c r="P26" s="1"/>
      <c r="Q26" s="16"/>
    </row>
    <row r="27" spans="2:17" ht="16.5" x14ac:dyDescent="0.3">
      <c r="B27" s="15"/>
      <c r="C27" s="1" t="s">
        <v>25</v>
      </c>
      <c r="D27" s="18"/>
      <c r="E27" s="18"/>
      <c r="F27" s="18"/>
      <c r="G27" s="18"/>
      <c r="H27" s="19"/>
      <c r="I27" s="18"/>
      <c r="J27" s="20"/>
      <c r="K27" s="18"/>
      <c r="L27" s="18"/>
      <c r="M27" s="1"/>
      <c r="N27" s="1"/>
      <c r="O27" s="1"/>
      <c r="P27" s="1"/>
      <c r="Q27" s="16"/>
    </row>
    <row r="28" spans="2:17" ht="16.5" x14ac:dyDescent="0.3">
      <c r="B28" s="15"/>
      <c r="D28" s="19"/>
      <c r="E28" s="20"/>
      <c r="F28" s="19"/>
      <c r="G28" s="19"/>
      <c r="H28" s="19"/>
      <c r="I28" s="19"/>
      <c r="J28" s="20"/>
      <c r="K28" s="20"/>
      <c r="L28" s="19"/>
      <c r="M28" s="1"/>
      <c r="N28" s="1"/>
      <c r="O28" s="1"/>
      <c r="P28" s="1"/>
      <c r="Q28" s="16"/>
    </row>
    <row r="29" spans="2:17" ht="16.5" x14ac:dyDescent="0.3">
      <c r="B29" s="15"/>
      <c r="C29" s="21" t="s">
        <v>26</v>
      </c>
      <c r="D29" s="19"/>
      <c r="E29" s="20"/>
      <c r="F29" s="19"/>
      <c r="G29" s="19"/>
      <c r="H29" s="19"/>
      <c r="I29" s="19"/>
      <c r="J29" s="20"/>
      <c r="K29" s="20"/>
      <c r="L29" s="19"/>
      <c r="M29" s="1"/>
      <c r="N29" s="1"/>
      <c r="O29" s="1"/>
      <c r="P29" s="1"/>
      <c r="Q29" s="16"/>
    </row>
    <row r="30" spans="2:17" ht="16.5" x14ac:dyDescent="0.3">
      <c r="B30" s="15"/>
      <c r="C30" s="1" t="s">
        <v>29</v>
      </c>
      <c r="D30" s="19"/>
      <c r="E30" s="19"/>
      <c r="F30" s="19"/>
      <c r="G30" s="19"/>
      <c r="H30" s="19"/>
      <c r="I30" s="1"/>
      <c r="J30" s="20"/>
      <c r="K30" s="1"/>
      <c r="L30" s="1"/>
      <c r="M30" s="1"/>
      <c r="N30" s="1"/>
      <c r="O30" s="1"/>
      <c r="P30" s="1"/>
      <c r="Q30" s="16"/>
    </row>
    <row r="31" spans="2:17" ht="16.5" x14ac:dyDescent="0.3">
      <c r="B31" s="15"/>
      <c r="C31" s="1" t="s">
        <v>30</v>
      </c>
      <c r="D31" s="19"/>
      <c r="E31" s="19"/>
      <c r="F31" s="19"/>
      <c r="G31" s="19"/>
      <c r="H31" s="19"/>
      <c r="I31" s="1"/>
      <c r="J31" s="20"/>
      <c r="K31" s="1"/>
      <c r="L31" s="1"/>
      <c r="M31" s="1"/>
      <c r="N31" s="1"/>
      <c r="O31" s="1"/>
      <c r="P31" s="1"/>
      <c r="Q31" s="16"/>
    </row>
    <row r="32" spans="2:17" ht="16.5" x14ac:dyDescent="0.3">
      <c r="B32" s="1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6"/>
    </row>
    <row r="33" spans="2:17" ht="16.5" x14ac:dyDescent="0.3"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6"/>
    </row>
    <row r="34" spans="2:17" ht="16.5" x14ac:dyDescent="0.3"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6"/>
    </row>
    <row r="35" spans="2:17" ht="17.25" thickBot="1" x14ac:dyDescent="0.35"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6"/>
    </row>
    <row r="36" spans="2:17" ht="16.5" x14ac:dyDescent="0.3">
      <c r="B36" s="8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2:17" ht="16.5" customHeight="1" x14ac:dyDescent="0.3">
      <c r="B37" s="88"/>
      <c r="C37" s="89" t="s">
        <v>32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</row>
    <row r="38" spans="2:17" ht="16.5" x14ac:dyDescent="0.3">
      <c r="B38" s="88"/>
      <c r="C38" s="100" t="s">
        <v>24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90"/>
    </row>
    <row r="39" spans="2:17" ht="17.25" thickBot="1" x14ac:dyDescent="0.35">
      <c r="B39" s="91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</row>
  </sheetData>
  <mergeCells count="1">
    <mergeCell ref="C38:P38"/>
  </mergeCells>
  <hyperlinks>
    <hyperlink ref="O16" location="Inputs!A1" display="Inputs" xr:uid="{9DA0804B-AAD7-4DFE-AA8B-D0258EB5575B}"/>
    <hyperlink ref="O17" location="Dashboard!A1" display="Dashboard" xr:uid="{72164289-AA22-4B2F-A4FD-B8562E354781}"/>
    <hyperlink ref="O18" location="'Liquidity Forecast Simulation'!A1" display="Liquidity Forecast Simulation" xr:uid="{71FC3823-2DF4-4440-95A9-81123298DDFF}"/>
  </hyperlinks>
  <pageMargins left="0.7" right="0.7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08C5-EB33-4075-83AF-A2192189F664}">
  <dimension ref="A1:L48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outlineLevelRow="1" x14ac:dyDescent="0.3"/>
  <cols>
    <col min="1" max="1" width="6.7109375" style="1" customWidth="1"/>
    <col min="2" max="2" width="4.85546875" style="1" customWidth="1"/>
    <col min="3" max="3" width="23.5703125" style="1" customWidth="1"/>
    <col min="4" max="4" width="16.85546875" style="1" customWidth="1"/>
    <col min="5" max="5" width="16.28515625" style="1" customWidth="1"/>
    <col min="6" max="9" width="16.85546875" style="1" customWidth="1"/>
    <col min="10" max="16384" width="9.140625" style="1"/>
  </cols>
  <sheetData>
    <row r="1" spans="1:12" ht="78" customHeight="1" x14ac:dyDescent="0.3">
      <c r="B1" s="31"/>
      <c r="C1" s="31"/>
      <c r="D1" s="31"/>
      <c r="E1" s="31"/>
      <c r="F1" s="31"/>
      <c r="G1" s="31"/>
      <c r="H1" s="84" t="s">
        <v>168</v>
      </c>
    </row>
    <row r="2" spans="1:12" s="27" customFormat="1" x14ac:dyDescent="0.3"/>
    <row r="3" spans="1:12" ht="18" x14ac:dyDescent="0.35">
      <c r="A3" s="1" t="s">
        <v>0</v>
      </c>
      <c r="B3" s="32" t="s">
        <v>62</v>
      </c>
      <c r="C3" s="32"/>
      <c r="D3" s="31"/>
      <c r="E3" s="31"/>
      <c r="F3" s="31"/>
      <c r="G3" s="31"/>
      <c r="H3" s="31"/>
    </row>
    <row r="4" spans="1:12" outlineLevel="1" x14ac:dyDescent="0.3">
      <c r="B4" s="2"/>
      <c r="C4" s="2"/>
    </row>
    <row r="5" spans="1:12" ht="17.25" outlineLevel="1" thickBot="1" x14ac:dyDescent="0.35">
      <c r="B5" s="10"/>
      <c r="C5" s="10"/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</row>
    <row r="6" spans="1:12" outlineLevel="1" x14ac:dyDescent="0.3">
      <c r="B6" s="3"/>
      <c r="C6" s="3"/>
      <c r="D6" s="5"/>
      <c r="E6" s="5"/>
      <c r="F6" s="5"/>
      <c r="G6" s="5"/>
      <c r="H6" s="5"/>
    </row>
    <row r="7" spans="1:12" outlineLevel="1" x14ac:dyDescent="0.3">
      <c r="B7" s="7" t="s">
        <v>1</v>
      </c>
      <c r="C7" s="7"/>
      <c r="D7" s="8">
        <v>8023</v>
      </c>
      <c r="E7" s="8">
        <v>16177</v>
      </c>
      <c r="F7" s="8">
        <v>27722</v>
      </c>
      <c r="G7" s="8">
        <v>28745</v>
      </c>
      <c r="H7" s="8">
        <v>28712</v>
      </c>
    </row>
    <row r="8" spans="1:12" outlineLevel="1" x14ac:dyDescent="0.3">
      <c r="B8" s="7" t="s">
        <v>2</v>
      </c>
      <c r="C8" s="7"/>
      <c r="D8" s="8">
        <v>2183</v>
      </c>
      <c r="E8" s="8">
        <v>3933</v>
      </c>
      <c r="F8" s="8">
        <v>8810</v>
      </c>
      <c r="G8" s="8">
        <v>9542</v>
      </c>
      <c r="H8" s="8">
        <v>9685</v>
      </c>
    </row>
    <row r="9" spans="1:12" outlineLevel="1" x14ac:dyDescent="0.3">
      <c r="B9" s="7" t="s">
        <v>3</v>
      </c>
      <c r="C9" s="7"/>
      <c r="D9" s="8">
        <v>715</v>
      </c>
      <c r="E9" s="8">
        <v>831</v>
      </c>
      <c r="F9" s="8">
        <v>2774</v>
      </c>
      <c r="G9" s="8">
        <v>3074</v>
      </c>
      <c r="H9" s="8">
        <v>2665</v>
      </c>
      <c r="L9" s="27"/>
    </row>
    <row r="10" spans="1:12" outlineLevel="1" x14ac:dyDescent="0.3">
      <c r="B10" s="7" t="s">
        <v>4</v>
      </c>
      <c r="C10" s="7"/>
      <c r="D10" s="8">
        <v>989</v>
      </c>
      <c r="E10" s="8">
        <v>1322</v>
      </c>
      <c r="F10" s="8">
        <v>3124</v>
      </c>
      <c r="G10" s="8">
        <v>3637</v>
      </c>
      <c r="H10" s="8">
        <v>3586</v>
      </c>
    </row>
    <row r="11" spans="1:12" outlineLevel="1" x14ac:dyDescent="0.3">
      <c r="B11" s="7" t="s">
        <v>5</v>
      </c>
      <c r="C11" s="7"/>
      <c r="D11" s="8">
        <v>446</v>
      </c>
      <c r="E11" s="8">
        <v>908</v>
      </c>
      <c r="F11" s="8">
        <v>-4943</v>
      </c>
      <c r="G11" s="8">
        <v>42</v>
      </c>
      <c r="H11" s="8">
        <v>-6413</v>
      </c>
    </row>
    <row r="12" spans="1:12" outlineLevel="1" x14ac:dyDescent="0.3">
      <c r="B12" s="7" t="s">
        <v>6</v>
      </c>
      <c r="C12" s="7"/>
      <c r="D12" s="8">
        <v>454</v>
      </c>
      <c r="E12" s="8">
        <v>329</v>
      </c>
      <c r="F12" s="8">
        <v>2508</v>
      </c>
      <c r="G12" s="8">
        <v>1788</v>
      </c>
      <c r="H12" s="8">
        <v>2944</v>
      </c>
    </row>
    <row r="13" spans="1:12" outlineLevel="1" x14ac:dyDescent="0.3">
      <c r="B13" s="7" t="s">
        <v>7</v>
      </c>
      <c r="C13" s="7"/>
      <c r="D13" s="8">
        <v>-2973</v>
      </c>
      <c r="E13" s="8">
        <v>-29059</v>
      </c>
      <c r="F13" s="8">
        <v>-691</v>
      </c>
      <c r="G13" s="8">
        <v>-649</v>
      </c>
      <c r="H13" s="8">
        <v>-604</v>
      </c>
    </row>
    <row r="14" spans="1:12" outlineLevel="1" x14ac:dyDescent="0.3">
      <c r="B14" s="7" t="s">
        <v>8</v>
      </c>
      <c r="C14" s="7"/>
      <c r="D14" s="8">
        <v>5231</v>
      </c>
      <c r="E14" s="8">
        <v>26454</v>
      </c>
      <c r="F14" s="8">
        <v>-1508</v>
      </c>
      <c r="G14" s="8">
        <v>-2342</v>
      </c>
      <c r="H14" s="8">
        <v>-2234</v>
      </c>
    </row>
    <row r="15" spans="1:12" outlineLevel="1" x14ac:dyDescent="0.3">
      <c r="B15" s="7" t="s">
        <v>9</v>
      </c>
      <c r="C15" s="7"/>
      <c r="D15" s="8">
        <v>2713</v>
      </c>
      <c r="E15" s="8">
        <v>-2276</v>
      </c>
      <c r="F15" s="8">
        <v>309</v>
      </c>
      <c r="G15" s="8">
        <v>-1203</v>
      </c>
      <c r="H15" s="8">
        <v>105</v>
      </c>
    </row>
    <row r="16" spans="1:12" outlineLevel="1" x14ac:dyDescent="0.3">
      <c r="B16" s="7" t="s">
        <v>10</v>
      </c>
      <c r="C16" s="7"/>
      <c r="D16" s="8">
        <v>3123</v>
      </c>
      <c r="E16" s="8">
        <v>1871</v>
      </c>
      <c r="F16" s="8">
        <v>2173</v>
      </c>
      <c r="G16" s="8">
        <v>1012</v>
      </c>
      <c r="H16" s="8">
        <v>1083</v>
      </c>
    </row>
    <row r="17" spans="1:9" outlineLevel="1" x14ac:dyDescent="0.3">
      <c r="B17" s="7" t="s">
        <v>11</v>
      </c>
      <c r="C17" s="7"/>
      <c r="D17" s="8">
        <v>11634</v>
      </c>
      <c r="E17" s="8">
        <v>57081</v>
      </c>
      <c r="F17" s="8">
        <v>57284</v>
      </c>
      <c r="G17" s="8">
        <v>53134</v>
      </c>
      <c r="H17" s="8">
        <v>48004</v>
      </c>
    </row>
    <row r="18" spans="1:9" outlineLevel="1" x14ac:dyDescent="0.3">
      <c r="B18" s="7" t="s">
        <v>12</v>
      </c>
      <c r="C18" s="7"/>
      <c r="D18" s="8">
        <v>7513</v>
      </c>
      <c r="E18" s="8">
        <v>34053</v>
      </c>
      <c r="F18" s="8">
        <v>34432</v>
      </c>
      <c r="G18" s="8">
        <v>33663</v>
      </c>
      <c r="H18" s="8">
        <v>29025</v>
      </c>
    </row>
    <row r="19" spans="1:9" outlineLevel="1" x14ac:dyDescent="0.3">
      <c r="B19" s="7" t="s">
        <v>13</v>
      </c>
      <c r="C19" s="7"/>
      <c r="D19" s="8">
        <v>2535</v>
      </c>
      <c r="E19" s="8">
        <v>15709</v>
      </c>
      <c r="F19" s="8">
        <v>6130</v>
      </c>
      <c r="G19" s="8">
        <v>8004</v>
      </c>
      <c r="H19" s="8">
        <v>10075</v>
      </c>
    </row>
    <row r="20" spans="1:9" outlineLevel="1" x14ac:dyDescent="0.3">
      <c r="B20" s="7" t="s">
        <v>14</v>
      </c>
      <c r="C20" s="7"/>
      <c r="D20" s="8">
        <v>1587</v>
      </c>
      <c r="E20" s="8">
        <v>7318</v>
      </c>
      <c r="F20" s="8">
        <v>16722</v>
      </c>
      <c r="G20" s="8">
        <v>11467</v>
      </c>
      <c r="H20" s="8">
        <v>8904</v>
      </c>
    </row>
    <row r="21" spans="1:9" outlineLevel="1" x14ac:dyDescent="0.3">
      <c r="B21" s="7" t="s">
        <v>15</v>
      </c>
      <c r="C21" s="7"/>
      <c r="D21" s="8">
        <v>-1989</v>
      </c>
      <c r="E21" s="8">
        <v>10640</v>
      </c>
      <c r="F21" s="8">
        <v>9162</v>
      </c>
      <c r="G21" s="8">
        <v>7987</v>
      </c>
      <c r="H21" s="8">
        <v>6012</v>
      </c>
    </row>
    <row r="22" spans="1:9" outlineLevel="1" x14ac:dyDescent="0.3">
      <c r="B22" s="7" t="s">
        <v>16</v>
      </c>
      <c r="C22" s="7"/>
      <c r="D22" s="7">
        <v>-2.2000000000000002</v>
      </c>
      <c r="E22" s="7">
        <v>2.9</v>
      </c>
      <c r="F22" s="7">
        <v>2.7</v>
      </c>
      <c r="G22" s="7">
        <v>2</v>
      </c>
      <c r="H22" s="7">
        <v>1.5</v>
      </c>
    </row>
    <row r="23" spans="1:9" outlineLevel="1" x14ac:dyDescent="0.3">
      <c r="B23" s="7" t="s">
        <v>17</v>
      </c>
      <c r="C23" s="7"/>
      <c r="D23" s="7">
        <v>64.599999999999994</v>
      </c>
      <c r="E23" s="7">
        <v>59.7</v>
      </c>
      <c r="F23" s="7">
        <v>60.1</v>
      </c>
      <c r="G23" s="7">
        <v>63.4</v>
      </c>
      <c r="H23" s="7">
        <v>60.5</v>
      </c>
    </row>
    <row r="24" spans="1:9" outlineLevel="1" x14ac:dyDescent="0.3">
      <c r="B24" s="7" t="s">
        <v>18</v>
      </c>
      <c r="C24" s="7"/>
      <c r="D24" s="7">
        <v>8.9</v>
      </c>
      <c r="E24" s="7">
        <v>5.0999999999999996</v>
      </c>
      <c r="F24" s="7">
        <v>10</v>
      </c>
      <c r="G24" s="7">
        <v>10.7</v>
      </c>
      <c r="H24" s="7">
        <v>9.3000000000000007</v>
      </c>
    </row>
    <row r="25" spans="1:9" outlineLevel="1" x14ac:dyDescent="0.3"/>
    <row r="27" spans="1:9" ht="18" x14ac:dyDescent="0.35">
      <c r="A27" s="1" t="s">
        <v>0</v>
      </c>
      <c r="B27" s="32" t="s">
        <v>63</v>
      </c>
      <c r="C27" s="32"/>
      <c r="D27" s="31"/>
      <c r="E27" s="31"/>
      <c r="F27" s="31"/>
      <c r="G27" s="31"/>
      <c r="H27" s="31"/>
    </row>
    <row r="28" spans="1:9" outlineLevel="1" x14ac:dyDescent="0.3"/>
    <row r="29" spans="1:9" ht="17.25" outlineLevel="1" thickBot="1" x14ac:dyDescent="0.35">
      <c r="B29" s="10"/>
      <c r="C29" s="10"/>
      <c r="D29" s="11">
        <v>2020</v>
      </c>
      <c r="E29" s="11">
        <v>2021</v>
      </c>
      <c r="F29" s="11">
        <v>2022</v>
      </c>
      <c r="G29" s="11">
        <v>2023</v>
      </c>
      <c r="H29" s="11">
        <v>2024</v>
      </c>
    </row>
    <row r="30" spans="1:9" outlineLevel="1" x14ac:dyDescent="0.3"/>
    <row r="31" spans="1:9" outlineLevel="1" x14ac:dyDescent="0.3">
      <c r="B31" s="7" t="s">
        <v>19</v>
      </c>
      <c r="C31" s="7"/>
      <c r="D31" s="8"/>
      <c r="E31" s="8">
        <f>E21-D21</f>
        <v>12629</v>
      </c>
      <c r="F31" s="8">
        <f t="shared" ref="F31:H31" si="0">F21-E21</f>
        <v>-1478</v>
      </c>
      <c r="G31" s="8">
        <f t="shared" si="0"/>
        <v>-1175</v>
      </c>
      <c r="H31" s="8">
        <f t="shared" si="0"/>
        <v>-1975</v>
      </c>
      <c r="I31" s="9"/>
    </row>
    <row r="32" spans="1:9" outlineLevel="1" x14ac:dyDescent="0.3">
      <c r="B32" s="7" t="s">
        <v>20</v>
      </c>
      <c r="C32" s="7"/>
      <c r="D32" s="7">
        <f>D16/D19</f>
        <v>1.2319526627218935</v>
      </c>
      <c r="E32" s="7">
        <f t="shared" ref="E32:H32" si="1">E16/E19</f>
        <v>0.11910369851677383</v>
      </c>
      <c r="F32" s="7">
        <f t="shared" si="1"/>
        <v>0.35448613376835236</v>
      </c>
      <c r="G32" s="7">
        <f t="shared" si="1"/>
        <v>0.12643678160919541</v>
      </c>
      <c r="H32" s="7">
        <f t="shared" si="1"/>
        <v>0.10749379652605459</v>
      </c>
    </row>
    <row r="33" spans="2:8" outlineLevel="1" x14ac:dyDescent="0.3">
      <c r="B33" s="7" t="s">
        <v>21</v>
      </c>
      <c r="C33" s="7"/>
      <c r="D33" s="7">
        <f>D12/D9</f>
        <v>0.63496503496503498</v>
      </c>
      <c r="E33" s="7">
        <f t="shared" ref="E33:H33" si="2">E12/E9</f>
        <v>0.39590854392298436</v>
      </c>
      <c r="F33" s="7">
        <f t="shared" si="2"/>
        <v>0.90410958904109584</v>
      </c>
      <c r="G33" s="7">
        <f t="shared" si="2"/>
        <v>0.58165256994144432</v>
      </c>
      <c r="H33" s="7">
        <f t="shared" si="2"/>
        <v>1.1046904315196999</v>
      </c>
    </row>
    <row r="34" spans="2:8" outlineLevel="1" x14ac:dyDescent="0.3">
      <c r="B34" s="7"/>
      <c r="C34" s="7"/>
      <c r="D34" s="7"/>
      <c r="E34" s="7"/>
      <c r="F34" s="7"/>
      <c r="G34" s="7"/>
      <c r="H34" s="7"/>
    </row>
    <row r="35" spans="2:8" outlineLevel="1" x14ac:dyDescent="0.3"/>
    <row r="36" spans="2:8" outlineLevel="1" x14ac:dyDescent="0.3">
      <c r="B36" s="42" t="s">
        <v>64</v>
      </c>
      <c r="C36" s="42"/>
    </row>
    <row r="37" spans="2:8" outlineLevel="1" x14ac:dyDescent="0.3">
      <c r="C37" s="39" t="s">
        <v>65</v>
      </c>
      <c r="D37" s="43" t="s">
        <v>66</v>
      </c>
      <c r="E37" s="40" t="s">
        <v>71</v>
      </c>
    </row>
    <row r="38" spans="2:8" outlineLevel="1" x14ac:dyDescent="0.3">
      <c r="C38" s="7" t="s">
        <v>67</v>
      </c>
      <c r="D38" s="8">
        <v>18109</v>
      </c>
      <c r="E38" s="41">
        <f>D38/D41</f>
        <v>0.63071189746447476</v>
      </c>
    </row>
    <row r="39" spans="2:8" outlineLevel="1" x14ac:dyDescent="0.3">
      <c r="C39" s="7" t="s">
        <v>68</v>
      </c>
      <c r="D39" s="8">
        <v>6640</v>
      </c>
      <c r="E39" s="41">
        <f>D39/D41</f>
        <v>0.23126219002507661</v>
      </c>
    </row>
    <row r="40" spans="2:8" outlineLevel="1" x14ac:dyDescent="0.3">
      <c r="C40" s="7" t="s">
        <v>69</v>
      </c>
      <c r="D40" s="8">
        <v>3963</v>
      </c>
      <c r="E40" s="41">
        <f>D40/D41</f>
        <v>0.1380259125104486</v>
      </c>
    </row>
    <row r="41" spans="2:8" outlineLevel="1" x14ac:dyDescent="0.3">
      <c r="C41" s="7" t="s">
        <v>70</v>
      </c>
      <c r="D41" s="8">
        <v>28712</v>
      </c>
    </row>
    <row r="42" spans="2:8" outlineLevel="1" x14ac:dyDescent="0.3"/>
    <row r="43" spans="2:8" outlineLevel="1" x14ac:dyDescent="0.3">
      <c r="B43" s="42" t="s">
        <v>77</v>
      </c>
      <c r="C43" s="3"/>
    </row>
    <row r="44" spans="2:8" outlineLevel="1" x14ac:dyDescent="0.3">
      <c r="C44" s="39" t="s">
        <v>65</v>
      </c>
      <c r="D44" s="44" t="s">
        <v>72</v>
      </c>
      <c r="E44" s="101" t="s">
        <v>73</v>
      </c>
      <c r="F44" s="101"/>
    </row>
    <row r="45" spans="2:8" outlineLevel="1" x14ac:dyDescent="0.3">
      <c r="C45" s="4" t="s">
        <v>67</v>
      </c>
      <c r="D45" s="46">
        <v>0.63</v>
      </c>
      <c r="E45" s="102" t="s">
        <v>74</v>
      </c>
      <c r="F45" s="102"/>
    </row>
    <row r="46" spans="2:8" outlineLevel="1" x14ac:dyDescent="0.3">
      <c r="C46" s="4" t="s">
        <v>68</v>
      </c>
      <c r="D46" s="46">
        <v>0.23</v>
      </c>
      <c r="E46" s="103" t="s">
        <v>75</v>
      </c>
      <c r="F46" s="103"/>
    </row>
    <row r="47" spans="2:8" outlineLevel="1" x14ac:dyDescent="0.3">
      <c r="C47" s="4" t="s">
        <v>69</v>
      </c>
      <c r="D47" s="46">
        <v>0.14000000000000001</v>
      </c>
      <c r="E47" s="103" t="s">
        <v>76</v>
      </c>
      <c r="F47" s="103"/>
    </row>
    <row r="48" spans="2:8" outlineLevel="1" x14ac:dyDescent="0.3">
      <c r="D48" s="17"/>
    </row>
  </sheetData>
  <mergeCells count="4">
    <mergeCell ref="E44:F44"/>
    <mergeCell ref="E45:F45"/>
    <mergeCell ref="E46:F46"/>
    <mergeCell ref="E47:F47"/>
  </mergeCells>
  <pageMargins left="0.7" right="0.7" top="0.75" bottom="0.75" header="0.3" footer="0.3"/>
  <pageSetup paperSize="9" scale="73" orientation="portrait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B82A-B380-45DB-A820-3554005B9EF3}">
  <dimension ref="A1:P116"/>
  <sheetViews>
    <sheetView showGridLines="0" zoomScaleNormal="100" workbookViewId="0">
      <pane ySplit="1" topLeftCell="A17" activePane="bottomLeft" state="frozen"/>
      <selection pane="bottomLeft"/>
    </sheetView>
  </sheetViews>
  <sheetFormatPr defaultRowHeight="16.5" outlineLevelRow="1" x14ac:dyDescent="0.3"/>
  <cols>
    <col min="1" max="3" width="9.140625" style="1"/>
    <col min="4" max="4" width="12.140625" style="1" customWidth="1"/>
    <col min="5" max="8" width="9.140625" style="1"/>
    <col min="9" max="9" width="13.140625" style="1" customWidth="1"/>
    <col min="10" max="10" width="13.42578125" style="1" customWidth="1"/>
    <col min="11" max="11" width="13.140625" style="1" customWidth="1"/>
    <col min="12" max="15" width="9.140625" style="1"/>
    <col min="16" max="16" width="17.140625" style="1" customWidth="1"/>
    <col min="17" max="16384" width="9.140625" style="1"/>
  </cols>
  <sheetData>
    <row r="1" spans="1:16" ht="63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84" t="s">
        <v>168</v>
      </c>
    </row>
    <row r="3" spans="1:16" ht="18" x14ac:dyDescent="0.35">
      <c r="A3" s="1" t="s">
        <v>0</v>
      </c>
      <c r="B3" s="32" t="s">
        <v>42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outlineLevel="1" x14ac:dyDescent="0.3"/>
    <row r="5" spans="1:16" outlineLevel="1" x14ac:dyDescent="0.3">
      <c r="B5" s="26" t="s">
        <v>33</v>
      </c>
    </row>
    <row r="6" spans="1:16" outlineLevel="1" x14ac:dyDescent="0.3">
      <c r="B6" s="19" t="s">
        <v>34</v>
      </c>
      <c r="C6" s="19"/>
      <c r="D6" s="19"/>
      <c r="E6" s="19"/>
      <c r="F6" s="19"/>
      <c r="G6" s="19"/>
      <c r="H6" s="19"/>
      <c r="I6" s="19"/>
      <c r="J6" s="19"/>
      <c r="K6" s="19"/>
    </row>
    <row r="7" spans="1:16" outlineLevel="1" x14ac:dyDescent="0.3">
      <c r="B7" s="19" t="s">
        <v>43</v>
      </c>
      <c r="C7" s="19"/>
      <c r="D7" s="19"/>
      <c r="E7" s="19"/>
      <c r="F7" s="19"/>
      <c r="G7" s="19"/>
      <c r="H7" s="19"/>
      <c r="I7" s="19"/>
      <c r="J7" s="19"/>
      <c r="K7" s="19"/>
    </row>
    <row r="8" spans="1:16" outlineLevel="1" x14ac:dyDescent="0.3"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6" outlineLevel="1" x14ac:dyDescent="0.3">
      <c r="B9" s="19" t="s">
        <v>35</v>
      </c>
      <c r="C9" s="19"/>
      <c r="D9" s="19"/>
      <c r="E9" s="19"/>
      <c r="F9" s="19"/>
      <c r="G9" s="19"/>
      <c r="H9" s="19"/>
      <c r="I9" s="19"/>
      <c r="J9" s="19"/>
      <c r="K9" s="19"/>
    </row>
    <row r="10" spans="1:16" outlineLevel="1" x14ac:dyDescent="0.3">
      <c r="B10" s="19" t="s">
        <v>36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6" outlineLevel="1" x14ac:dyDescent="0.3">
      <c r="B11" s="19" t="s">
        <v>37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6" outlineLevel="1" x14ac:dyDescent="0.3">
      <c r="B12" s="19" t="s">
        <v>38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6" outlineLevel="1" x14ac:dyDescent="0.3">
      <c r="B13" s="19" t="s">
        <v>39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1:16" outlineLevel="1" x14ac:dyDescent="0.3">
      <c r="C14" s="19"/>
      <c r="D14" s="19"/>
      <c r="E14" s="19"/>
      <c r="F14" s="19"/>
      <c r="G14" s="19"/>
      <c r="H14" s="19"/>
      <c r="I14" s="19"/>
      <c r="J14" s="19"/>
      <c r="K14" s="19"/>
    </row>
    <row r="15" spans="1:16" outlineLevel="1" x14ac:dyDescent="0.3">
      <c r="B15" s="19" t="s">
        <v>44</v>
      </c>
      <c r="C15" s="19"/>
      <c r="D15" s="19"/>
      <c r="E15" s="19"/>
      <c r="F15" s="19"/>
      <c r="G15" s="19"/>
      <c r="H15" s="19"/>
      <c r="I15" s="19"/>
      <c r="J15" s="19"/>
      <c r="K15" s="19"/>
    </row>
    <row r="16" spans="1:16" outlineLevel="1" x14ac:dyDescent="0.3"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6" x14ac:dyDescent="0.3"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6" ht="18" x14ac:dyDescent="0.35">
      <c r="A18" s="1" t="s">
        <v>0</v>
      </c>
      <c r="B18" s="32" t="s">
        <v>45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1:16" outlineLevel="1" x14ac:dyDescent="0.3">
      <c r="C19" s="19"/>
      <c r="D19" s="19"/>
      <c r="E19" s="19"/>
      <c r="F19" s="19"/>
      <c r="G19" s="19"/>
      <c r="H19" s="19"/>
      <c r="I19" s="19"/>
      <c r="J19" s="19"/>
      <c r="K19" s="19"/>
    </row>
    <row r="20" spans="1:16" outlineLevel="1" x14ac:dyDescent="0.3">
      <c r="B20" s="26" t="s">
        <v>40</v>
      </c>
    </row>
    <row r="21" spans="1:16" outlineLevel="1" x14ac:dyDescent="0.3">
      <c r="B21" s="19" t="s">
        <v>46</v>
      </c>
    </row>
    <row r="22" spans="1:16" ht="17.25" outlineLevel="1" thickBot="1" x14ac:dyDescent="0.35"/>
    <row r="23" spans="1:16" ht="17.25" outlineLevel="1" thickBot="1" x14ac:dyDescent="0.35">
      <c r="B23" s="104" t="s">
        <v>47</v>
      </c>
      <c r="C23" s="105"/>
      <c r="D23" s="106"/>
      <c r="F23" s="104" t="s">
        <v>48</v>
      </c>
      <c r="G23" s="105"/>
      <c r="H23" s="106"/>
      <c r="J23" s="104" t="s">
        <v>15</v>
      </c>
      <c r="K23" s="105"/>
      <c r="L23" s="106"/>
      <c r="N23" s="104" t="s">
        <v>59</v>
      </c>
      <c r="O23" s="105"/>
      <c r="P23" s="106"/>
    </row>
    <row r="24" spans="1:16" ht="16.5" customHeight="1" outlineLevel="1" x14ac:dyDescent="0.3">
      <c r="B24" s="107">
        <f>Inputs!H16</f>
        <v>1083</v>
      </c>
      <c r="C24" s="108"/>
      <c r="D24" s="109"/>
      <c r="F24" s="107">
        <f>Inputs!H21+Inputs!H16</f>
        <v>7095</v>
      </c>
      <c r="G24" s="108"/>
      <c r="H24" s="109"/>
      <c r="J24" s="107">
        <f>Inputs!H21</f>
        <v>6012</v>
      </c>
      <c r="K24" s="108"/>
      <c r="L24" s="109"/>
      <c r="N24" s="107">
        <f>Inputs!H16</f>
        <v>1083</v>
      </c>
      <c r="O24" s="108"/>
      <c r="P24" s="109"/>
    </row>
    <row r="25" spans="1:16" ht="16.5" customHeight="1" outlineLevel="1" x14ac:dyDescent="0.3">
      <c r="B25" s="107"/>
      <c r="C25" s="108"/>
      <c r="D25" s="109"/>
      <c r="F25" s="107"/>
      <c r="G25" s="108"/>
      <c r="H25" s="109"/>
      <c r="J25" s="107"/>
      <c r="K25" s="108"/>
      <c r="L25" s="109"/>
      <c r="N25" s="107"/>
      <c r="O25" s="108"/>
      <c r="P25" s="109"/>
    </row>
    <row r="26" spans="1:16" ht="17.25" customHeight="1" outlineLevel="1" thickBot="1" x14ac:dyDescent="0.35">
      <c r="B26" s="110"/>
      <c r="C26" s="111"/>
      <c r="D26" s="112"/>
      <c r="F26" s="110"/>
      <c r="G26" s="111"/>
      <c r="H26" s="112"/>
      <c r="J26" s="110"/>
      <c r="K26" s="111"/>
      <c r="L26" s="112"/>
      <c r="N26" s="110"/>
      <c r="O26" s="111"/>
      <c r="P26" s="112"/>
    </row>
    <row r="27" spans="1:16" outlineLevel="1" x14ac:dyDescent="0.3">
      <c r="B27" s="113" t="s">
        <v>50</v>
      </c>
      <c r="C27" s="113"/>
      <c r="D27" s="113"/>
      <c r="F27" s="113" t="s">
        <v>51</v>
      </c>
      <c r="G27" s="113"/>
      <c r="H27" s="113"/>
      <c r="J27" s="113" t="s">
        <v>52</v>
      </c>
      <c r="K27" s="113"/>
      <c r="L27" s="113"/>
      <c r="N27" s="113" t="s">
        <v>53</v>
      </c>
      <c r="O27" s="113"/>
      <c r="P27" s="113"/>
    </row>
    <row r="28" spans="1:16" outlineLevel="1" x14ac:dyDescent="0.3"/>
    <row r="29" spans="1:16" outlineLevel="1" x14ac:dyDescent="0.3"/>
    <row r="30" spans="1:16" ht="31.5" customHeight="1" outlineLevel="1" x14ac:dyDescent="0.3"/>
    <row r="31" spans="1:16" ht="32.25" customHeight="1" outlineLevel="1" x14ac:dyDescent="0.3"/>
    <row r="32" spans="1:16" outlineLevel="1" x14ac:dyDescent="0.3"/>
    <row r="33" spans="2:16" outlineLevel="1" x14ac:dyDescent="0.3"/>
    <row r="34" spans="2:16" outlineLevel="1" x14ac:dyDescent="0.3"/>
    <row r="35" spans="2:16" outlineLevel="1" x14ac:dyDescent="0.3"/>
    <row r="36" spans="2:16" outlineLevel="1" x14ac:dyDescent="0.3"/>
    <row r="37" spans="2:16" outlineLevel="1" x14ac:dyDescent="0.3"/>
    <row r="38" spans="2:16" outlineLevel="1" x14ac:dyDescent="0.3"/>
    <row r="39" spans="2:16" outlineLevel="1" x14ac:dyDescent="0.3"/>
    <row r="40" spans="2:16" ht="17.25" outlineLevel="1" thickBot="1" x14ac:dyDescent="0.35"/>
    <row r="41" spans="2:16" ht="17.25" outlineLevel="1" thickBot="1" x14ac:dyDescent="0.35">
      <c r="J41" s="104" t="s">
        <v>54</v>
      </c>
      <c r="K41" s="105"/>
      <c r="L41" s="105"/>
      <c r="M41" s="105"/>
      <c r="N41" s="105"/>
      <c r="O41" s="105"/>
      <c r="P41" s="106"/>
    </row>
    <row r="42" spans="2:16" ht="36.75" customHeight="1" outlineLevel="1" thickBot="1" x14ac:dyDescent="0.35">
      <c r="J42" s="126" t="s">
        <v>55</v>
      </c>
      <c r="K42" s="127"/>
      <c r="L42" s="127"/>
      <c r="M42" s="127"/>
      <c r="N42" s="127"/>
      <c r="O42" s="127"/>
      <c r="P42" s="128"/>
    </row>
    <row r="43" spans="2:16" ht="16.5" customHeight="1" outlineLevel="1" x14ac:dyDescent="0.3">
      <c r="B43" s="114" t="s">
        <v>58</v>
      </c>
      <c r="C43" s="115"/>
      <c r="D43" s="116"/>
      <c r="E43" s="120">
        <f>Inputs!H32</f>
        <v>0.10749379652605459</v>
      </c>
      <c r="F43" s="121"/>
      <c r="G43" s="121"/>
      <c r="H43" s="122"/>
      <c r="J43" s="129" t="s">
        <v>56</v>
      </c>
      <c r="K43" s="130"/>
      <c r="L43" s="130"/>
      <c r="M43" s="130"/>
      <c r="N43" s="130"/>
      <c r="O43" s="130"/>
      <c r="P43" s="131"/>
    </row>
    <row r="44" spans="2:16" ht="17.25" customHeight="1" outlineLevel="1" thickBot="1" x14ac:dyDescent="0.35">
      <c r="B44" s="117"/>
      <c r="C44" s="118"/>
      <c r="D44" s="119"/>
      <c r="E44" s="123"/>
      <c r="F44" s="124"/>
      <c r="G44" s="124"/>
      <c r="H44" s="125"/>
      <c r="J44" s="38" t="s">
        <v>57</v>
      </c>
      <c r="K44" s="34"/>
      <c r="L44" s="34"/>
      <c r="M44" s="34"/>
      <c r="N44" s="34"/>
      <c r="O44" s="34"/>
      <c r="P44" s="35"/>
    </row>
    <row r="45" spans="2:16" ht="17.25" outlineLevel="1" thickBot="1" x14ac:dyDescent="0.35"/>
    <row r="46" spans="2:16" ht="26.25" customHeight="1" outlineLevel="1" thickBot="1" x14ac:dyDescent="0.35">
      <c r="B46" s="132" t="s">
        <v>60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4"/>
    </row>
    <row r="47" spans="2:16" outlineLevel="1" x14ac:dyDescent="0.3"/>
    <row r="49" spans="1:16" ht="18" x14ac:dyDescent="0.35">
      <c r="A49" s="1" t="s">
        <v>0</v>
      </c>
      <c r="B49" s="32" t="s">
        <v>61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spans="1:16" outlineLevel="1" x14ac:dyDescent="0.3"/>
    <row r="51" spans="1:16" outlineLevel="1" x14ac:dyDescent="0.3">
      <c r="B51" s="26" t="s">
        <v>61</v>
      </c>
    </row>
    <row r="52" spans="1:16" outlineLevel="1" x14ac:dyDescent="0.3">
      <c r="B52" s="19" t="s">
        <v>102</v>
      </c>
    </row>
    <row r="53" spans="1:16" outlineLevel="1" x14ac:dyDescent="0.3"/>
    <row r="54" spans="1:16" outlineLevel="1" x14ac:dyDescent="0.3">
      <c r="I54" s="63" t="s">
        <v>90</v>
      </c>
      <c r="J54" s="64"/>
      <c r="K54" s="64"/>
      <c r="L54" s="65" t="s">
        <v>91</v>
      </c>
      <c r="M54" s="64"/>
      <c r="N54" s="64"/>
      <c r="O54" s="64"/>
      <c r="P54" s="66"/>
    </row>
    <row r="55" spans="1:16" outlineLevel="1" x14ac:dyDescent="0.3">
      <c r="I55" s="57" t="s">
        <v>92</v>
      </c>
      <c r="J55" s="58"/>
      <c r="K55" s="58"/>
      <c r="L55" s="58" t="s">
        <v>93</v>
      </c>
      <c r="M55" s="58"/>
      <c r="N55" s="58"/>
      <c r="O55" s="58"/>
      <c r="P55" s="59"/>
    </row>
    <row r="56" spans="1:16" outlineLevel="1" x14ac:dyDescent="0.3">
      <c r="I56" s="57" t="s">
        <v>94</v>
      </c>
      <c r="J56" s="58"/>
      <c r="K56" s="58"/>
      <c r="L56" s="58" t="s">
        <v>95</v>
      </c>
      <c r="M56" s="58"/>
      <c r="N56" s="58"/>
      <c r="O56" s="58"/>
      <c r="P56" s="59"/>
    </row>
    <row r="57" spans="1:16" outlineLevel="1" x14ac:dyDescent="0.3">
      <c r="I57" s="57" t="s">
        <v>96</v>
      </c>
      <c r="J57" s="58"/>
      <c r="K57" s="58"/>
      <c r="L57" s="58" t="s">
        <v>97</v>
      </c>
      <c r="M57" s="58"/>
      <c r="N57" s="58"/>
      <c r="O57" s="58"/>
      <c r="P57" s="59"/>
    </row>
    <row r="58" spans="1:16" outlineLevel="1" x14ac:dyDescent="0.3">
      <c r="I58" s="60" t="s">
        <v>98</v>
      </c>
      <c r="J58" s="61"/>
      <c r="K58" s="61"/>
      <c r="L58" s="61" t="s">
        <v>99</v>
      </c>
      <c r="M58" s="61"/>
      <c r="N58" s="61"/>
      <c r="O58" s="61"/>
      <c r="P58" s="62"/>
    </row>
    <row r="59" spans="1:16" outlineLevel="1" x14ac:dyDescent="0.3"/>
    <row r="60" spans="1:16" ht="20.25" customHeight="1" outlineLevel="1" x14ac:dyDescent="0.3">
      <c r="I60" s="48" t="s">
        <v>79</v>
      </c>
      <c r="J60" s="49" t="s">
        <v>1</v>
      </c>
      <c r="K60" s="50" t="s">
        <v>80</v>
      </c>
      <c r="M60" s="136" t="s">
        <v>100</v>
      </c>
      <c r="N60" s="137"/>
      <c r="O60" s="137"/>
      <c r="P60" s="138"/>
    </row>
    <row r="61" spans="1:16" ht="20.25" customHeight="1" outlineLevel="1" x14ac:dyDescent="0.3">
      <c r="I61" s="51" t="s">
        <v>81</v>
      </c>
      <c r="J61" s="52">
        <v>16420</v>
      </c>
      <c r="K61" s="53" t="s">
        <v>74</v>
      </c>
      <c r="M61" s="139" t="s">
        <v>104</v>
      </c>
      <c r="N61" s="140"/>
      <c r="O61" s="140"/>
      <c r="P61" s="141"/>
    </row>
    <row r="62" spans="1:16" ht="20.25" customHeight="1" outlineLevel="1" x14ac:dyDescent="0.3">
      <c r="I62" s="51" t="s">
        <v>82</v>
      </c>
      <c r="J62" s="52">
        <v>2051</v>
      </c>
      <c r="K62" s="53" t="s">
        <v>83</v>
      </c>
      <c r="M62" s="142"/>
      <c r="N62" s="140"/>
      <c r="O62" s="140"/>
      <c r="P62" s="141"/>
    </row>
    <row r="63" spans="1:16" ht="20.25" customHeight="1" outlineLevel="1" x14ac:dyDescent="0.3">
      <c r="I63" s="51" t="s">
        <v>84</v>
      </c>
      <c r="J63" s="52">
        <v>1695</v>
      </c>
      <c r="K63" s="53" t="s">
        <v>85</v>
      </c>
      <c r="M63" s="142"/>
      <c r="N63" s="140"/>
      <c r="O63" s="140"/>
      <c r="P63" s="141"/>
    </row>
    <row r="64" spans="1:16" ht="20.25" customHeight="1" outlineLevel="1" x14ac:dyDescent="0.3">
      <c r="I64" s="51" t="s">
        <v>86</v>
      </c>
      <c r="J64" s="52">
        <v>1150</v>
      </c>
      <c r="K64" s="53" t="s">
        <v>87</v>
      </c>
      <c r="M64" s="142"/>
      <c r="N64" s="140"/>
      <c r="O64" s="140"/>
      <c r="P64" s="141"/>
    </row>
    <row r="65" spans="1:16" ht="20.25" customHeight="1" outlineLevel="1" x14ac:dyDescent="0.3">
      <c r="B65" s="135" t="s">
        <v>78</v>
      </c>
      <c r="C65" s="135"/>
      <c r="D65" s="135"/>
      <c r="E65" s="135"/>
      <c r="F65" s="135"/>
      <c r="G65" s="135"/>
      <c r="I65" s="54" t="s">
        <v>88</v>
      </c>
      <c r="J65" s="55">
        <v>933</v>
      </c>
      <c r="K65" s="56" t="s">
        <v>89</v>
      </c>
      <c r="M65" s="143"/>
      <c r="N65" s="144"/>
      <c r="O65" s="144"/>
      <c r="P65" s="145"/>
    </row>
    <row r="66" spans="1:16" ht="17.25" outlineLevel="1" thickBot="1" x14ac:dyDescent="0.35"/>
    <row r="67" spans="1:16" ht="61.5" customHeight="1" outlineLevel="1" thickBot="1" x14ac:dyDescent="0.35">
      <c r="B67" s="146" t="s">
        <v>103</v>
      </c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</row>
    <row r="68" spans="1:16" ht="17.25" outlineLevel="1" thickBot="1" x14ac:dyDescent="0.35">
      <c r="B68" s="47"/>
      <c r="C68" s="47"/>
      <c r="D68" s="47"/>
      <c r="E68" s="47"/>
      <c r="F68" s="47"/>
      <c r="G68" s="47"/>
    </row>
    <row r="69" spans="1:16" ht="17.25" outlineLevel="1" thickBot="1" x14ac:dyDescent="0.35">
      <c r="B69" s="132" t="s">
        <v>101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</row>
    <row r="70" spans="1:16" outlineLevel="1" x14ac:dyDescent="0.3"/>
    <row r="72" spans="1:16" ht="18" x14ac:dyDescent="0.35">
      <c r="A72" s="1" t="s">
        <v>0</v>
      </c>
      <c r="B72" s="32" t="s">
        <v>41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</row>
    <row r="73" spans="1:16" outlineLevel="1" x14ac:dyDescent="0.3"/>
    <row r="74" spans="1:16" outlineLevel="1" x14ac:dyDescent="0.3">
      <c r="B74" s="26" t="s">
        <v>41</v>
      </c>
    </row>
    <row r="75" spans="1:16" outlineLevel="1" x14ac:dyDescent="0.3">
      <c r="B75" s="19" t="s">
        <v>105</v>
      </c>
    </row>
    <row r="76" spans="1:16" outlineLevel="1" x14ac:dyDescent="0.3"/>
    <row r="77" spans="1:16" ht="17.25" outlineLevel="1" thickBot="1" x14ac:dyDescent="0.35">
      <c r="B77" s="26" t="s">
        <v>106</v>
      </c>
    </row>
    <row r="78" spans="1:16" ht="17.25" outlineLevel="1" thickBot="1" x14ac:dyDescent="0.35">
      <c r="B78" s="104" t="s">
        <v>107</v>
      </c>
      <c r="C78" s="105"/>
      <c r="D78" s="106"/>
      <c r="E78" s="33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</row>
    <row r="79" spans="1:16" ht="16.5" customHeight="1" outlineLevel="1" x14ac:dyDescent="0.3">
      <c r="B79" s="156" t="s">
        <v>111</v>
      </c>
      <c r="C79" s="157"/>
      <c r="D79" s="158"/>
      <c r="E79" s="19"/>
      <c r="F79" s="147" t="s">
        <v>115</v>
      </c>
      <c r="G79" s="148"/>
      <c r="H79" s="148"/>
      <c r="I79" s="148"/>
      <c r="J79" s="148"/>
      <c r="K79" s="148"/>
      <c r="L79" s="148"/>
      <c r="M79" s="148"/>
      <c r="N79" s="148"/>
      <c r="O79" s="148"/>
      <c r="P79" s="149"/>
    </row>
    <row r="80" spans="1:16" outlineLevel="1" x14ac:dyDescent="0.3">
      <c r="B80" s="156"/>
      <c r="C80" s="157"/>
      <c r="D80" s="158"/>
      <c r="E80" s="19"/>
      <c r="F80" s="150"/>
      <c r="G80" s="151"/>
      <c r="H80" s="151"/>
      <c r="I80" s="151"/>
      <c r="J80" s="151"/>
      <c r="K80" s="151"/>
      <c r="L80" s="151"/>
      <c r="M80" s="151"/>
      <c r="N80" s="151"/>
      <c r="O80" s="151"/>
      <c r="P80" s="152"/>
    </row>
    <row r="81" spans="2:16" ht="17.25" outlineLevel="1" thickBot="1" x14ac:dyDescent="0.35">
      <c r="B81" s="159"/>
      <c r="C81" s="160"/>
      <c r="D81" s="161"/>
      <c r="E81" s="19"/>
      <c r="F81" s="153"/>
      <c r="G81" s="154"/>
      <c r="H81" s="154"/>
      <c r="I81" s="154"/>
      <c r="J81" s="154"/>
      <c r="K81" s="154"/>
      <c r="L81" s="154"/>
      <c r="M81" s="154"/>
      <c r="N81" s="154"/>
      <c r="O81" s="154"/>
      <c r="P81" s="155"/>
    </row>
    <row r="82" spans="2:16" ht="17.25" outlineLevel="1" thickBot="1" x14ac:dyDescent="0.35"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</row>
    <row r="83" spans="2:16" ht="17.25" outlineLevel="1" thickBot="1" x14ac:dyDescent="0.35">
      <c r="B83" s="104" t="s">
        <v>108</v>
      </c>
      <c r="C83" s="105"/>
      <c r="D83" s="106"/>
      <c r="E83" s="33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2:16" outlineLevel="1" x14ac:dyDescent="0.3">
      <c r="B84" s="156" t="s">
        <v>112</v>
      </c>
      <c r="C84" s="157"/>
      <c r="D84" s="158"/>
      <c r="F84" s="147" t="s">
        <v>116</v>
      </c>
      <c r="G84" s="148"/>
      <c r="H84" s="148"/>
      <c r="I84" s="148"/>
      <c r="J84" s="148"/>
      <c r="K84" s="148"/>
      <c r="L84" s="148"/>
      <c r="M84" s="148"/>
      <c r="N84" s="148"/>
      <c r="O84" s="148"/>
      <c r="P84" s="149"/>
    </row>
    <row r="85" spans="2:16" outlineLevel="1" x14ac:dyDescent="0.3">
      <c r="B85" s="156"/>
      <c r="C85" s="157"/>
      <c r="D85" s="158"/>
      <c r="F85" s="150"/>
      <c r="G85" s="151"/>
      <c r="H85" s="151"/>
      <c r="I85" s="151"/>
      <c r="J85" s="151"/>
      <c r="K85" s="151"/>
      <c r="L85" s="151"/>
      <c r="M85" s="151"/>
      <c r="N85" s="151"/>
      <c r="O85" s="151"/>
      <c r="P85" s="152"/>
    </row>
    <row r="86" spans="2:16" ht="17.25" outlineLevel="1" thickBot="1" x14ac:dyDescent="0.35">
      <c r="B86" s="159"/>
      <c r="C86" s="160"/>
      <c r="D86" s="161"/>
      <c r="F86" s="153"/>
      <c r="G86" s="154"/>
      <c r="H86" s="154"/>
      <c r="I86" s="154"/>
      <c r="J86" s="154"/>
      <c r="K86" s="154"/>
      <c r="L86" s="154"/>
      <c r="M86" s="154"/>
      <c r="N86" s="154"/>
      <c r="O86" s="154"/>
      <c r="P86" s="155"/>
    </row>
    <row r="87" spans="2:16" ht="17.25" outlineLevel="1" thickBot="1" x14ac:dyDescent="0.35"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spans="2:16" ht="17.25" outlineLevel="1" thickBot="1" x14ac:dyDescent="0.35">
      <c r="B88" s="104" t="s">
        <v>109</v>
      </c>
      <c r="C88" s="105"/>
      <c r="D88" s="106"/>
      <c r="E88" s="33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2:16" outlineLevel="1" x14ac:dyDescent="0.3">
      <c r="B89" s="156" t="s">
        <v>113</v>
      </c>
      <c r="C89" s="157"/>
      <c r="D89" s="158"/>
      <c r="F89" s="147" t="s">
        <v>117</v>
      </c>
      <c r="G89" s="148"/>
      <c r="H89" s="148"/>
      <c r="I89" s="148"/>
      <c r="J89" s="148"/>
      <c r="K89" s="148"/>
      <c r="L89" s="148"/>
      <c r="M89" s="148"/>
      <c r="N89" s="148"/>
      <c r="O89" s="148"/>
      <c r="P89" s="149"/>
    </row>
    <row r="90" spans="2:16" outlineLevel="1" x14ac:dyDescent="0.3">
      <c r="B90" s="156"/>
      <c r="C90" s="157"/>
      <c r="D90" s="158"/>
      <c r="F90" s="150"/>
      <c r="G90" s="151"/>
      <c r="H90" s="151"/>
      <c r="I90" s="151"/>
      <c r="J90" s="151"/>
      <c r="K90" s="151"/>
      <c r="L90" s="151"/>
      <c r="M90" s="151"/>
      <c r="N90" s="151"/>
      <c r="O90" s="151"/>
      <c r="P90" s="152"/>
    </row>
    <row r="91" spans="2:16" ht="17.25" outlineLevel="1" thickBot="1" x14ac:dyDescent="0.35">
      <c r="B91" s="159"/>
      <c r="C91" s="160"/>
      <c r="D91" s="161"/>
      <c r="F91" s="153"/>
      <c r="G91" s="154"/>
      <c r="H91" s="154"/>
      <c r="I91" s="154"/>
      <c r="J91" s="154"/>
      <c r="K91" s="154"/>
      <c r="L91" s="154"/>
      <c r="M91" s="154"/>
      <c r="N91" s="154"/>
      <c r="O91" s="154"/>
      <c r="P91" s="155"/>
    </row>
    <row r="92" spans="2:16" ht="17.25" outlineLevel="1" thickBot="1" x14ac:dyDescent="0.35"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spans="2:16" ht="30.75" customHeight="1" outlineLevel="1" thickBot="1" x14ac:dyDescent="0.35">
      <c r="B93" s="162" t="s">
        <v>110</v>
      </c>
      <c r="C93" s="163"/>
      <c r="D93" s="164"/>
      <c r="E93" s="33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2:16" outlineLevel="1" x14ac:dyDescent="0.3">
      <c r="B94" s="156" t="s">
        <v>114</v>
      </c>
      <c r="C94" s="157"/>
      <c r="D94" s="158"/>
      <c r="F94" s="147" t="s">
        <v>118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9"/>
    </row>
    <row r="95" spans="2:16" outlineLevel="1" x14ac:dyDescent="0.3">
      <c r="B95" s="156"/>
      <c r="C95" s="157"/>
      <c r="D95" s="158"/>
      <c r="F95" s="150"/>
      <c r="G95" s="151"/>
      <c r="H95" s="151"/>
      <c r="I95" s="151"/>
      <c r="J95" s="151"/>
      <c r="K95" s="151"/>
      <c r="L95" s="151"/>
      <c r="M95" s="151"/>
      <c r="N95" s="151"/>
      <c r="O95" s="151"/>
      <c r="P95" s="152"/>
    </row>
    <row r="96" spans="2:16" ht="17.25" outlineLevel="1" thickBot="1" x14ac:dyDescent="0.35">
      <c r="B96" s="159"/>
      <c r="C96" s="160"/>
      <c r="D96" s="161"/>
      <c r="F96" s="153"/>
      <c r="G96" s="154"/>
      <c r="H96" s="154"/>
      <c r="I96" s="154"/>
      <c r="J96" s="154"/>
      <c r="K96" s="154"/>
      <c r="L96" s="154"/>
      <c r="M96" s="154"/>
      <c r="N96" s="154"/>
      <c r="O96" s="154"/>
      <c r="P96" s="155"/>
    </row>
    <row r="97" spans="2:16" outlineLevel="1" x14ac:dyDescent="0.3"/>
    <row r="98" spans="2:16" outlineLevel="1" x14ac:dyDescent="0.3">
      <c r="B98" s="37" t="s">
        <v>119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2:16" outlineLevel="1" x14ac:dyDescent="0.3">
      <c r="B99" s="67" t="s">
        <v>120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2:16" outlineLevel="1" x14ac:dyDescent="0.3">
      <c r="B100" s="67" t="s">
        <v>121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outlineLevel="1" x14ac:dyDescent="0.3"/>
    <row r="102" spans="2:16" outlineLevel="1" x14ac:dyDescent="0.3">
      <c r="B102" s="67" t="s">
        <v>122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2:16" outlineLevel="1" x14ac:dyDescent="0.3"/>
    <row r="115" spans="2:6" x14ac:dyDescent="0.3">
      <c r="B115" s="4"/>
      <c r="C115" s="8"/>
      <c r="D115" s="8"/>
      <c r="E115" s="8"/>
      <c r="F115" s="8"/>
    </row>
    <row r="116" spans="2:6" x14ac:dyDescent="0.3">
      <c r="C116" s="8"/>
      <c r="D116" s="8"/>
      <c r="E116" s="8"/>
      <c r="F116" s="8"/>
    </row>
  </sheetData>
  <mergeCells count="35">
    <mergeCell ref="F94:P96"/>
    <mergeCell ref="B79:D81"/>
    <mergeCell ref="B84:D86"/>
    <mergeCell ref="B89:D91"/>
    <mergeCell ref="B94:D96"/>
    <mergeCell ref="B93:D93"/>
    <mergeCell ref="F89:P91"/>
    <mergeCell ref="B69:P69"/>
    <mergeCell ref="B78:D78"/>
    <mergeCell ref="B83:D83"/>
    <mergeCell ref="B88:D88"/>
    <mergeCell ref="F79:P81"/>
    <mergeCell ref="F84:P86"/>
    <mergeCell ref="B46:P46"/>
    <mergeCell ref="B65:G65"/>
    <mergeCell ref="M60:P60"/>
    <mergeCell ref="M61:P65"/>
    <mergeCell ref="B67:P67"/>
    <mergeCell ref="B27:D27"/>
    <mergeCell ref="F27:H27"/>
    <mergeCell ref="J27:L27"/>
    <mergeCell ref="N27:P27"/>
    <mergeCell ref="B43:D44"/>
    <mergeCell ref="E43:H44"/>
    <mergeCell ref="J42:P42"/>
    <mergeCell ref="J43:P43"/>
    <mergeCell ref="J41:P41"/>
    <mergeCell ref="B23:D23"/>
    <mergeCell ref="F23:H23"/>
    <mergeCell ref="J23:L23"/>
    <mergeCell ref="N23:P23"/>
    <mergeCell ref="B24:D26"/>
    <mergeCell ref="F24:H26"/>
    <mergeCell ref="J24:L26"/>
    <mergeCell ref="N24:P26"/>
  </mergeCells>
  <conditionalFormatting sqref="I61:K65">
    <cfRule type="dataBar" priority="1">
      <dataBar>
        <cfvo type="min"/>
        <cfvo type="max"/>
        <color rgb="FFCBE5DA"/>
      </dataBar>
      <extLst>
        <ext xmlns:x14="http://schemas.microsoft.com/office/spreadsheetml/2009/9/main" uri="{B025F937-C7B1-47D3-B67F-A62EFF666E3E}">
          <x14:id>{142E6E3F-C362-44A5-9762-EEF682878385}</x14:id>
        </ext>
      </extLst>
    </cfRule>
  </conditionalFormatting>
  <pageMargins left="0.7" right="0.7" top="0.75" bottom="0.75" header="0.3" footer="0.3"/>
  <pageSetup paperSize="9" scale="40" orientation="portrait" r:id="rId1"/>
  <colBreaks count="1" manualBreakCount="1">
    <brk id="16" max="1048575" man="1"/>
  </col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E6E3F-C362-44A5-9762-EEF682878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I61:K65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56F8-7A51-49A3-B71B-8E6E047285CE}">
  <dimension ref="A1:W42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2" max="2" width="17.5703125" customWidth="1"/>
    <col min="3" max="3" width="18.7109375" customWidth="1"/>
    <col min="4" max="4" width="15.28515625" customWidth="1"/>
    <col min="5" max="5" width="13.140625" customWidth="1"/>
    <col min="6" max="6" width="14" customWidth="1"/>
    <col min="7" max="7" width="21.28515625" customWidth="1"/>
    <col min="8" max="8" width="14.42578125" customWidth="1"/>
    <col min="9" max="9" width="18.28515625" customWidth="1"/>
    <col min="10" max="10" width="6.85546875" hidden="1" customWidth="1"/>
    <col min="11" max="11" width="17.5703125" customWidth="1"/>
    <col min="12" max="12" width="12.85546875" customWidth="1"/>
  </cols>
  <sheetData>
    <row r="1" spans="1:23" s="1" customFormat="1" ht="63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84" t="s">
        <v>168</v>
      </c>
    </row>
    <row r="3" spans="1:23" s="1" customFormat="1" ht="22.5" x14ac:dyDescent="0.4">
      <c r="A3" s="1" t="s">
        <v>0</v>
      </c>
      <c r="B3" s="30" t="s">
        <v>123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s="1" customFormat="1" ht="16.5" outlineLevel="1" x14ac:dyDescent="0.3"/>
    <row r="5" spans="1:23" s="1" customFormat="1" ht="16.5" outlineLevel="1" x14ac:dyDescent="0.3">
      <c r="B5" s="26" t="s">
        <v>124</v>
      </c>
      <c r="L5" s="26" t="s">
        <v>165</v>
      </c>
    </row>
    <row r="6" spans="1:23" s="1" customFormat="1" ht="16.5" outlineLevel="1" x14ac:dyDescent="0.3">
      <c r="B6" s="19" t="s">
        <v>125</v>
      </c>
      <c r="L6" s="19" t="s">
        <v>167</v>
      </c>
    </row>
    <row r="7" spans="1:23" s="1" customFormat="1" ht="16.5" outlineLevel="1" x14ac:dyDescent="0.3"/>
    <row r="8" spans="1:23" s="1" customFormat="1" ht="17.25" outlineLevel="1" thickBot="1" x14ac:dyDescent="0.35">
      <c r="B8" s="37" t="s">
        <v>155</v>
      </c>
      <c r="C8" s="29">
        <v>3</v>
      </c>
      <c r="E8" s="75" t="s">
        <v>151</v>
      </c>
      <c r="F8" s="28"/>
      <c r="G8" s="72" t="s">
        <v>154</v>
      </c>
      <c r="H8" s="71" t="s">
        <v>160</v>
      </c>
      <c r="I8" s="28"/>
    </row>
    <row r="9" spans="1:23" s="1" customFormat="1" ht="16.5" outlineLevel="1" x14ac:dyDescent="0.3">
      <c r="E9" s="45" t="s">
        <v>152</v>
      </c>
      <c r="G9" s="8">
        <f>Inputs!H16</f>
        <v>1083</v>
      </c>
      <c r="H9" s="45" t="s">
        <v>153</v>
      </c>
    </row>
    <row r="10" spans="1:23" s="1" customFormat="1" ht="16.5" outlineLevel="1" x14ac:dyDescent="0.3">
      <c r="E10" s="45" t="s">
        <v>66</v>
      </c>
      <c r="G10" s="8">
        <f>Inputs!H7*(1+'Liquidity Forecast Simulation'!D13)</f>
        <v>27850.639999999999</v>
      </c>
      <c r="H10" s="45" t="s">
        <v>158</v>
      </c>
    </row>
    <row r="11" spans="1:23" s="1" customFormat="1" ht="16.5" outlineLevel="1" x14ac:dyDescent="0.3">
      <c r="D11" s="8"/>
    </row>
    <row r="12" spans="1:23" s="1" customFormat="1" ht="50.25" customHeight="1" outlineLevel="1" x14ac:dyDescent="0.3">
      <c r="D12" s="70" t="s">
        <v>135</v>
      </c>
      <c r="E12" s="70" t="s">
        <v>136</v>
      </c>
      <c r="F12" s="70" t="s">
        <v>166</v>
      </c>
      <c r="G12" s="70" t="s">
        <v>137</v>
      </c>
      <c r="H12" s="70" t="s">
        <v>138</v>
      </c>
      <c r="I12" s="70" t="s">
        <v>157</v>
      </c>
    </row>
    <row r="13" spans="1:23" s="1" customFormat="1" ht="16.5" outlineLevel="1" x14ac:dyDescent="0.3">
      <c r="D13" s="77" cm="1">
        <f t="array" ref="D13">INDEX(D15:D17,$C$8)</f>
        <v>-0.03</v>
      </c>
      <c r="E13" s="77" cm="1">
        <f t="array" ref="E13">INDEX(E15:E17,$C$8)</f>
        <v>8.5000000000000006E-2</v>
      </c>
      <c r="F13" s="77" cm="1">
        <f t="array" ref="F13">INDEX(F15:F17,$C$8)</f>
        <v>0.04</v>
      </c>
      <c r="G13" s="77" cm="1">
        <f t="array" ref="G13">INDEX(G15:G17,$C$8)</f>
        <v>0.3</v>
      </c>
      <c r="H13" s="77" cm="1">
        <f t="array" ref="H13">INDEX(H15:H17,$C$8)</f>
        <v>-0.05</v>
      </c>
      <c r="I13" s="77" cm="1">
        <f t="array" ref="I13">INDEX(I15:I17,$C$8)</f>
        <v>-0.03</v>
      </c>
    </row>
    <row r="14" spans="1:23" s="27" customFormat="1" ht="16.5" outlineLevel="1" x14ac:dyDescent="0.3"/>
    <row r="15" spans="1:23" s="1" customFormat="1" ht="16.5" outlineLevel="1" x14ac:dyDescent="0.3">
      <c r="B15" s="78" t="s">
        <v>132</v>
      </c>
      <c r="C15" s="79"/>
      <c r="D15" s="69">
        <v>0.02</v>
      </c>
      <c r="E15" s="69">
        <v>0.10299999999999999</v>
      </c>
      <c r="F15" s="69">
        <v>0.06</v>
      </c>
      <c r="G15" s="69">
        <v>0.45</v>
      </c>
      <c r="H15" s="69">
        <v>0</v>
      </c>
      <c r="I15" s="69">
        <v>0</v>
      </c>
    </row>
    <row r="16" spans="1:23" s="1" customFormat="1" ht="16.5" outlineLevel="1" x14ac:dyDescent="0.3">
      <c r="B16" s="78" t="s">
        <v>133</v>
      </c>
      <c r="C16" s="79"/>
      <c r="D16" s="69">
        <v>0.05</v>
      </c>
      <c r="E16" s="69">
        <v>0.115</v>
      </c>
      <c r="F16" s="69">
        <v>0.08</v>
      </c>
      <c r="G16" s="69">
        <v>0.55000000000000004</v>
      </c>
      <c r="H16" s="69">
        <v>0.02</v>
      </c>
      <c r="I16" s="69">
        <v>0.02</v>
      </c>
    </row>
    <row r="17" spans="2:23" outlineLevel="1" x14ac:dyDescent="0.25">
      <c r="B17" s="78" t="s">
        <v>134</v>
      </c>
      <c r="C17" s="80"/>
      <c r="D17" s="69">
        <v>-0.03</v>
      </c>
      <c r="E17" s="69">
        <v>8.5000000000000006E-2</v>
      </c>
      <c r="F17" s="69">
        <v>0.04</v>
      </c>
      <c r="G17" s="69">
        <v>0.3</v>
      </c>
      <c r="H17" s="69">
        <v>-0.05</v>
      </c>
      <c r="I17" s="69">
        <v>-0.03</v>
      </c>
    </row>
    <row r="18" spans="2:23" ht="16.5" outlineLevel="1" x14ac:dyDescent="0.3">
      <c r="B18" s="1"/>
    </row>
    <row r="19" spans="2:23" outlineLevel="1" x14ac:dyDescent="0.25"/>
    <row r="20" spans="2:23" ht="15.75" outlineLevel="1" x14ac:dyDescent="0.3">
      <c r="B20" s="26" t="s">
        <v>159</v>
      </c>
    </row>
    <row r="21" spans="2:23" ht="36" customHeight="1" outlineLevel="1" thickBot="1" x14ac:dyDescent="0.3">
      <c r="B21" s="73" t="s">
        <v>126</v>
      </c>
      <c r="C21" s="72" t="s">
        <v>127</v>
      </c>
      <c r="D21" s="72" t="s">
        <v>139</v>
      </c>
      <c r="E21" s="72" t="s">
        <v>161</v>
      </c>
      <c r="F21" s="76" t="s">
        <v>140</v>
      </c>
      <c r="G21" s="72" t="s">
        <v>141</v>
      </c>
      <c r="H21" s="76" t="s">
        <v>156</v>
      </c>
      <c r="I21" s="72" t="s">
        <v>128</v>
      </c>
      <c r="J21" s="81" t="s">
        <v>49</v>
      </c>
    </row>
    <row r="22" spans="2:23" outlineLevel="1" x14ac:dyDescent="0.25">
      <c r="B22" s="74"/>
      <c r="J22" s="82"/>
    </row>
    <row r="23" spans="2:23" ht="15.75" outlineLevel="1" x14ac:dyDescent="0.3">
      <c r="B23" s="68" t="s">
        <v>129</v>
      </c>
      <c r="C23" s="8">
        <f>G9</f>
        <v>1083</v>
      </c>
      <c r="D23" s="8">
        <f t="shared" ref="D23:D34" si="0">$G$10*$E$13/12</f>
        <v>197.27536666666666</v>
      </c>
      <c r="E23" s="8">
        <f>-D23*$F$13</f>
        <v>-7.8910146666666661</v>
      </c>
      <c r="F23" s="8">
        <f t="shared" ref="F23:F34" si="1">$G$10*$E$13*$G$13/-12</f>
        <v>-59.182610000000004</v>
      </c>
      <c r="G23" s="8">
        <f>$G$10*$E$13*$H$13/12</f>
        <v>-9.8637683333333346</v>
      </c>
      <c r="H23" s="8">
        <f>$G$10*$E$13*$I$13/12</f>
        <v>-5.9182610000000002</v>
      </c>
      <c r="I23" s="8">
        <f>SUM(C23:H23)</f>
        <v>1197.4197126666666</v>
      </c>
      <c r="J23" s="83">
        <v>800</v>
      </c>
      <c r="L23" s="26" t="str">
        <f>"Scenario Insight – "&amp;IF(C8=1,"Base Case",IF(C8=2,"Upside Case","Downside Case"))</f>
        <v>Scenario Insight – Downside Case</v>
      </c>
    </row>
    <row r="24" spans="2:23" ht="15" customHeight="1" outlineLevel="1" x14ac:dyDescent="0.25">
      <c r="B24" s="68" t="s">
        <v>130</v>
      </c>
      <c r="C24" s="8">
        <f>I23</f>
        <v>1197.4197126666666</v>
      </c>
      <c r="D24" s="8">
        <f t="shared" si="0"/>
        <v>197.27536666666666</v>
      </c>
      <c r="E24" s="8">
        <f t="shared" ref="E24:E34" si="2">-D24*$F$13</f>
        <v>-7.8910146666666661</v>
      </c>
      <c r="F24" s="8">
        <f t="shared" si="1"/>
        <v>-59.182610000000004</v>
      </c>
      <c r="G24" s="8">
        <f t="shared" ref="G24:G34" si="3">$G$10*$E$13*$H$13/12</f>
        <v>-9.8637683333333346</v>
      </c>
      <c r="H24" s="8">
        <f t="shared" ref="H24:H34" si="4">$G$10*$E$13*$I$13/12</f>
        <v>-5.9182610000000002</v>
      </c>
      <c r="I24" s="8">
        <f t="shared" ref="I24:I34" si="5">SUM(C24:H24)</f>
        <v>1311.8394253333331</v>
      </c>
      <c r="J24" s="83">
        <v>800</v>
      </c>
      <c r="L24" s="99" t="str" cm="1">
        <f t="array" ref="L24">_xlfn.IFS(
C8=1,"Operating cash flow supports stable liquidity while debt continues to decline.",
C8=2,"Stronger revenue growth and operating margins support accelerated liquidity accumulation.",
C8=3,"Liquidity growth slows due to weaker operating cash flow and FX pressure, but the company remains capable of maintaining a positive cash position."
)</f>
        <v>Liquidity growth slows due to weaker operating cash flow and FX pressure, but the company remains capable of maintaining a positive cash position.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</row>
    <row r="25" spans="2:23" outlineLevel="1" x14ac:dyDescent="0.25">
      <c r="B25" s="68" t="s">
        <v>131</v>
      </c>
      <c r="C25" s="8">
        <f t="shared" ref="C25:C34" si="6">I24</f>
        <v>1311.8394253333331</v>
      </c>
      <c r="D25" s="8">
        <f t="shared" si="0"/>
        <v>197.27536666666666</v>
      </c>
      <c r="E25" s="8">
        <f t="shared" si="2"/>
        <v>-7.8910146666666661</v>
      </c>
      <c r="F25" s="8">
        <f t="shared" si="1"/>
        <v>-59.182610000000004</v>
      </c>
      <c r="G25" s="8">
        <f t="shared" si="3"/>
        <v>-9.8637683333333346</v>
      </c>
      <c r="H25" s="8">
        <f t="shared" si="4"/>
        <v>-5.9182610000000002</v>
      </c>
      <c r="I25" s="8">
        <f t="shared" si="5"/>
        <v>1426.2591379999997</v>
      </c>
      <c r="J25" s="83">
        <v>800</v>
      </c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</row>
    <row r="26" spans="2:23" outlineLevel="1" x14ac:dyDescent="0.25">
      <c r="B26" s="68" t="s">
        <v>142</v>
      </c>
      <c r="C26" s="8">
        <f t="shared" si="6"/>
        <v>1426.2591379999997</v>
      </c>
      <c r="D26" s="8">
        <f t="shared" si="0"/>
        <v>197.27536666666666</v>
      </c>
      <c r="E26" s="8">
        <f t="shared" si="2"/>
        <v>-7.8910146666666661</v>
      </c>
      <c r="F26" s="8">
        <f t="shared" si="1"/>
        <v>-59.182610000000004</v>
      </c>
      <c r="G26" s="8">
        <f t="shared" si="3"/>
        <v>-9.8637683333333346</v>
      </c>
      <c r="H26" s="8">
        <f t="shared" si="4"/>
        <v>-5.9182610000000002</v>
      </c>
      <c r="I26" s="8">
        <f t="shared" si="5"/>
        <v>1540.6788506666662</v>
      </c>
      <c r="J26" s="83">
        <v>800</v>
      </c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</row>
    <row r="27" spans="2:23" outlineLevel="1" x14ac:dyDescent="0.25">
      <c r="B27" s="68" t="s">
        <v>143</v>
      </c>
      <c r="C27" s="8">
        <f t="shared" si="6"/>
        <v>1540.6788506666662</v>
      </c>
      <c r="D27" s="8">
        <f t="shared" si="0"/>
        <v>197.27536666666666</v>
      </c>
      <c r="E27" s="8">
        <f t="shared" si="2"/>
        <v>-7.8910146666666661</v>
      </c>
      <c r="F27" s="8">
        <f t="shared" si="1"/>
        <v>-59.182610000000004</v>
      </c>
      <c r="G27" s="8">
        <f t="shared" si="3"/>
        <v>-9.8637683333333346</v>
      </c>
      <c r="H27" s="8">
        <f t="shared" si="4"/>
        <v>-5.9182610000000002</v>
      </c>
      <c r="I27" s="8">
        <f t="shared" si="5"/>
        <v>1655.0985633333328</v>
      </c>
      <c r="J27" s="83">
        <v>800</v>
      </c>
    </row>
    <row r="28" spans="2:23" outlineLevel="1" x14ac:dyDescent="0.25">
      <c r="B28" s="68" t="s">
        <v>144</v>
      </c>
      <c r="C28" s="8">
        <f t="shared" si="6"/>
        <v>1655.0985633333328</v>
      </c>
      <c r="D28" s="8">
        <f t="shared" si="0"/>
        <v>197.27536666666666</v>
      </c>
      <c r="E28" s="8">
        <f t="shared" si="2"/>
        <v>-7.8910146666666661</v>
      </c>
      <c r="F28" s="8">
        <f t="shared" si="1"/>
        <v>-59.182610000000004</v>
      </c>
      <c r="G28" s="8">
        <f t="shared" si="3"/>
        <v>-9.8637683333333346</v>
      </c>
      <c r="H28" s="8">
        <f t="shared" si="4"/>
        <v>-5.9182610000000002</v>
      </c>
      <c r="I28" s="8">
        <f t="shared" si="5"/>
        <v>1769.5182759999993</v>
      </c>
      <c r="J28" s="83">
        <v>800</v>
      </c>
    </row>
    <row r="29" spans="2:23" outlineLevel="1" x14ac:dyDescent="0.25">
      <c r="B29" s="68" t="s">
        <v>145</v>
      </c>
      <c r="C29" s="8">
        <f t="shared" si="6"/>
        <v>1769.5182759999993</v>
      </c>
      <c r="D29" s="8">
        <f t="shared" si="0"/>
        <v>197.27536666666666</v>
      </c>
      <c r="E29" s="8">
        <f t="shared" si="2"/>
        <v>-7.8910146666666661</v>
      </c>
      <c r="F29" s="8">
        <f t="shared" si="1"/>
        <v>-59.182610000000004</v>
      </c>
      <c r="G29" s="8">
        <f t="shared" si="3"/>
        <v>-9.8637683333333346</v>
      </c>
      <c r="H29" s="8">
        <f t="shared" si="4"/>
        <v>-5.9182610000000002</v>
      </c>
      <c r="I29" s="8">
        <f t="shared" si="5"/>
        <v>1883.9379886666659</v>
      </c>
      <c r="J29" s="83">
        <v>800</v>
      </c>
    </row>
    <row r="30" spans="2:23" outlineLevel="1" x14ac:dyDescent="0.25">
      <c r="B30" s="68" t="s">
        <v>146</v>
      </c>
      <c r="C30" s="8">
        <f t="shared" si="6"/>
        <v>1883.9379886666659</v>
      </c>
      <c r="D30" s="8">
        <f t="shared" si="0"/>
        <v>197.27536666666666</v>
      </c>
      <c r="E30" s="8">
        <f t="shared" si="2"/>
        <v>-7.8910146666666661</v>
      </c>
      <c r="F30" s="8">
        <f t="shared" si="1"/>
        <v>-59.182610000000004</v>
      </c>
      <c r="G30" s="8">
        <f t="shared" si="3"/>
        <v>-9.8637683333333346</v>
      </c>
      <c r="H30" s="8">
        <f t="shared" si="4"/>
        <v>-5.9182610000000002</v>
      </c>
      <c r="I30" s="8">
        <f t="shared" si="5"/>
        <v>1998.3577013333322</v>
      </c>
      <c r="J30" s="83">
        <v>800</v>
      </c>
    </row>
    <row r="31" spans="2:23" outlineLevel="1" x14ac:dyDescent="0.25">
      <c r="B31" s="68" t="s">
        <v>147</v>
      </c>
      <c r="C31" s="8">
        <f t="shared" si="6"/>
        <v>1998.3577013333322</v>
      </c>
      <c r="D31" s="8">
        <f t="shared" si="0"/>
        <v>197.27536666666666</v>
      </c>
      <c r="E31" s="8">
        <f t="shared" si="2"/>
        <v>-7.8910146666666661</v>
      </c>
      <c r="F31" s="8">
        <f t="shared" si="1"/>
        <v>-59.182610000000004</v>
      </c>
      <c r="G31" s="8">
        <f t="shared" si="3"/>
        <v>-9.8637683333333346</v>
      </c>
      <c r="H31" s="8">
        <f t="shared" si="4"/>
        <v>-5.9182610000000002</v>
      </c>
      <c r="I31" s="8">
        <f t="shared" si="5"/>
        <v>2112.7774139999992</v>
      </c>
      <c r="J31" s="83">
        <v>800</v>
      </c>
    </row>
    <row r="32" spans="2:23" outlineLevel="1" x14ac:dyDescent="0.25">
      <c r="B32" s="68" t="s">
        <v>148</v>
      </c>
      <c r="C32" s="8">
        <f t="shared" si="6"/>
        <v>2112.7774139999992</v>
      </c>
      <c r="D32" s="8">
        <f t="shared" si="0"/>
        <v>197.27536666666666</v>
      </c>
      <c r="E32" s="8">
        <f t="shared" si="2"/>
        <v>-7.8910146666666661</v>
      </c>
      <c r="F32" s="8">
        <f t="shared" si="1"/>
        <v>-59.182610000000004</v>
      </c>
      <c r="G32" s="8">
        <f t="shared" si="3"/>
        <v>-9.8637683333333346</v>
      </c>
      <c r="H32" s="8">
        <f t="shared" si="4"/>
        <v>-5.9182610000000002</v>
      </c>
      <c r="I32" s="8">
        <f t="shared" si="5"/>
        <v>2227.1971266666665</v>
      </c>
      <c r="J32" s="83">
        <v>800</v>
      </c>
    </row>
    <row r="33" spans="2:10" outlineLevel="1" x14ac:dyDescent="0.25">
      <c r="B33" s="68" t="s">
        <v>149</v>
      </c>
      <c r="C33" s="8">
        <f t="shared" si="6"/>
        <v>2227.1971266666665</v>
      </c>
      <c r="D33" s="8">
        <f t="shared" si="0"/>
        <v>197.27536666666666</v>
      </c>
      <c r="E33" s="8">
        <f t="shared" si="2"/>
        <v>-7.8910146666666661</v>
      </c>
      <c r="F33" s="8">
        <f t="shared" si="1"/>
        <v>-59.182610000000004</v>
      </c>
      <c r="G33" s="8">
        <f t="shared" si="3"/>
        <v>-9.8637683333333346</v>
      </c>
      <c r="H33" s="8">
        <f t="shared" si="4"/>
        <v>-5.9182610000000002</v>
      </c>
      <c r="I33" s="8">
        <f t="shared" si="5"/>
        <v>2341.6168393333337</v>
      </c>
      <c r="J33" s="83">
        <v>800</v>
      </c>
    </row>
    <row r="34" spans="2:10" outlineLevel="1" x14ac:dyDescent="0.25">
      <c r="B34" s="68" t="s">
        <v>150</v>
      </c>
      <c r="C34" s="8">
        <f t="shared" si="6"/>
        <v>2341.6168393333337</v>
      </c>
      <c r="D34" s="8">
        <f t="shared" si="0"/>
        <v>197.27536666666666</v>
      </c>
      <c r="E34" s="8">
        <f t="shared" si="2"/>
        <v>-7.8910146666666661</v>
      </c>
      <c r="F34" s="8">
        <f t="shared" si="1"/>
        <v>-59.182610000000004</v>
      </c>
      <c r="G34" s="8">
        <f t="shared" si="3"/>
        <v>-9.8637683333333346</v>
      </c>
      <c r="H34" s="8">
        <f t="shared" si="4"/>
        <v>-5.9182610000000002</v>
      </c>
      <c r="I34" s="8">
        <f t="shared" si="5"/>
        <v>2456.0365520000009</v>
      </c>
      <c r="J34" s="83">
        <v>800</v>
      </c>
    </row>
    <row r="35" spans="2:10" outlineLevel="1" x14ac:dyDescent="0.25">
      <c r="B35" s="25"/>
      <c r="C35" s="8"/>
      <c r="D35" s="8"/>
      <c r="E35" s="8"/>
      <c r="F35" s="8"/>
      <c r="G35" s="8"/>
    </row>
    <row r="36" spans="2:10" outlineLevel="1" x14ac:dyDescent="0.25"/>
    <row r="37" spans="2:10" ht="15.75" outlineLevel="1" x14ac:dyDescent="0.3">
      <c r="B37" s="26" t="s">
        <v>162</v>
      </c>
    </row>
    <row r="38" spans="2:10" ht="15.75" outlineLevel="1" x14ac:dyDescent="0.3">
      <c r="B38" s="19" t="s">
        <v>164</v>
      </c>
    </row>
    <row r="39" spans="2:10" ht="15.75" outlineLevel="1" x14ac:dyDescent="0.3">
      <c r="B39" s="19" t="s">
        <v>163</v>
      </c>
    </row>
    <row r="40" spans="2:10" outlineLevel="1" x14ac:dyDescent="0.25"/>
    <row r="41" spans="2:10" ht="15.75" x14ac:dyDescent="0.3">
      <c r="B41" s="19"/>
    </row>
    <row r="42" spans="2:10" ht="15.75" x14ac:dyDescent="0.3">
      <c r="B42" s="19"/>
    </row>
  </sheetData>
  <mergeCells count="1">
    <mergeCell ref="L24:W26"/>
  </mergeCells>
  <phoneticPr fontId="30" type="noConversion"/>
  <pageMargins left="0.7" right="0.7" top="0.75" bottom="0.75" header="0.3" footer="0.3"/>
  <pageSetup paperSize="9" scale="65" orientation="portrait" r:id="rId1"/>
  <colBreaks count="1" manualBreakCount="1">
    <brk id="9" max="3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Inputs</vt:lpstr>
      <vt:lpstr>Dashboard</vt:lpstr>
      <vt:lpstr>Liquidity Forecast Simulation</vt:lpstr>
      <vt:lpstr>Cover!Print_Area</vt:lpstr>
      <vt:lpstr>Dashboard!Print_Area</vt:lpstr>
      <vt:lpstr>Inputs!Print_Area</vt:lpstr>
      <vt:lpstr>'Liquidity Forecast Simulation'!Print_Area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Nata</dc:creator>
  <cp:lastModifiedBy>Felicia Nata</cp:lastModifiedBy>
  <cp:lastPrinted>2026-03-05T01:50:38Z</cp:lastPrinted>
  <dcterms:created xsi:type="dcterms:W3CDTF">2026-03-04T21:28:03Z</dcterms:created>
  <dcterms:modified xsi:type="dcterms:W3CDTF">2026-03-05T20:17:27Z</dcterms:modified>
</cp:coreProperties>
</file>