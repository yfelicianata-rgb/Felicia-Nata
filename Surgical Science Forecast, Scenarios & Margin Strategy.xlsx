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li\Downloads\"/>
    </mc:Choice>
  </mc:AlternateContent>
  <xr:revisionPtr revIDLastSave="0" documentId="8_{3E4E3887-42DC-4F0A-BFB3-2582B699976C}" xr6:coauthVersionLast="47" xr6:coauthVersionMax="47" xr10:uidLastSave="{00000000-0000-0000-0000-000000000000}"/>
  <bookViews>
    <workbookView xWindow="-120" yWindow="-120" windowWidth="38640" windowHeight="21390" xr2:uid="{33CADB64-56CD-4CCF-AD71-12DB311409C3}"/>
  </bookViews>
  <sheets>
    <sheet name="Cover" sheetId="9" r:id="rId1"/>
    <sheet name="Outputs" sheetId="8" r:id="rId2"/>
    <sheet name="Model" sheetId="6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8" l="1" a="1"/>
  <c r="B69" i="8" s="1"/>
  <c r="I14" i="8" l="1"/>
  <c r="J26" i="8"/>
  <c r="I26" i="8"/>
  <c r="J20" i="8"/>
  <c r="I20" i="8"/>
  <c r="J14" i="8"/>
  <c r="I6" i="8"/>
  <c r="J8" i="8"/>
  <c r="J7" i="8"/>
  <c r="D51" i="6"/>
  <c r="K6" i="8" l="1"/>
  <c r="L8" i="8"/>
  <c r="M8" i="8" s="1"/>
  <c r="N8" i="8" s="1"/>
  <c r="O8" i="8" s="1"/>
  <c r="O6" i="8" s="1"/>
  <c r="P7" i="8"/>
  <c r="Q7" i="8" s="1"/>
  <c r="R7" i="8" s="1"/>
  <c r="L7" i="8"/>
  <c r="M7" i="8" s="1"/>
  <c r="N7" i="8" s="1"/>
  <c r="C10" i="6"/>
  <c r="G66" i="6"/>
  <c r="H66" i="6"/>
  <c r="I66" i="6"/>
  <c r="J66" i="6"/>
  <c r="K66" i="6"/>
  <c r="L66" i="6"/>
  <c r="M66" i="6"/>
  <c r="N66" i="6"/>
  <c r="O66" i="6"/>
  <c r="P66" i="6"/>
  <c r="Q66" i="6"/>
  <c r="F66" i="6"/>
  <c r="F60" i="6"/>
  <c r="H60" i="6"/>
  <c r="I60" i="6"/>
  <c r="J60" i="6"/>
  <c r="K60" i="6"/>
  <c r="L60" i="6"/>
  <c r="M60" i="6"/>
  <c r="N60" i="6"/>
  <c r="O60" i="6"/>
  <c r="P60" i="6"/>
  <c r="Q60" i="6"/>
  <c r="G60" i="6"/>
  <c r="P54" i="6"/>
  <c r="G54" i="6"/>
  <c r="H54" i="6"/>
  <c r="I54" i="6"/>
  <c r="J54" i="6"/>
  <c r="K54" i="6"/>
  <c r="L54" i="6"/>
  <c r="M54" i="6"/>
  <c r="N54" i="6"/>
  <c r="O54" i="6"/>
  <c r="Q54" i="6"/>
  <c r="K47" i="6"/>
  <c r="L47" i="6" s="1"/>
  <c r="M47" i="6" s="1"/>
  <c r="N47" i="6" s="1"/>
  <c r="G47" i="6"/>
  <c r="H47" i="6" s="1"/>
  <c r="I47" i="6" s="1"/>
  <c r="W46" i="6"/>
  <c r="X46" i="6" s="1"/>
  <c r="Y46" i="6" s="1"/>
  <c r="S46" i="6"/>
  <c r="T46" i="6" s="1"/>
  <c r="U46" i="6" s="1"/>
  <c r="O46" i="6"/>
  <c r="P46" i="6" s="1"/>
  <c r="Q46" i="6" s="1"/>
  <c r="K46" i="6"/>
  <c r="L46" i="6" s="1"/>
  <c r="M46" i="6" s="1"/>
  <c r="G46" i="6"/>
  <c r="H46" i="6" s="1"/>
  <c r="I46" i="6" s="1"/>
  <c r="J45" i="6"/>
  <c r="F45" i="6"/>
  <c r="P8" i="8" l="1"/>
  <c r="Q8" i="8" s="1"/>
  <c r="R8" i="8" s="1"/>
  <c r="N45" i="6"/>
  <c r="O47" i="6"/>
  <c r="P47" i="6" s="1"/>
  <c r="Q47" i="6" s="1"/>
  <c r="R47" i="6" s="1"/>
  <c r="R63" i="6"/>
  <c r="R69" i="6"/>
  <c r="R57" i="6"/>
  <c r="R70" i="6" l="1"/>
  <c r="R66" i="6" s="1" a="1"/>
  <c r="R66" i="6" s="1"/>
  <c r="R68" i="6"/>
  <c r="R64" i="6"/>
  <c r="R62" i="6"/>
  <c r="R60" i="6" s="1" a="1"/>
  <c r="R60" i="6" s="1"/>
  <c r="R58" i="6"/>
  <c r="R56" i="6"/>
  <c r="R54" i="6" s="1" a="1"/>
  <c r="R54" i="6" s="1"/>
  <c r="R22" i="6" s="1"/>
  <c r="R45" i="6"/>
  <c r="S47" i="6"/>
  <c r="S63" i="6"/>
  <c r="S69" i="6"/>
  <c r="S57" i="6"/>
  <c r="R26" i="6" l="1"/>
  <c r="R28" i="6"/>
  <c r="K14" i="8"/>
  <c r="S68" i="6"/>
  <c r="S70" i="6"/>
  <c r="S66" i="6" s="1" a="1"/>
  <c r="S66" i="6" s="1"/>
  <c r="S62" i="6"/>
  <c r="S60" i="6" s="1" a="1"/>
  <c r="S60" i="6" s="1"/>
  <c r="S64" i="6"/>
  <c r="S56" i="6"/>
  <c r="S54" i="6" s="1" a="1"/>
  <c r="S54" i="6" s="1"/>
  <c r="S22" i="6" s="1"/>
  <c r="L14" i="8" s="1"/>
  <c r="S58" i="6"/>
  <c r="T47" i="6"/>
  <c r="T63" i="6"/>
  <c r="T69" i="6"/>
  <c r="T57" i="6"/>
  <c r="S26" i="6" l="1"/>
  <c r="S28" i="6"/>
  <c r="T68" i="6"/>
  <c r="T70" i="6"/>
  <c r="T62" i="6"/>
  <c r="T60" i="6" s="1" a="1"/>
  <c r="T60" i="6" s="1"/>
  <c r="T64" i="6"/>
  <c r="T56" i="6"/>
  <c r="T54" i="6" s="1" a="1"/>
  <c r="T54" i="6" s="1"/>
  <c r="T22" i="6" s="1"/>
  <c r="M14" i="8" s="1"/>
  <c r="T58" i="6"/>
  <c r="U47" i="6"/>
  <c r="U63" i="6"/>
  <c r="U69" i="6"/>
  <c r="U57" i="6"/>
  <c r="T66" i="6" l="1" a="1"/>
  <c r="T66" i="6" s="1"/>
  <c r="T26" i="6" s="1"/>
  <c r="T28" i="6"/>
  <c r="U68" i="6"/>
  <c r="U66" i="6" s="1" a="1"/>
  <c r="U66" i="6" s="1"/>
  <c r="U70" i="6"/>
  <c r="U62" i="6"/>
  <c r="U60" i="6" s="1" a="1"/>
  <c r="U60" i="6" s="1"/>
  <c r="U64" i="6"/>
  <c r="U56" i="6"/>
  <c r="U58" i="6"/>
  <c r="V47" i="6"/>
  <c r="V63" i="6"/>
  <c r="V69" i="6"/>
  <c r="V57" i="6"/>
  <c r="U54" i="6" l="1" a="1"/>
  <c r="U54" i="6" s="1"/>
  <c r="U22" i="6" s="1"/>
  <c r="N14" i="8" s="1"/>
  <c r="V68" i="6"/>
  <c r="V66" i="6" s="1" a="1"/>
  <c r="V66" i="6" s="1"/>
  <c r="V70" i="6"/>
  <c r="V62" i="6"/>
  <c r="V60" i="6" s="1" a="1"/>
  <c r="V60" i="6" s="1"/>
  <c r="V64" i="6"/>
  <c r="V56" i="6"/>
  <c r="V58" i="6"/>
  <c r="W47" i="6"/>
  <c r="V45" i="6"/>
  <c r="W63" i="6"/>
  <c r="W69" i="6"/>
  <c r="W57" i="6"/>
  <c r="V54" i="6" l="1" a="1"/>
  <c r="V54" i="6" s="1"/>
  <c r="V22" i="6" s="1"/>
  <c r="O14" i="8" s="1"/>
  <c r="U28" i="6"/>
  <c r="U26" i="6"/>
  <c r="E71" i="8"/>
  <c r="W68" i="6"/>
  <c r="W70" i="6"/>
  <c r="W62" i="6"/>
  <c r="W64" i="6"/>
  <c r="W58" i="6"/>
  <c r="W56" i="6"/>
  <c r="X47" i="6"/>
  <c r="X63" i="6"/>
  <c r="X69" i="6"/>
  <c r="X57" i="6"/>
  <c r="V28" i="6" l="1"/>
  <c r="E76" i="8"/>
  <c r="K83" i="8" s="1"/>
  <c r="V26" i="6"/>
  <c r="E78" i="8"/>
  <c r="K72" i="8" s="1"/>
  <c r="L72" i="8" s="1"/>
  <c r="M72" i="8" s="1"/>
  <c r="W60" i="6" a="1"/>
  <c r="W60" i="6" s="1"/>
  <c r="W66" i="6" a="1"/>
  <c r="W66" i="6" s="1"/>
  <c r="W54" i="6" a="1"/>
  <c r="W54" i="6" s="1"/>
  <c r="W22" i="6" s="1"/>
  <c r="P14" i="8" s="1"/>
  <c r="L83" i="8"/>
  <c r="M83" i="8" s="1"/>
  <c r="J83" i="8"/>
  <c r="I83" i="8" s="1"/>
  <c r="X68" i="6"/>
  <c r="X70" i="6"/>
  <c r="X64" i="6"/>
  <c r="X62" i="6"/>
  <c r="X58" i="6"/>
  <c r="X56" i="6"/>
  <c r="X54" i="6" s="1" a="1"/>
  <c r="X54" i="6" s="1"/>
  <c r="Y47" i="6"/>
  <c r="Y63" i="6"/>
  <c r="Y69" i="6"/>
  <c r="Y57" i="6"/>
  <c r="J72" i="8" l="1"/>
  <c r="I72" i="8" s="1"/>
  <c r="W26" i="6"/>
  <c r="W28" i="6"/>
  <c r="X22" i="6"/>
  <c r="Q14" i="8" s="1"/>
  <c r="X66" i="6" a="1"/>
  <c r="X66" i="6" s="1"/>
  <c r="X60" i="6" a="1"/>
  <c r="X60" i="6" s="1"/>
  <c r="Y70" i="6"/>
  <c r="Y68" i="6"/>
  <c r="Y66" i="6" s="1" a="1"/>
  <c r="Y66" i="6" s="1"/>
  <c r="Y64" i="6"/>
  <c r="Y62" i="6"/>
  <c r="Y60" i="6" s="1" a="1"/>
  <c r="Y60" i="6" s="1"/>
  <c r="Y58" i="6"/>
  <c r="Y56" i="6"/>
  <c r="Y54" i="6" s="1" a="1"/>
  <c r="Y54" i="6" s="1"/>
  <c r="Y22" i="6" l="1"/>
  <c r="R14" i="8" s="1"/>
  <c r="X28" i="6"/>
  <c r="X26" i="6"/>
  <c r="Y26" i="6"/>
  <c r="Y28" i="6"/>
  <c r="F7" i="6" l="1"/>
  <c r="F6" i="6"/>
  <c r="F8" i="6"/>
  <c r="W18" i="6"/>
  <c r="X18" i="6" s="1"/>
  <c r="Y18" i="6" s="1"/>
  <c r="S18" i="6"/>
  <c r="T18" i="6" s="1"/>
  <c r="U18" i="6" s="1"/>
  <c r="J103" i="6"/>
  <c r="K104" i="6"/>
  <c r="F17" i="6"/>
  <c r="G18" i="6"/>
  <c r="H18" i="6" s="1"/>
  <c r="I18" i="6" s="1"/>
  <c r="G19" i="6"/>
  <c r="H19" i="6" s="1"/>
  <c r="I19" i="6" s="1"/>
  <c r="K19" i="6"/>
  <c r="L19" i="6" s="1"/>
  <c r="M19" i="6" s="1"/>
  <c r="N19" i="6" s="1"/>
  <c r="O18" i="6"/>
  <c r="P18" i="6" s="1"/>
  <c r="Q18" i="6" s="1"/>
  <c r="K18" i="6"/>
  <c r="L18" i="6" s="1"/>
  <c r="M18" i="6" s="1"/>
  <c r="J17" i="6"/>
  <c r="Q24" i="6"/>
  <c r="Q31" i="6" s="1"/>
  <c r="Q34" i="6" s="1"/>
  <c r="P24" i="6"/>
  <c r="P31" i="6" s="1"/>
  <c r="O24" i="6"/>
  <c r="O31" i="6" s="1"/>
  <c r="N24" i="6"/>
  <c r="M24" i="6"/>
  <c r="M31" i="6" s="1"/>
  <c r="M34" i="6" s="1"/>
  <c r="M38" i="6" s="1"/>
  <c r="L24" i="6"/>
  <c r="L31" i="6" s="1"/>
  <c r="L34" i="6" s="1"/>
  <c r="L38" i="6" s="1"/>
  <c r="K24" i="6"/>
  <c r="K31" i="6" s="1"/>
  <c r="K34" i="6" s="1"/>
  <c r="K38" i="6" s="1"/>
  <c r="J24" i="6"/>
  <c r="J31" i="6" s="1"/>
  <c r="K105" i="6" l="1"/>
  <c r="N17" i="6"/>
  <c r="O19" i="6"/>
  <c r="L104" i="6" s="1"/>
  <c r="P34" i="6"/>
  <c r="N31" i="6"/>
  <c r="Q38" i="6"/>
  <c r="J34" i="6"/>
  <c r="O34" i="6"/>
  <c r="M104" i="6" l="1"/>
  <c r="N104" i="6"/>
  <c r="K106" i="6"/>
  <c r="L105" i="6"/>
  <c r="M105" i="6"/>
  <c r="N105" i="6"/>
  <c r="M103" i="6"/>
  <c r="P19" i="6"/>
  <c r="Q19" i="6" s="1"/>
  <c r="R19" i="6" s="1"/>
  <c r="R17" i="6" s="1"/>
  <c r="N103" i="6"/>
  <c r="L103" i="6"/>
  <c r="N34" i="6"/>
  <c r="F10" i="6" s="1"/>
  <c r="P38" i="6"/>
  <c r="J38" i="6"/>
  <c r="O38" i="6"/>
  <c r="K107" i="6" l="1"/>
  <c r="L106" i="6"/>
  <c r="N106" i="6"/>
  <c r="M106" i="6"/>
  <c r="S19" i="6"/>
  <c r="T19" i="6" s="1"/>
  <c r="U19" i="6" s="1"/>
  <c r="V19" i="6" s="1"/>
  <c r="V17" i="6" s="1"/>
  <c r="R23" i="6"/>
  <c r="R33" i="6"/>
  <c r="R29" i="6"/>
  <c r="R27" i="6"/>
  <c r="N38" i="6"/>
  <c r="R24" i="6" l="1"/>
  <c r="M107" i="6"/>
  <c r="L107" i="6"/>
  <c r="N107" i="6"/>
  <c r="K108" i="6"/>
  <c r="J107" i="6"/>
  <c r="W19" i="6"/>
  <c r="X19" i="6" s="1"/>
  <c r="Y19" i="6" s="1"/>
  <c r="S23" i="6"/>
  <c r="S24" i="6" s="1"/>
  <c r="S33" i="6"/>
  <c r="S29" i="6"/>
  <c r="S27" i="6"/>
  <c r="R31" i="6" l="1"/>
  <c r="R34" i="6" s="1"/>
  <c r="R36" i="6" s="1"/>
  <c r="R38" i="6" s="1"/>
  <c r="K20" i="8"/>
  <c r="K26" i="8"/>
  <c r="N108" i="6"/>
  <c r="M108" i="6"/>
  <c r="L108" i="6"/>
  <c r="K109" i="6"/>
  <c r="S31" i="6"/>
  <c r="T23" i="6"/>
  <c r="T24" i="6" s="1"/>
  <c r="T27" i="6"/>
  <c r="T33" i="6"/>
  <c r="T29" i="6"/>
  <c r="L20" i="8" l="1"/>
  <c r="L26" i="8"/>
  <c r="S34" i="6"/>
  <c r="S36" i="6" s="1"/>
  <c r="S38" i="6" s="1"/>
  <c r="L109" i="6"/>
  <c r="N109" i="6"/>
  <c r="M109" i="6"/>
  <c r="K110" i="6"/>
  <c r="T31" i="6"/>
  <c r="U23" i="6"/>
  <c r="U24" i="6" s="1"/>
  <c r="E74" i="8" s="1"/>
  <c r="U29" i="6"/>
  <c r="E79" i="8" s="1"/>
  <c r="U27" i="6"/>
  <c r="E77" i="8" s="1"/>
  <c r="U33" i="6"/>
  <c r="H75" i="8" l="1"/>
  <c r="H74" i="8" s="1"/>
  <c r="H73" i="8" s="1"/>
  <c r="H86" i="8"/>
  <c r="E81" i="8"/>
  <c r="E72" i="8"/>
  <c r="M20" i="8"/>
  <c r="M26" i="8"/>
  <c r="T34" i="6"/>
  <c r="T36" i="6" s="1"/>
  <c r="T38" i="6" s="1"/>
  <c r="L110" i="6"/>
  <c r="N110" i="6"/>
  <c r="M110" i="6"/>
  <c r="K111" i="6"/>
  <c r="U31" i="6"/>
  <c r="V33" i="6"/>
  <c r="V23" i="6"/>
  <c r="V24" i="6" s="1"/>
  <c r="V27" i="6"/>
  <c r="V29" i="6"/>
  <c r="H76" i="8" l="1"/>
  <c r="H77" i="8" s="1"/>
  <c r="H72" i="8"/>
  <c r="H83" i="8"/>
  <c r="H87" i="8"/>
  <c r="H88" i="8" s="1"/>
  <c r="H85" i="8"/>
  <c r="H84" i="8" s="1"/>
  <c r="N20" i="8"/>
  <c r="N26" i="8"/>
  <c r="U34" i="6"/>
  <c r="U36" i="6" s="1"/>
  <c r="U38" i="6" s="1"/>
  <c r="L111" i="6"/>
  <c r="N111" i="6"/>
  <c r="M111" i="6"/>
  <c r="J111" i="6"/>
  <c r="K112" i="6"/>
  <c r="V31" i="6"/>
  <c r="W23" i="6"/>
  <c r="W24" i="6" s="1"/>
  <c r="W33" i="6"/>
  <c r="W29" i="6"/>
  <c r="W27" i="6"/>
  <c r="O20" i="8" l="1"/>
  <c r="O26" i="8"/>
  <c r="V34" i="6"/>
  <c r="V36" i="6" s="1"/>
  <c r="V38" i="6" s="1"/>
  <c r="L112" i="6"/>
  <c r="N112" i="6"/>
  <c r="M112" i="6"/>
  <c r="K113" i="6"/>
  <c r="W31" i="6"/>
  <c r="X29" i="6"/>
  <c r="X23" i="6"/>
  <c r="X24" i="6" s="1"/>
  <c r="X33" i="6"/>
  <c r="X27" i="6"/>
  <c r="P20" i="8" l="1"/>
  <c r="P26" i="8"/>
  <c r="W34" i="6"/>
  <c r="W36" i="6" s="1"/>
  <c r="W38" i="6" s="1"/>
  <c r="L113" i="6"/>
  <c r="N113" i="6"/>
  <c r="M113" i="6"/>
  <c r="K114" i="6"/>
  <c r="X31" i="6"/>
  <c r="Y27" i="6"/>
  <c r="Y23" i="6"/>
  <c r="Y24" i="6" s="1"/>
  <c r="Y29" i="6"/>
  <c r="Y33" i="6"/>
  <c r="Q20" i="8" l="1"/>
  <c r="Q26" i="8"/>
  <c r="X34" i="6"/>
  <c r="X36" i="6" s="1"/>
  <c r="X38" i="6" s="1"/>
  <c r="L114" i="6"/>
  <c r="N114" i="6"/>
  <c r="M114" i="6"/>
  <c r="K115" i="6"/>
  <c r="Y31" i="6"/>
  <c r="R20" i="8" l="1"/>
  <c r="R26" i="8"/>
  <c r="Y34" i="6"/>
  <c r="Y36" i="6" s="1"/>
  <c r="Y38" i="6" s="1"/>
  <c r="L115" i="6"/>
  <c r="M115" i="6"/>
  <c r="K116" i="6"/>
  <c r="J115" i="6"/>
  <c r="L116" i="6" l="1"/>
  <c r="M116" i="6"/>
  <c r="K117" i="6"/>
  <c r="L117" i="6" l="1"/>
  <c r="M117" i="6"/>
  <c r="K118" i="6"/>
  <c r="L118" i="6" l="1"/>
  <c r="M118" i="6"/>
  <c r="K119" i="6"/>
  <c r="L119" i="6" l="1"/>
  <c r="M119" i="6"/>
  <c r="K120" i="6"/>
  <c r="J119" i="6"/>
  <c r="L120" i="6" l="1"/>
  <c r="M120" i="6"/>
  <c r="K121" i="6"/>
  <c r="L121" i="6" l="1"/>
  <c r="M121" i="6"/>
  <c r="K122" i="6"/>
  <c r="L122" i="6" l="1"/>
  <c r="M12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<sst xmlns="http://schemas.openxmlformats.org/spreadsheetml/2006/main" count="84" uniqueCount="51">
  <si>
    <t>Net sales</t>
  </si>
  <si>
    <t>Cost of goods sold</t>
  </si>
  <si>
    <t>Gross profit</t>
  </si>
  <si>
    <t>Sales costs</t>
  </si>
  <si>
    <t>Administration costs</t>
  </si>
  <si>
    <t>Research and development costs</t>
  </si>
  <si>
    <t>Other operating income and costs</t>
  </si>
  <si>
    <t>Operating profit</t>
  </si>
  <si>
    <t>Financial income and costs</t>
  </si>
  <si>
    <t>Profit after financial items</t>
  </si>
  <si>
    <t>Taxes</t>
  </si>
  <si>
    <t>Net profit</t>
  </si>
  <si>
    <t>Consolidated Income Statement</t>
  </si>
  <si>
    <t>Figures in SEK thousands</t>
  </si>
  <si>
    <t>Net Sales</t>
  </si>
  <si>
    <t>Revenue</t>
  </si>
  <si>
    <t>Driver Switch</t>
  </si>
  <si>
    <t>Revenue Growth</t>
  </si>
  <si>
    <t>Gross Profit</t>
  </si>
  <si>
    <t>Sales Cost</t>
  </si>
  <si>
    <t>Research and Development</t>
  </si>
  <si>
    <t>Sales Costs</t>
  </si>
  <si>
    <t>Research and Development Costs</t>
  </si>
  <si>
    <t>Intercept</t>
  </si>
  <si>
    <t>Coefficients</t>
  </si>
  <si>
    <t>Scenario Schedule</t>
  </si>
  <si>
    <t>Worst Case</t>
  </si>
  <si>
    <t>Base Case</t>
  </si>
  <si>
    <t>Best Case</t>
  </si>
  <si>
    <t>R&amp;D Costs (% of Revenue)</t>
  </si>
  <si>
    <t>Sales Costs (% of Revenue)</t>
  </si>
  <si>
    <t>Net Financial</t>
  </si>
  <si>
    <t>Net Other Operating</t>
  </si>
  <si>
    <t>Earning Before Interest and Tax</t>
  </si>
  <si>
    <t>EBIT Margin</t>
  </si>
  <si>
    <t xml:space="preserve">These forecasts require the workbook calculation to be set to automatic to update. </t>
  </si>
  <si>
    <t>Scenarios: Best, Base, Worst</t>
  </si>
  <si>
    <t xml:space="preserve">These graphs require the workbook calculation to be set to automatic to update. </t>
  </si>
  <si>
    <t>Cost of Goods Sold</t>
  </si>
  <si>
    <t>Operating Profit Margin</t>
  </si>
  <si>
    <t>These table require the workbook calculation to be set to automatic to update</t>
  </si>
  <si>
    <t xml:space="preserve">  Scenario Analysis Summary</t>
  </si>
  <si>
    <t xml:space="preserve">  Scenario Analysis</t>
  </si>
  <si>
    <t xml:space="preserve">  Sensitivity Analysis 2026</t>
  </si>
  <si>
    <t xml:space="preserve">  Forecast Key Assumptions</t>
  </si>
  <si>
    <t>Felicia Nata, CTP, FPAP™</t>
  </si>
  <si>
    <t>Treasury Analyst | Certified Treasury Professional (CTP) | Financial Planning &amp; Analysis Professional (FPAP™)</t>
  </si>
  <si>
    <t>Prepared as part of application for Financial Controller</t>
  </si>
  <si>
    <t xml:space="preserve">Turning Data into Decisions </t>
  </si>
  <si>
    <t>Surgical Science Forecast, Scenarios &amp; Margin Strategy</t>
  </si>
  <si>
    <t>This model is based solely on publicly available financial data for Surgical Science Sweden AB for the period 2023–2025. Forecasts for 2026–2027 are generated using statistical methods (Forecast.ETS) and scenario-based assumptions. The analysis is for illustrative and demonstration purposes only and does not represent actual company guidance or internal forecasts.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</si>
</sst>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#,##0_)_%;\(#,##0\)_%;_(&quot;–&quot;_)_%;_(@_)_%"/>
    <numFmt numFmtId="167" formatCode="\Q0_)"/>
    <numFmt numFmtId="168" formatCode="_(#,##0_);\(#,##0\);_(&quot;–&quot;_);_(@_)"/>
    <numFmt numFmtId="178" formatCode="_(#,##0.00_);\(#,##0.00\);_(&quot;–&quot;_);_(@_)"/>
    <numFmt numFmtId="179" formatCode="&quot;Yes&quot;;&quot;Yes&quot;;&quot;No&quot;"/>
    <numFmt numFmtId="188" formatCode="_(#,##0.0000_);\(#,##0.0000\);_(&quot;–&quot;_);_(@_)"/>
    <numFmt numFmtId="189" formatCode="mmm\ d"/>
    <numFmt numFmtId="190" formatCode="mmm"/>
    <numFmt numFmtId="193" formatCode="@\⁽\¹\⁾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Open Sans"/>
      <family val="2"/>
    </font>
    <font>
      <sz val="10"/>
      <name val="Open Sans"/>
      <family val="2"/>
    </font>
    <font>
      <sz val="11"/>
      <color theme="1"/>
      <name val="Open Sans"/>
      <family val="2"/>
    </font>
    <font>
      <b/>
      <sz val="10"/>
      <name val="Open Sans"/>
      <family val="2"/>
    </font>
    <font>
      <sz val="10"/>
      <name val="Open sans"/>
    </font>
    <font>
      <sz val="10"/>
      <color rgb="FF3271D2"/>
      <name val="Open sans"/>
    </font>
    <font>
      <sz val="10"/>
      <color theme="1"/>
      <name val="Open sans"/>
    </font>
    <font>
      <b/>
      <sz val="10"/>
      <color rgb="FF3271D2"/>
      <name val="Open sans"/>
    </font>
    <font>
      <i/>
      <sz val="10"/>
      <name val="Open sans"/>
    </font>
    <font>
      <b/>
      <sz val="10"/>
      <color theme="1"/>
      <name val="Open sans"/>
    </font>
    <font>
      <u/>
      <sz val="11"/>
      <color theme="10"/>
      <name val="Calibri"/>
      <family val="2"/>
      <scheme val="minor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sz val="10"/>
      <color theme="4"/>
      <name val="Open Sans"/>
      <family val="2"/>
    </font>
    <font>
      <sz val="10"/>
      <color theme="0"/>
      <name val="Open Sans"/>
      <family val="2"/>
    </font>
    <font>
      <i/>
      <sz val="11"/>
      <color theme="1"/>
      <name val="Calibri"/>
      <family val="2"/>
      <scheme val="minor"/>
    </font>
    <font>
      <i/>
      <sz val="10"/>
      <color theme="4"/>
      <name val="Open Sans"/>
      <family val="2"/>
    </font>
    <font>
      <b/>
      <sz val="10"/>
      <color theme="4"/>
      <name val="Open Sans"/>
      <family val="2"/>
    </font>
    <font>
      <b/>
      <sz val="12"/>
      <color theme="1"/>
      <name val="Open Sans"/>
      <family val="2"/>
    </font>
    <font>
      <b/>
      <sz val="10"/>
      <color rgb="FF3271D2"/>
      <name val="Open Sans"/>
      <family val="2"/>
    </font>
    <font>
      <sz val="12"/>
      <color theme="1"/>
      <name val="Open Sans"/>
      <family val="2"/>
    </font>
    <font>
      <b/>
      <sz val="11"/>
      <color theme="1"/>
      <name val="Open sans"/>
      <family val="2"/>
    </font>
    <font>
      <sz val="8"/>
      <name val="Calibri"/>
      <family val="2"/>
      <scheme val="minor"/>
    </font>
    <font>
      <i/>
      <sz val="9"/>
      <color theme="1"/>
      <name val="Open Sans"/>
      <family val="2"/>
    </font>
    <font>
      <b/>
      <sz val="10"/>
      <color theme="6" tint="0.79998168889431442"/>
      <name val="Open Sans"/>
      <family val="2"/>
    </font>
    <font>
      <b/>
      <sz val="12"/>
      <color rgb="FFC00000"/>
      <name val="Open Sans"/>
      <family val="2"/>
    </font>
    <font>
      <b/>
      <sz val="10"/>
      <color rgb="FFC00000"/>
      <name val="Open Sans"/>
      <family val="2"/>
    </font>
    <font>
      <sz val="14"/>
      <color theme="1"/>
      <name val="Open Sans"/>
      <family val="2"/>
    </font>
    <font>
      <sz val="14"/>
      <name val="Open Sans"/>
      <family val="2"/>
    </font>
    <font>
      <sz val="14"/>
      <color theme="1"/>
      <name val="Calibri"/>
      <family val="2"/>
      <scheme val="minor"/>
    </font>
    <font>
      <sz val="11"/>
      <color rgb="FF22B46D"/>
      <name val="Open Sans"/>
      <family val="2"/>
    </font>
    <font>
      <b/>
      <sz val="16"/>
      <color theme="1"/>
      <name val="Open Sans"/>
      <family val="2"/>
    </font>
    <font>
      <sz val="16"/>
      <color theme="1"/>
      <name val="Open Sans"/>
      <family val="2"/>
    </font>
    <font>
      <b/>
      <sz val="12"/>
      <name val="Open Sans"/>
      <family val="2"/>
    </font>
    <font>
      <sz val="12"/>
      <name val="Open Sans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rgb="FF000000"/>
      </patternFill>
    </fill>
  </fills>
  <borders count="25">
    <border>
      <left/>
      <right/>
      <top/>
      <bottom/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/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162">
    <xf numFmtId="0" fontId="0" fillId="0" borderId="0" xfId="0"/>
    <xf numFmtId="168" fontId="7" fillId="0" borderId="0" xfId="0" applyNumberFormat="1" applyFont="1" applyBorder="1" applyAlignment="1">
      <alignment horizontal="right" vertical="center"/>
    </xf>
    <xf numFmtId="0" fontId="6" fillId="0" borderId="0" xfId="1" applyFont="1" applyBorder="1"/>
    <xf numFmtId="0" fontId="8" fillId="0" borderId="0" xfId="0" applyFont="1" applyBorder="1"/>
    <xf numFmtId="0" fontId="8" fillId="0" borderId="0" xfId="0" applyFont="1" applyFill="1" applyBorder="1"/>
    <xf numFmtId="0" fontId="9" fillId="0" borderId="0" xfId="0" applyFont="1" applyFill="1" applyBorder="1" applyAlignment="1">
      <alignment vertical="center"/>
    </xf>
    <xf numFmtId="164" fontId="10" fillId="0" borderId="0" xfId="1" applyNumberFormat="1" applyFont="1" applyBorder="1" applyAlignment="1">
      <alignment vertical="center"/>
    </xf>
    <xf numFmtId="168" fontId="8" fillId="0" borderId="0" xfId="0" applyNumberFormat="1" applyFont="1" applyBorder="1"/>
    <xf numFmtId="0" fontId="11" fillId="0" borderId="0" xfId="0" applyFont="1" applyBorder="1"/>
    <xf numFmtId="178" fontId="8" fillId="0" borderId="0" xfId="0" applyNumberFormat="1" applyFont="1" applyBorder="1"/>
    <xf numFmtId="168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7" fontId="8" fillId="0" borderId="0" xfId="0" applyNumberFormat="1" applyFont="1" applyBorder="1"/>
    <xf numFmtId="0" fontId="13" fillId="0" borderId="0" xfId="0" applyFont="1" applyBorder="1"/>
    <xf numFmtId="0" fontId="3" fillId="0" borderId="0" xfId="0" applyFont="1" applyBorder="1"/>
    <xf numFmtId="168" fontId="3" fillId="0" borderId="0" xfId="0" applyNumberFormat="1" applyFont="1" applyBorder="1" applyAlignment="1">
      <alignment horizontal="right" vertical="center"/>
    </xf>
    <xf numFmtId="178" fontId="3" fillId="0" borderId="0" xfId="0" applyNumberFormat="1" applyFont="1" applyBorder="1" applyAlignment="1">
      <alignment horizontal="right" vertical="center"/>
    </xf>
    <xf numFmtId="0" fontId="14" fillId="0" borderId="0" xfId="0" applyFont="1" applyBorder="1"/>
    <xf numFmtId="164" fontId="16" fillId="0" borderId="0" xfId="1" applyNumberFormat="1" applyFont="1" applyBorder="1" applyAlignment="1">
      <alignment vertical="center"/>
    </xf>
    <xf numFmtId="168" fontId="17" fillId="0" borderId="0" xfId="0" applyNumberFormat="1" applyFont="1" applyBorder="1" applyAlignment="1">
      <alignment horizontal="right" vertical="center"/>
    </xf>
    <xf numFmtId="168" fontId="17" fillId="0" borderId="0" xfId="0" applyNumberFormat="1" applyFont="1" applyBorder="1"/>
    <xf numFmtId="0" fontId="17" fillId="0" borderId="0" xfId="0" applyFont="1" applyBorder="1"/>
    <xf numFmtId="0" fontId="21" fillId="0" borderId="0" xfId="0" applyFont="1" applyFill="1" applyBorder="1" applyAlignment="1">
      <alignment vertical="center"/>
    </xf>
    <xf numFmtId="0" fontId="14" fillId="0" borderId="2" xfId="0" applyFont="1" applyBorder="1"/>
    <xf numFmtId="0" fontId="14" fillId="0" borderId="0" xfId="0" applyFont="1" applyBorder="1" applyAlignment="1">
      <alignment horizontal="right"/>
    </xf>
    <xf numFmtId="188" fontId="13" fillId="0" borderId="0" xfId="0" applyNumberFormat="1" applyFont="1" applyBorder="1"/>
    <xf numFmtId="0" fontId="23" fillId="0" borderId="0" xfId="0" applyFont="1" applyFill="1" applyBorder="1" applyAlignment="1">
      <alignment vertical="center"/>
    </xf>
    <xf numFmtId="0" fontId="4" fillId="0" borderId="0" xfId="0" applyFont="1"/>
    <xf numFmtId="0" fontId="14" fillId="0" borderId="0" xfId="0" applyFont="1"/>
    <xf numFmtId="0" fontId="24" fillId="0" borderId="0" xfId="0" applyFont="1" applyBorder="1"/>
    <xf numFmtId="167" fontId="17" fillId="0" borderId="0" xfId="0" applyNumberFormat="1" applyFont="1" applyBorder="1"/>
    <xf numFmtId="0" fontId="24" fillId="0" borderId="0" xfId="0" applyFont="1" applyFill="1" applyBorder="1"/>
    <xf numFmtId="189" fontId="17" fillId="0" borderId="0" xfId="0" applyNumberFormat="1" applyFont="1" applyBorder="1"/>
    <xf numFmtId="0" fontId="8" fillId="0" borderId="0" xfId="0" applyFont="1" applyFill="1" applyBorder="1" applyAlignment="1">
      <alignment horizontal="right"/>
    </xf>
    <xf numFmtId="190" fontId="17" fillId="0" borderId="0" xfId="0" applyNumberFormat="1" applyFont="1" applyBorder="1"/>
    <xf numFmtId="190" fontId="14" fillId="0" borderId="0" xfId="0" applyNumberFormat="1" applyFont="1" applyBorder="1"/>
    <xf numFmtId="168" fontId="14" fillId="0" borderId="0" xfId="0" applyNumberFormat="1" applyFont="1" applyBorder="1" applyAlignment="1">
      <alignment horizontal="center"/>
    </xf>
    <xf numFmtId="167" fontId="3" fillId="0" borderId="0" xfId="0" applyNumberFormat="1" applyFont="1" applyBorder="1"/>
    <xf numFmtId="0" fontId="17" fillId="0" borderId="0" xfId="0" applyFont="1" applyBorder="1" applyAlignment="1">
      <alignment horizontal="right"/>
    </xf>
    <xf numFmtId="168" fontId="14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89" fontId="3" fillId="0" borderId="0" xfId="0" applyNumberFormat="1" applyFont="1" applyBorder="1"/>
    <xf numFmtId="2" fontId="3" fillId="0" borderId="0" xfId="0" applyNumberFormat="1" applyFont="1" applyBorder="1"/>
    <xf numFmtId="0" fontId="0" fillId="0" borderId="0" xfId="0" applyFill="1" applyBorder="1" applyAlignment="1"/>
    <xf numFmtId="0" fontId="14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178" fontId="3" fillId="0" borderId="4" xfId="0" applyNumberFormat="1" applyFont="1" applyBorder="1" applyAlignment="1">
      <alignment horizontal="right" vertical="center"/>
    </xf>
    <xf numFmtId="178" fontId="3" fillId="0" borderId="5" xfId="0" applyNumberFormat="1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right" vertical="center"/>
    </xf>
    <xf numFmtId="178" fontId="20" fillId="0" borderId="0" xfId="0" applyNumberFormat="1" applyFont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168" fontId="14" fillId="0" borderId="0" xfId="0" applyNumberFormat="1" applyFont="1" applyBorder="1" applyAlignment="1">
      <alignment horizontal="left"/>
    </xf>
    <xf numFmtId="0" fontId="0" fillId="0" borderId="0" xfId="0" applyBorder="1"/>
    <xf numFmtId="0" fontId="19" fillId="0" borderId="0" xfId="0" applyFont="1" applyFill="1" applyBorder="1" applyAlignment="1">
      <alignment horizontal="centerContinuous"/>
    </xf>
    <xf numFmtId="0" fontId="19" fillId="0" borderId="0" xfId="0" applyFont="1" applyFill="1" applyBorder="1" applyAlignment="1">
      <alignment horizontal="center"/>
    </xf>
    <xf numFmtId="10" fontId="3" fillId="0" borderId="0" xfId="0" applyNumberFormat="1" applyFont="1" applyBorder="1"/>
    <xf numFmtId="168" fontId="3" fillId="2" borderId="0" xfId="0" applyNumberFormat="1" applyFont="1" applyFill="1" applyBorder="1" applyAlignment="1">
      <alignment horizontal="right" vertical="center"/>
    </xf>
    <xf numFmtId="0" fontId="21" fillId="3" borderId="0" xfId="0" applyFont="1" applyFill="1" applyBorder="1" applyAlignment="1">
      <alignment vertical="center"/>
    </xf>
    <xf numFmtId="178" fontId="3" fillId="2" borderId="0" xfId="0" applyNumberFormat="1" applyFont="1" applyFill="1" applyBorder="1" applyAlignment="1">
      <alignment horizontal="right" vertical="center"/>
    </xf>
    <xf numFmtId="178" fontId="18" fillId="0" borderId="0" xfId="0" applyNumberFormat="1" applyFont="1" applyBorder="1" applyAlignment="1">
      <alignment horizontal="right" vertical="center"/>
    </xf>
    <xf numFmtId="168" fontId="18" fillId="0" borderId="0" xfId="0" applyNumberFormat="1" applyFont="1" applyBorder="1" applyAlignment="1">
      <alignment horizontal="right" vertical="center"/>
    </xf>
    <xf numFmtId="168" fontId="17" fillId="2" borderId="0" xfId="0" applyNumberFormat="1" applyFont="1" applyFill="1" applyBorder="1" applyAlignment="1">
      <alignment horizontal="right" vertical="center"/>
    </xf>
    <xf numFmtId="178" fontId="17" fillId="2" borderId="0" xfId="0" applyNumberFormat="1" applyFont="1" applyFill="1" applyBorder="1" applyAlignment="1">
      <alignment horizontal="right" vertical="center"/>
    </xf>
    <xf numFmtId="0" fontId="23" fillId="3" borderId="0" xfId="0" applyFont="1" applyFill="1" applyBorder="1" applyAlignment="1">
      <alignment vertical="center"/>
    </xf>
    <xf numFmtId="0" fontId="25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3" fillId="0" borderId="0" xfId="0" applyFont="1"/>
    <xf numFmtId="193" fontId="3" fillId="0" borderId="0" xfId="0" quotePrefix="1" applyNumberFormat="1" applyFont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27" fillId="0" borderId="0" xfId="0" applyFont="1"/>
    <xf numFmtId="178" fontId="5" fillId="0" borderId="0" xfId="0" applyNumberFormat="1" applyFont="1" applyBorder="1" applyAlignment="1">
      <alignment horizontal="right" vertical="center"/>
    </xf>
    <xf numFmtId="178" fontId="18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textRotation="90"/>
    </xf>
    <xf numFmtId="10" fontId="14" fillId="0" borderId="0" xfId="0" applyNumberFormat="1" applyFont="1" applyBorder="1"/>
    <xf numFmtId="178" fontId="15" fillId="0" borderId="0" xfId="0" applyNumberFormat="1" applyFont="1"/>
    <xf numFmtId="0" fontId="28" fillId="4" borderId="0" xfId="0" applyFont="1" applyFill="1" applyBorder="1" applyAlignment="1">
      <alignment vertical="center"/>
    </xf>
    <xf numFmtId="0" fontId="29" fillId="4" borderId="0" xfId="0" applyFont="1" applyFill="1" applyBorder="1" applyAlignment="1">
      <alignment vertical="center"/>
    </xf>
    <xf numFmtId="0" fontId="30" fillId="4" borderId="0" xfId="0" applyFont="1" applyFill="1" applyBorder="1" applyAlignment="1">
      <alignment vertical="center"/>
    </xf>
    <xf numFmtId="0" fontId="17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89" fontId="17" fillId="0" borderId="7" xfId="0" applyNumberFormat="1" applyFont="1" applyBorder="1"/>
    <xf numFmtId="189" fontId="3" fillId="0" borderId="7" xfId="0" applyNumberFormat="1" applyFont="1" applyBorder="1"/>
    <xf numFmtId="0" fontId="17" fillId="0" borderId="9" xfId="0" applyFont="1" applyBorder="1" applyAlignment="1">
      <alignment horizontal="right"/>
    </xf>
    <xf numFmtId="167" fontId="17" fillId="0" borderId="10" xfId="0" applyNumberFormat="1" applyFont="1" applyBorder="1"/>
    <xf numFmtId="189" fontId="17" fillId="0" borderId="11" xfId="0" applyNumberFormat="1" applyFont="1" applyBorder="1"/>
    <xf numFmtId="0" fontId="3" fillId="0" borderId="9" xfId="0" applyFont="1" applyBorder="1" applyAlignment="1">
      <alignment horizontal="right"/>
    </xf>
    <xf numFmtId="167" fontId="3" fillId="0" borderId="10" xfId="0" applyNumberFormat="1" applyFont="1" applyBorder="1"/>
    <xf numFmtId="189" fontId="3" fillId="0" borderId="11" xfId="0" applyNumberFormat="1" applyFont="1" applyBorder="1"/>
    <xf numFmtId="0" fontId="14" fillId="0" borderId="7" xfId="0" applyFont="1" applyBorder="1" applyAlignment="1">
      <alignment horizontal="center"/>
    </xf>
    <xf numFmtId="10" fontId="14" fillId="0" borderId="12" xfId="0" applyNumberFormat="1" applyFont="1" applyBorder="1"/>
    <xf numFmtId="10" fontId="14" fillId="0" borderId="13" xfId="0" applyNumberFormat="1" applyFont="1" applyBorder="1"/>
    <xf numFmtId="10" fontId="14" fillId="0" borderId="14" xfId="0" applyNumberFormat="1" applyFont="1" applyBorder="1"/>
    <xf numFmtId="10" fontId="14" fillId="0" borderId="15" xfId="0" applyNumberFormat="1" applyFont="1" applyBorder="1"/>
    <xf numFmtId="10" fontId="14" fillId="0" borderId="10" xfId="0" applyNumberFormat="1" applyFont="1" applyBorder="1"/>
    <xf numFmtId="10" fontId="14" fillId="0" borderId="16" xfId="0" applyNumberFormat="1" applyFont="1" applyBorder="1"/>
    <xf numFmtId="10" fontId="14" fillId="0" borderId="17" xfId="0" applyNumberFormat="1" applyFont="1" applyBorder="1"/>
    <xf numFmtId="10" fontId="14" fillId="0" borderId="18" xfId="0" applyNumberFormat="1" applyFont="1" applyBorder="1"/>
    <xf numFmtId="0" fontId="9" fillId="4" borderId="0" xfId="0" applyFont="1" applyFill="1" applyBorder="1" applyAlignment="1">
      <alignment vertical="center"/>
    </xf>
    <xf numFmtId="0" fontId="17" fillId="0" borderId="10" xfId="0" applyFont="1" applyBorder="1" applyAlignment="1">
      <alignment horizontal="right"/>
    </xf>
    <xf numFmtId="189" fontId="17" fillId="0" borderId="10" xfId="0" applyNumberFormat="1" applyFont="1" applyBorder="1"/>
    <xf numFmtId="0" fontId="8" fillId="0" borderId="10" xfId="0" applyFont="1" applyBorder="1"/>
    <xf numFmtId="168" fontId="17" fillId="0" borderId="10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right"/>
    </xf>
    <xf numFmtId="0" fontId="6" fillId="0" borderId="10" xfId="1" applyFont="1" applyBorder="1"/>
    <xf numFmtId="168" fontId="3" fillId="0" borderId="10" xfId="0" applyNumberFormat="1" applyFont="1" applyBorder="1" applyAlignment="1">
      <alignment horizontal="right" vertical="center"/>
    </xf>
    <xf numFmtId="168" fontId="17" fillId="0" borderId="17" xfId="0" applyNumberFormat="1" applyFont="1" applyBorder="1" applyAlignment="1">
      <alignment horizontal="right" vertical="center"/>
    </xf>
    <xf numFmtId="168" fontId="17" fillId="0" borderId="18" xfId="0" applyNumberFormat="1" applyFont="1" applyBorder="1" applyAlignment="1">
      <alignment horizontal="right" vertical="center"/>
    </xf>
    <xf numFmtId="168" fontId="3" fillId="0" borderId="17" xfId="0" applyNumberFormat="1" applyFont="1" applyBorder="1" applyAlignment="1">
      <alignment horizontal="right" vertical="center"/>
    </xf>
    <xf numFmtId="168" fontId="3" fillId="0" borderId="18" xfId="0" applyNumberFormat="1" applyFont="1" applyBorder="1" applyAlignment="1">
      <alignment horizontal="right" vertical="center"/>
    </xf>
    <xf numFmtId="0" fontId="14" fillId="0" borderId="12" xfId="0" applyFont="1" applyBorder="1"/>
    <xf numFmtId="0" fontId="8" fillId="0" borderId="13" xfId="0" applyFont="1" applyBorder="1"/>
    <xf numFmtId="10" fontId="3" fillId="0" borderId="14" xfId="0" applyNumberFormat="1" applyFont="1" applyBorder="1"/>
    <xf numFmtId="0" fontId="14" fillId="0" borderId="15" xfId="0" applyFont="1" applyBorder="1"/>
    <xf numFmtId="10" fontId="3" fillId="0" borderId="10" xfId="0" applyNumberFormat="1" applyFont="1" applyBorder="1"/>
    <xf numFmtId="0" fontId="14" fillId="0" borderId="16" xfId="0" applyFont="1" applyBorder="1"/>
    <xf numFmtId="0" fontId="8" fillId="0" borderId="17" xfId="0" applyFont="1" applyFill="1" applyBorder="1" applyAlignment="1">
      <alignment horizontal="right"/>
    </xf>
    <xf numFmtId="10" fontId="3" fillId="0" borderId="18" xfId="0" applyNumberFormat="1" applyFont="1" applyBorder="1"/>
    <xf numFmtId="0" fontId="4" fillId="0" borderId="19" xfId="0" applyFont="1" applyBorder="1"/>
    <xf numFmtId="0" fontId="4" fillId="0" borderId="6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31" fillId="0" borderId="21" xfId="0" applyFont="1" applyBorder="1"/>
    <xf numFmtId="0" fontId="33" fillId="0" borderId="0" xfId="0" applyFont="1"/>
    <xf numFmtId="0" fontId="32" fillId="0" borderId="0" xfId="0" applyFont="1"/>
    <xf numFmtId="0" fontId="2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24" fillId="0" borderId="0" xfId="0" applyFont="1"/>
    <xf numFmtId="0" fontId="40" fillId="0" borderId="0" xfId="2" applyFont="1" applyFill="1" applyBorder="1"/>
    <xf numFmtId="0" fontId="37" fillId="0" borderId="0" xfId="0" applyFont="1" applyBorder="1"/>
    <xf numFmtId="0" fontId="38" fillId="0" borderId="0" xfId="0" applyFont="1" applyBorder="1"/>
    <xf numFmtId="0" fontId="4" fillId="0" borderId="0" xfId="0" applyFont="1" applyFill="1" applyBorder="1"/>
    <xf numFmtId="0" fontId="37" fillId="0" borderId="0" xfId="0" applyFont="1" applyFill="1" applyBorder="1"/>
    <xf numFmtId="0" fontId="38" fillId="0" borderId="0" xfId="0" applyFont="1" applyFill="1" applyBorder="1"/>
    <xf numFmtId="0" fontId="33" fillId="0" borderId="0" xfId="0" applyFont="1" applyFill="1" applyBorder="1"/>
    <xf numFmtId="0" fontId="22" fillId="0" borderId="0" xfId="0" applyFont="1" applyFill="1" applyBorder="1"/>
    <xf numFmtId="179" fontId="37" fillId="0" borderId="0" xfId="2" applyNumberFormat="1" applyFont="1" applyFill="1" applyBorder="1" applyAlignment="1">
      <alignment horizontal="center"/>
    </xf>
    <xf numFmtId="0" fontId="2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1" fillId="0" borderId="0" xfId="2" applyFont="1" applyFill="1" applyBorder="1"/>
    <xf numFmtId="0" fontId="39" fillId="0" borderId="0" xfId="0" applyFont="1" applyBorder="1"/>
    <xf numFmtId="0" fontId="4" fillId="0" borderId="23" xfId="0" applyFont="1" applyBorder="1"/>
    <xf numFmtId="0" fontId="4" fillId="0" borderId="7" xfId="0" applyFont="1" applyBorder="1"/>
    <xf numFmtId="0" fontId="4" fillId="0" borderId="24" xfId="0" applyFont="1" applyBorder="1"/>
    <xf numFmtId="0" fontId="0" fillId="0" borderId="19" xfId="0" applyBorder="1"/>
    <xf numFmtId="0" fontId="0" fillId="0" borderId="6" xfId="0" applyBorder="1"/>
    <xf numFmtId="0" fontId="0" fillId="0" borderId="20" xfId="0" applyBorder="1"/>
    <xf numFmtId="0" fontId="0" fillId="0" borderId="23" xfId="0" applyBorder="1"/>
    <xf numFmtId="0" fontId="0" fillId="0" borderId="7" xfId="0" applyBorder="1"/>
    <xf numFmtId="0" fontId="0" fillId="0" borderId="24" xfId="0" applyBorder="1"/>
    <xf numFmtId="0" fontId="19" fillId="0" borderId="22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0" fillId="0" borderId="21" xfId="0" applyBorder="1"/>
  </cellXfs>
  <cellStyles count="3">
    <cellStyle name="Hyperlink" xfId="2" builtinId="8"/>
    <cellStyle name="Normal" xfId="0" builtinId="0"/>
    <cellStyle name="Normal 2" xfId="1" xr:uid="{661DF18B-85EE-496B-B905-81371EA9EA6B}"/>
  </cellStyles>
  <dxfs count="0"/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Outputs!$D$15</c:f>
              <c:strCache>
                <c:ptCount val="1"/>
                <c:pt idx="0">
                  <c:v> Worst Case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Outputs!$I$6:$R$7</c:f>
              <c:multiLvlStrCache>
                <c:ptCount val="10"/>
                <c:lvl>
                  <c:pt idx="0">
                    <c:v>Q3 </c:v>
                  </c:pt>
                  <c:pt idx="1">
                    <c:v>Q4 </c:v>
                  </c:pt>
                  <c:pt idx="2">
                    <c:v>Q1 </c:v>
                  </c:pt>
                  <c:pt idx="3">
                    <c:v>Q2 </c:v>
                  </c:pt>
                  <c:pt idx="4">
                    <c:v>Q3 </c:v>
                  </c:pt>
                  <c:pt idx="5">
                    <c:v>Q4 </c:v>
                  </c:pt>
                  <c:pt idx="6">
                    <c:v>Q1 </c:v>
                  </c:pt>
                  <c:pt idx="7">
                    <c:v>Q2 </c:v>
                  </c:pt>
                  <c:pt idx="8">
                    <c:v>Q3 </c:v>
                  </c:pt>
                  <c:pt idx="9">
                    <c:v>Q4 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  <c:pt idx="6">
                    <c:v>2027</c:v>
                  </c:pt>
                </c:lvl>
              </c:multiLvlStrCache>
            </c:multiLvlStrRef>
          </c:cat>
          <c:val>
            <c:numRef>
              <c:f>Outputs!$I$15:$R$15</c:f>
              <c:numCache>
                <c:formatCode>_(#,##0_);\(#,##0\);_("–"_);_(@_)</c:formatCode>
                <c:ptCount val="10"/>
                <c:pt idx="0">
                  <c:v>263641</c:v>
                </c:pt>
                <c:pt idx="1">
                  <c:v>268854</c:v>
                </c:pt>
                <c:pt idx="2">
                  <c:v>280928.04998496821</c:v>
                </c:pt>
                <c:pt idx="3">
                  <c:v>296369.96489058039</c:v>
                </c:pt>
                <c:pt idx="4">
                  <c:v>315674.38628895872</c:v>
                </c:pt>
                <c:pt idx="5">
                  <c:v>339481.1203622605</c:v>
                </c:pt>
                <c:pt idx="6">
                  <c:v>368535.33875114465</c:v>
                </c:pt>
                <c:pt idx="7">
                  <c:v>403782.93730364338</c:v>
                </c:pt>
                <c:pt idx="8">
                  <c:v>446507.65547441033</c:v>
                </c:pt>
                <c:pt idx="9">
                  <c:v>498342.88641609548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B-455A-8242-08B9A694E186}"/>
            </c:ext>
          </c:extLst>
        </c:ser>
        <c:ser>
          <c:idx val="1"/>
          <c:order val="1"/>
          <c:tx>
            <c:strRef>
              <c:f>Outputs!$D$16</c:f>
              <c:strCache>
                <c:ptCount val="1"/>
                <c:pt idx="0">
                  <c:v> Base Case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multiLvlStrRef>
              <c:f>Outputs!$I$6:$R$7</c:f>
              <c:multiLvlStrCache>
                <c:ptCount val="10"/>
                <c:lvl>
                  <c:pt idx="0">
                    <c:v>Q3 </c:v>
                  </c:pt>
                  <c:pt idx="1">
                    <c:v>Q4 </c:v>
                  </c:pt>
                  <c:pt idx="2">
                    <c:v>Q1 </c:v>
                  </c:pt>
                  <c:pt idx="3">
                    <c:v>Q2 </c:v>
                  </c:pt>
                  <c:pt idx="4">
                    <c:v>Q3 </c:v>
                  </c:pt>
                  <c:pt idx="5">
                    <c:v>Q4 </c:v>
                  </c:pt>
                  <c:pt idx="6">
                    <c:v>Q1 </c:v>
                  </c:pt>
                  <c:pt idx="7">
                    <c:v>Q2 </c:v>
                  </c:pt>
                  <c:pt idx="8">
                    <c:v>Q3 </c:v>
                  </c:pt>
                  <c:pt idx="9">
                    <c:v>Q4 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  <c:pt idx="6">
                    <c:v>2027</c:v>
                  </c:pt>
                </c:lvl>
              </c:multiLvlStrCache>
            </c:multiLvlStrRef>
          </c:cat>
          <c:val>
            <c:numRef>
              <c:f>Outputs!$I$16:$R$16</c:f>
              <c:numCache>
                <c:formatCode>_(#,##0_);\(#,##0\);_("–"_);_(@_)</c:formatCode>
                <c:ptCount val="10"/>
                <c:pt idx="0">
                  <c:v>263641</c:v>
                </c:pt>
                <c:pt idx="1">
                  <c:v>268854</c:v>
                </c:pt>
                <c:pt idx="2">
                  <c:v>283616.58998496825</c:v>
                </c:pt>
                <c:pt idx="3">
                  <c:v>302042.45313506445</c:v>
                </c:pt>
                <c:pt idx="4">
                  <c:v>324736.78354844986</c:v>
                </c:pt>
                <c:pt idx="5">
                  <c:v>352474.33045940951</c:v>
                </c:pt>
                <c:pt idx="6">
                  <c:v>386165.30557894334</c:v>
                </c:pt>
                <c:pt idx="7">
                  <c:v>426960.72925242857</c:v>
                </c:pt>
                <c:pt idx="8">
                  <c:v>476407.52245852555</c:v>
                </c:pt>
                <c:pt idx="9">
                  <c:v>536477.91471088014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B-455A-8242-08B9A694E186}"/>
            </c:ext>
          </c:extLst>
        </c:ser>
        <c:ser>
          <c:idx val="2"/>
          <c:order val="2"/>
          <c:tx>
            <c:strRef>
              <c:f>Outputs!$D$17</c:f>
              <c:strCache>
                <c:ptCount val="1"/>
                <c:pt idx="0">
                  <c:v> Best Case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6350">
                <a:solidFill>
                  <a:schemeClr val="accent6"/>
                </a:solidFill>
              </a:ln>
              <a:effectLst/>
            </c:spPr>
          </c:marker>
          <c:cat>
            <c:multiLvlStrRef>
              <c:f>Outputs!$I$6:$R$7</c:f>
              <c:multiLvlStrCache>
                <c:ptCount val="10"/>
                <c:lvl>
                  <c:pt idx="0">
                    <c:v>Q3 </c:v>
                  </c:pt>
                  <c:pt idx="1">
                    <c:v>Q4 </c:v>
                  </c:pt>
                  <c:pt idx="2">
                    <c:v>Q1 </c:v>
                  </c:pt>
                  <c:pt idx="3">
                    <c:v>Q2 </c:v>
                  </c:pt>
                  <c:pt idx="4">
                    <c:v>Q3 </c:v>
                  </c:pt>
                  <c:pt idx="5">
                    <c:v>Q4 </c:v>
                  </c:pt>
                  <c:pt idx="6">
                    <c:v>Q1 </c:v>
                  </c:pt>
                  <c:pt idx="7">
                    <c:v>Q2 </c:v>
                  </c:pt>
                  <c:pt idx="8">
                    <c:v>Q3 </c:v>
                  </c:pt>
                  <c:pt idx="9">
                    <c:v>Q4 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  <c:pt idx="6">
                    <c:v>2027</c:v>
                  </c:pt>
                </c:lvl>
              </c:multiLvlStrCache>
            </c:multiLvlStrRef>
          </c:cat>
          <c:val>
            <c:numRef>
              <c:f>Outputs!$I$17:$R$17</c:f>
              <c:numCache>
                <c:formatCode>_(#,##0_);\(#,##0\);_("–"_);_(@_)</c:formatCode>
                <c:ptCount val="10"/>
                <c:pt idx="0">
                  <c:v>263641</c:v>
                </c:pt>
                <c:pt idx="1">
                  <c:v>268854</c:v>
                </c:pt>
                <c:pt idx="2">
                  <c:v>286305.12998496817</c:v>
                </c:pt>
                <c:pt idx="3">
                  <c:v>307768.71217954846</c:v>
                </c:pt>
                <c:pt idx="4">
                  <c:v>333970.97921588155</c:v>
                </c:pt>
                <c:pt idx="5">
                  <c:v>365836.9791365423</c:v>
                </c:pt>
                <c:pt idx="6">
                  <c:v>404463.5820637219</c:v>
                </c:pt>
                <c:pt idx="7">
                  <c:v>451236.71511703415</c:v>
                </c:pt>
                <c:pt idx="8">
                  <c:v>508007.30418584368</c:v>
                </c:pt>
                <c:pt idx="9">
                  <c:v>577142.19708450115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B-455A-8242-08B9A694E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36879"/>
        <c:axId val="64637839"/>
      </c:lineChart>
      <c:catAx>
        <c:axId val="646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4637839"/>
        <c:crosses val="autoZero"/>
        <c:auto val="1"/>
        <c:lblAlgn val="ctr"/>
        <c:lblOffset val="100"/>
        <c:noMultiLvlLbl val="0"/>
      </c:catAx>
      <c:valAx>
        <c:axId val="64637839"/>
        <c:scaling>
          <c:orientation val="minMax"/>
          <c:min val="20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4636879"/>
        <c:crosses val="autoZero"/>
        <c:crossBetween val="between"/>
        <c:majorUnit val="100000"/>
        <c:minorUnit val="1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E$11" fmlaRange="$D$15:$D$17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10</xdr:row>
      <xdr:rowOff>91714</xdr:rowOff>
    </xdr:from>
    <xdr:to>
      <xdr:col>7</xdr:col>
      <xdr:colOff>704851</xdr:colOff>
      <xdr:row>13</xdr:row>
      <xdr:rowOff>19050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AAE4F06-85F8-4E0D-8C36-B64C5FD7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05026" y="2158639"/>
          <a:ext cx="4248150" cy="632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</xdr:colOff>
          <xdr:row>10</xdr:row>
          <xdr:rowOff>0</xdr:rowOff>
        </xdr:from>
        <xdr:to>
          <xdr:col>5</xdr:col>
          <xdr:colOff>0</xdr:colOff>
          <xdr:row>11</xdr:row>
          <xdr:rowOff>0</xdr:rowOff>
        </xdr:to>
        <xdr:sp macro="" textlink="">
          <xdr:nvSpPr>
            <xdr:cNvPr id="7170" name="Drop Dow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</xdr:colOff>
      <xdr:row>41</xdr:row>
      <xdr:rowOff>1</xdr:rowOff>
    </xdr:from>
    <xdr:to>
      <xdr:col>11</xdr:col>
      <xdr:colOff>0</xdr:colOff>
      <xdr:row>62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21CC5-D046-3AAB-C3B2-D6AA5974B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304800</xdr:colOff>
      <xdr:row>0</xdr:row>
      <xdr:rowOff>285750</xdr:rowOff>
    </xdr:from>
    <xdr:to>
      <xdr:col>5</xdr:col>
      <xdr:colOff>85725</xdr:colOff>
      <xdr:row>0</xdr:row>
      <xdr:rowOff>714375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2717C983-FA23-CA9A-2EF7-C9FD50CC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14400" y="285750"/>
          <a:ext cx="2847975" cy="428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228600</xdr:rowOff>
    </xdr:from>
    <xdr:to>
      <xdr:col>5</xdr:col>
      <xdr:colOff>657225</xdr:colOff>
      <xdr:row>0</xdr:row>
      <xdr:rowOff>657225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C32D58E-DC11-4D6C-84E3-A3AADE9C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228600"/>
          <a:ext cx="2847975" cy="428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feli\Downloads\Book4.xlsx" TargetMode="External"/><Relationship Id="rId1" Type="http://schemas.openxmlformats.org/officeDocument/2006/relationships/externalLinkPath" Target="Book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ard"/>
    </sheetNames>
    <sheetDataSet>
      <sheetData sheetId="0">
        <row r="34">
          <cell r="R34">
            <v>0.23866142131708051</v>
          </cell>
          <cell r="S34">
            <v>0.24606612694034211</v>
          </cell>
          <cell r="T34">
            <v>0.25370057084750636</v>
          </cell>
          <cell r="U34">
            <v>0.261571880895071</v>
          </cell>
        </row>
        <row r="184">
          <cell r="M184">
            <v>-12974</v>
          </cell>
          <cell r="N184">
            <v>-1359</v>
          </cell>
          <cell r="O184">
            <v>-9746</v>
          </cell>
          <cell r="P184">
            <v>-9240</v>
          </cell>
        </row>
        <row r="242">
          <cell r="M242">
            <v>8741.847691775929</v>
          </cell>
          <cell r="N242">
            <v>7293.515274456513</v>
          </cell>
          <cell r="O242">
            <v>9193.4272363487216</v>
          </cell>
          <cell r="P242">
            <v>9375.2097974188346</v>
          </cell>
          <cell r="Q242">
            <v>34604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93C7-F2CF-41F4-B4E7-48CE1F92E2FE}">
  <dimension ref="C2:Q38"/>
  <sheetViews>
    <sheetView showGridLines="0" tabSelected="1" workbookViewId="0"/>
  </sheetViews>
  <sheetFormatPr defaultRowHeight="15" x14ac:dyDescent="0.25"/>
  <cols>
    <col min="3" max="17" width="13.28515625" customWidth="1"/>
  </cols>
  <sheetData>
    <row r="2" spans="3:17" ht="15.75" thickBot="1" x14ac:dyDescent="0.3"/>
    <row r="3" spans="3:17" ht="16.5" x14ac:dyDescent="0.3">
      <c r="C3" s="124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</row>
    <row r="4" spans="3:17" ht="16.5" x14ac:dyDescent="0.3">
      <c r="C4" s="1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128"/>
    </row>
    <row r="5" spans="3:17" ht="16.5" x14ac:dyDescent="0.3">
      <c r="C5" s="1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128"/>
    </row>
    <row r="6" spans="3:17" ht="16.5" x14ac:dyDescent="0.3">
      <c r="C6" s="1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28"/>
    </row>
    <row r="7" spans="3:17" ht="16.5" x14ac:dyDescent="0.3">
      <c r="C7" s="1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128"/>
    </row>
    <row r="8" spans="3:17" ht="16.5" x14ac:dyDescent="0.3">
      <c r="C8" s="1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128"/>
    </row>
    <row r="9" spans="3:17" ht="16.5" x14ac:dyDescent="0.3">
      <c r="C9" s="1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28"/>
    </row>
    <row r="10" spans="3:17" ht="16.5" x14ac:dyDescent="0.3">
      <c r="C10" s="1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128"/>
    </row>
    <row r="11" spans="3:17" ht="16.5" x14ac:dyDescent="0.3">
      <c r="C11" s="1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128"/>
    </row>
    <row r="12" spans="3:17" ht="16.5" x14ac:dyDescent="0.3">
      <c r="C12" s="127"/>
      <c r="K12" s="27"/>
      <c r="L12" s="27"/>
      <c r="M12" s="27"/>
      <c r="N12" s="27"/>
      <c r="O12" s="27"/>
      <c r="P12" s="27"/>
      <c r="Q12" s="128"/>
    </row>
    <row r="13" spans="3:17" ht="22.5" x14ac:dyDescent="0.4">
      <c r="C13" s="127"/>
      <c r="I13" s="135"/>
      <c r="J13" s="135"/>
      <c r="K13" s="27"/>
      <c r="L13" s="27"/>
      <c r="M13" s="27"/>
      <c r="N13" s="27"/>
      <c r="O13" s="27"/>
      <c r="P13" s="27"/>
      <c r="Q13" s="128"/>
    </row>
    <row r="14" spans="3:17" ht="22.5" x14ac:dyDescent="0.4">
      <c r="C14" s="127"/>
      <c r="I14" s="135"/>
      <c r="J14" s="135"/>
      <c r="K14" s="27"/>
      <c r="L14" s="27"/>
      <c r="M14" s="27"/>
      <c r="N14" s="27"/>
      <c r="O14" s="27"/>
      <c r="P14" s="27"/>
      <c r="Q14" s="128"/>
    </row>
    <row r="15" spans="3:17" ht="22.5" x14ac:dyDescent="0.4">
      <c r="C15" s="127"/>
      <c r="D15" s="134" t="s">
        <v>48</v>
      </c>
      <c r="E15" s="135"/>
      <c r="F15" s="135"/>
      <c r="G15" s="135"/>
      <c r="H15" s="135"/>
      <c r="I15" s="27"/>
      <c r="J15" s="27"/>
      <c r="K15" s="140"/>
      <c r="L15" s="140"/>
      <c r="M15" s="140"/>
      <c r="N15" s="140"/>
      <c r="O15" s="140"/>
      <c r="P15" s="140"/>
      <c r="Q15" s="128"/>
    </row>
    <row r="16" spans="3:17" ht="22.5" x14ac:dyDescent="0.4">
      <c r="C16" s="129"/>
      <c r="D16" s="135" t="s">
        <v>49</v>
      </c>
      <c r="E16" s="135"/>
      <c r="F16" s="135"/>
      <c r="G16" s="135"/>
      <c r="H16" s="135"/>
      <c r="I16" s="136"/>
      <c r="J16" s="136"/>
      <c r="K16" s="31"/>
      <c r="L16" s="141"/>
      <c r="M16" s="142"/>
      <c r="N16" s="143"/>
      <c r="O16" s="143"/>
      <c r="P16" s="143"/>
      <c r="Q16" s="128"/>
    </row>
    <row r="17" spans="3:17" ht="21" x14ac:dyDescent="0.4">
      <c r="C17" s="129"/>
      <c r="D17" s="138"/>
      <c r="E17" s="139"/>
      <c r="F17" s="149"/>
      <c r="G17" s="149"/>
      <c r="H17" s="136"/>
      <c r="I17" s="136"/>
      <c r="J17" s="136"/>
      <c r="K17" s="31"/>
      <c r="L17" s="141"/>
      <c r="M17" s="142"/>
      <c r="N17" s="143"/>
      <c r="O17" s="143"/>
      <c r="P17" s="143"/>
      <c r="Q17" s="128"/>
    </row>
    <row r="18" spans="3:17" ht="21" x14ac:dyDescent="0.4">
      <c r="C18" s="129"/>
      <c r="D18" s="149"/>
      <c r="E18" s="137"/>
      <c r="F18" s="29"/>
      <c r="G18" s="29"/>
      <c r="H18" s="136"/>
      <c r="I18" s="136"/>
      <c r="J18" s="136"/>
      <c r="K18" s="31"/>
      <c r="L18" s="144"/>
      <c r="M18" s="145"/>
      <c r="N18" s="146"/>
      <c r="O18" s="147"/>
      <c r="P18" s="147"/>
      <c r="Q18" s="128"/>
    </row>
    <row r="19" spans="3:17" ht="21" x14ac:dyDescent="0.4">
      <c r="C19" s="129"/>
      <c r="D19" s="149"/>
      <c r="E19" s="137"/>
      <c r="F19" s="139"/>
      <c r="G19" s="139"/>
      <c r="H19" s="136"/>
      <c r="I19" s="136"/>
      <c r="J19" s="136"/>
      <c r="K19" s="31"/>
      <c r="L19" s="31"/>
      <c r="M19" s="148"/>
      <c r="N19" s="146"/>
      <c r="O19" s="140"/>
      <c r="P19" s="140"/>
      <c r="Q19" s="128"/>
    </row>
    <row r="20" spans="3:17" ht="21" x14ac:dyDescent="0.4">
      <c r="C20" s="129"/>
      <c r="D20" s="149"/>
      <c r="E20" s="137"/>
      <c r="F20" s="139"/>
      <c r="G20" s="139"/>
      <c r="H20" s="136"/>
      <c r="I20" s="136"/>
      <c r="J20" s="136"/>
      <c r="K20" s="136"/>
      <c r="L20" s="136"/>
      <c r="M20" s="136"/>
      <c r="N20" s="27"/>
      <c r="O20" s="27"/>
      <c r="P20" s="27"/>
      <c r="Q20" s="128"/>
    </row>
    <row r="21" spans="3:17" ht="21" x14ac:dyDescent="0.4">
      <c r="C21" s="129"/>
      <c r="D21" s="149"/>
      <c r="E21" s="137"/>
      <c r="F21" s="139"/>
      <c r="G21" s="139"/>
      <c r="H21" s="136"/>
      <c r="I21" s="136"/>
      <c r="J21" s="136"/>
      <c r="K21" s="136"/>
      <c r="L21" s="136"/>
      <c r="M21" s="136"/>
      <c r="N21" s="27"/>
      <c r="O21" s="27"/>
      <c r="P21" s="27"/>
      <c r="Q21" s="128"/>
    </row>
    <row r="22" spans="3:17" ht="21" x14ac:dyDescent="0.4">
      <c r="C22" s="127"/>
      <c r="E22" s="130"/>
      <c r="F22" s="131"/>
      <c r="G22" s="132"/>
      <c r="H22" s="27"/>
      <c r="I22" s="27"/>
      <c r="J22" s="27"/>
      <c r="K22" s="27"/>
      <c r="L22" s="27"/>
      <c r="M22" s="27"/>
      <c r="N22" s="27"/>
      <c r="O22" s="27"/>
      <c r="P22" s="27"/>
      <c r="Q22" s="128"/>
    </row>
    <row r="23" spans="3:17" ht="21" x14ac:dyDescent="0.4">
      <c r="C23" s="127"/>
      <c r="D23" s="132"/>
      <c r="E23" s="131"/>
      <c r="F23" s="131"/>
      <c r="G23" s="132"/>
      <c r="H23" s="27"/>
      <c r="I23" s="27"/>
      <c r="J23" s="27"/>
      <c r="K23" s="27"/>
      <c r="L23" s="27"/>
      <c r="M23" s="27"/>
      <c r="N23" s="27"/>
      <c r="O23" s="27"/>
      <c r="P23" s="27"/>
      <c r="Q23" s="128"/>
    </row>
    <row r="24" spans="3:17" ht="16.5" x14ac:dyDescent="0.3">
      <c r="C24" s="127"/>
      <c r="D24" s="27"/>
      <c r="E24" s="133"/>
      <c r="F24" s="133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28"/>
    </row>
    <row r="25" spans="3:17" ht="16.5" x14ac:dyDescent="0.3">
      <c r="C25" s="1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128"/>
    </row>
    <row r="26" spans="3:17" ht="18" x14ac:dyDescent="0.35">
      <c r="C26" s="127"/>
      <c r="D26" s="136" t="s">
        <v>47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128"/>
    </row>
    <row r="27" spans="3:17" ht="16.5" x14ac:dyDescent="0.3">
      <c r="C27" s="1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128"/>
    </row>
    <row r="28" spans="3:17" ht="16.5" x14ac:dyDescent="0.3">
      <c r="C28" s="1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28"/>
    </row>
    <row r="29" spans="3:17" ht="16.5" x14ac:dyDescent="0.3">
      <c r="C29" s="1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128"/>
    </row>
    <row r="30" spans="3:17" ht="16.5" x14ac:dyDescent="0.3">
      <c r="C30" s="127"/>
      <c r="D30" s="64" t="s">
        <v>45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128"/>
    </row>
    <row r="31" spans="3:17" ht="16.5" x14ac:dyDescent="0.3">
      <c r="C31" s="127"/>
      <c r="D31" s="28" t="s">
        <v>46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128"/>
    </row>
    <row r="32" spans="3:17" ht="16.5" x14ac:dyDescent="0.3">
      <c r="C32" s="1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128"/>
    </row>
    <row r="33" spans="3:17" ht="16.5" x14ac:dyDescent="0.3">
      <c r="C33" s="127"/>
      <c r="K33" s="27"/>
      <c r="L33" s="27"/>
      <c r="M33" s="27"/>
      <c r="N33" s="27"/>
      <c r="O33" s="27"/>
      <c r="P33" s="27"/>
      <c r="Q33" s="128"/>
    </row>
    <row r="34" spans="3:17" ht="16.5" x14ac:dyDescent="0.3">
      <c r="C34" s="1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128"/>
    </row>
    <row r="35" spans="3:17" ht="17.25" thickBot="1" x14ac:dyDescent="0.35">
      <c r="C35" s="150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2"/>
    </row>
    <row r="36" spans="3:17" x14ac:dyDescent="0.25">
      <c r="C36" s="153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5"/>
    </row>
    <row r="37" spans="3:17" ht="38.25" customHeight="1" x14ac:dyDescent="0.25">
      <c r="C37" s="161"/>
      <c r="D37" s="160" t="s">
        <v>50</v>
      </c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59"/>
    </row>
    <row r="38" spans="3:17" ht="15.75" thickBot="1" x14ac:dyDescent="0.3">
      <c r="C38" s="156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8"/>
    </row>
  </sheetData>
  <mergeCells count="1">
    <mergeCell ref="D37:P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F468-1A69-4A7C-989D-825F2F3C9893}">
  <dimension ref="A1:AE9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3"/>
  <cols>
    <col min="1" max="1" width="9.140625" style="28"/>
    <col min="2" max="2" width="4.85546875" style="28" customWidth="1"/>
    <col min="3" max="3" width="4.140625" style="28" customWidth="1"/>
    <col min="4" max="4" width="23" style="28" customWidth="1"/>
    <col min="5" max="5" width="14" style="28" customWidth="1"/>
    <col min="6" max="6" width="8" style="28" customWidth="1"/>
    <col min="7" max="7" width="4.5703125" style="28" customWidth="1"/>
    <col min="8" max="8" width="7.28515625" style="28" customWidth="1"/>
    <col min="9" max="11" width="14.7109375" style="28" customWidth="1"/>
    <col min="12" max="17" width="13.42578125" style="28" customWidth="1"/>
    <col min="18" max="18" width="14" style="28" customWidth="1"/>
    <col min="19" max="16384" width="9.140625" style="28"/>
  </cols>
  <sheetData>
    <row r="1" spans="1:31" ht="72.75" customHeight="1" x14ac:dyDescent="0.3">
      <c r="A1" s="26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3" spans="1:31" s="17" customFormat="1" ht="18" x14ac:dyDescent="0.3">
      <c r="B3" s="83" t="s">
        <v>41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63"/>
      <c r="T3" s="63"/>
      <c r="U3" s="63"/>
      <c r="V3" s="63"/>
      <c r="W3" s="57"/>
      <c r="X3" s="57"/>
      <c r="Y3" s="57"/>
      <c r="Z3" s="57"/>
      <c r="AA3" s="57"/>
      <c r="AB3" s="57"/>
      <c r="AC3" s="57"/>
      <c r="AD3" s="57"/>
      <c r="AE3" s="26"/>
    </row>
    <row r="4" spans="1:31" x14ac:dyDescent="0.3">
      <c r="H4" s="66"/>
      <c r="I4" s="66"/>
    </row>
    <row r="5" spans="1:31" x14ac:dyDescent="0.3">
      <c r="H5" s="66"/>
      <c r="I5" s="66"/>
    </row>
    <row r="6" spans="1:31" x14ac:dyDescent="0.3">
      <c r="D6" s="17"/>
      <c r="E6" s="17"/>
      <c r="F6" s="17"/>
      <c r="G6" s="17"/>
      <c r="I6" s="85">
        <f>YEAR(I8)</f>
        <v>2025</v>
      </c>
      <c r="J6" s="89"/>
      <c r="K6" s="86">
        <f>YEAR(K8)</f>
        <v>2026</v>
      </c>
      <c r="L6" s="86"/>
      <c r="M6" s="86"/>
      <c r="N6" s="92"/>
      <c r="O6" s="86">
        <f>YEAR(O8)</f>
        <v>2027</v>
      </c>
      <c r="P6" s="86"/>
      <c r="Q6" s="86"/>
      <c r="R6" s="86"/>
    </row>
    <row r="7" spans="1:31" x14ac:dyDescent="0.3">
      <c r="I7" s="30">
        <v>3</v>
      </c>
      <c r="J7" s="90">
        <f t="shared" ref="I7:J7" si="0">I7+1</f>
        <v>4</v>
      </c>
      <c r="K7" s="37">
        <v>1</v>
      </c>
      <c r="L7" s="37">
        <f t="shared" ref="L7:N7" si="1">K7+1</f>
        <v>2</v>
      </c>
      <c r="M7" s="37">
        <f t="shared" si="1"/>
        <v>3</v>
      </c>
      <c r="N7" s="93">
        <f t="shared" si="1"/>
        <v>4</v>
      </c>
      <c r="O7" s="37">
        <v>1</v>
      </c>
      <c r="P7" s="37">
        <f t="shared" ref="P7:R7" si="2">O7+1</f>
        <v>2</v>
      </c>
      <c r="Q7" s="37">
        <f t="shared" si="2"/>
        <v>3</v>
      </c>
      <c r="R7" s="37">
        <f t="shared" si="2"/>
        <v>4</v>
      </c>
    </row>
    <row r="8" spans="1:31" ht="15.75" thickBot="1" x14ac:dyDescent="0.35">
      <c r="C8" s="18" t="s">
        <v>13</v>
      </c>
      <c r="I8" s="87">
        <v>45930</v>
      </c>
      <c r="J8" s="91">
        <f t="shared" ref="I8:J8" si="3">EOMONTH(I8,3)</f>
        <v>46022</v>
      </c>
      <c r="K8" s="88">
        <v>46112</v>
      </c>
      <c r="L8" s="88">
        <f>EOMONTH(K8,3)</f>
        <v>46203</v>
      </c>
      <c r="M8" s="88">
        <f t="shared" ref="M8:R8" si="4">EOMONTH(L8,3)</f>
        <v>46295</v>
      </c>
      <c r="N8" s="94">
        <f t="shared" si="4"/>
        <v>46387</v>
      </c>
      <c r="O8" s="88">
        <f t="shared" si="4"/>
        <v>46477</v>
      </c>
      <c r="P8" s="88">
        <f t="shared" si="4"/>
        <v>46568</v>
      </c>
      <c r="Q8" s="88">
        <f t="shared" si="4"/>
        <v>46660</v>
      </c>
      <c r="R8" s="88">
        <f t="shared" si="4"/>
        <v>46752</v>
      </c>
    </row>
    <row r="9" spans="1:31" x14ac:dyDescent="0.3">
      <c r="I9" s="66"/>
      <c r="J9" s="66"/>
      <c r="K9" s="41"/>
      <c r="L9" s="41"/>
      <c r="M9" s="41"/>
      <c r="N9" s="41"/>
      <c r="O9" s="41"/>
      <c r="P9" s="41"/>
      <c r="Q9" s="41"/>
      <c r="R9" s="41"/>
    </row>
    <row r="10" spans="1:31" x14ac:dyDescent="0.3">
      <c r="I10" s="66"/>
      <c r="J10" s="66"/>
      <c r="K10" s="67"/>
    </row>
    <row r="11" spans="1:31" x14ac:dyDescent="0.3">
      <c r="C11" s="28" t="s">
        <v>16</v>
      </c>
      <c r="E11" s="68">
        <v>3</v>
      </c>
      <c r="F11" s="68"/>
      <c r="G11" s="68"/>
      <c r="I11" s="66"/>
      <c r="J11" s="66"/>
      <c r="K11" s="67"/>
    </row>
    <row r="12" spans="1:31" x14ac:dyDescent="0.3">
      <c r="I12" s="66"/>
      <c r="J12" s="66"/>
    </row>
    <row r="13" spans="1:31" x14ac:dyDescent="0.3">
      <c r="D13" s="17"/>
      <c r="E13" s="17"/>
      <c r="F13" s="17"/>
      <c r="G13" s="17"/>
      <c r="I13" s="66"/>
      <c r="J13" s="66"/>
    </row>
    <row r="14" spans="1:31" x14ac:dyDescent="0.3">
      <c r="C14" s="13" t="s">
        <v>17</v>
      </c>
      <c r="H14" s="69"/>
      <c r="I14" s="60">
        <f>Model!P22</f>
        <v>263641</v>
      </c>
      <c r="J14" s="60">
        <f>Model!Q22</f>
        <v>268854</v>
      </c>
      <c r="K14" s="60">
        <f>Model!R22</f>
        <v>286305.12998496817</v>
      </c>
      <c r="L14" s="60">
        <f>Model!S22</f>
        <v>307768.71217954846</v>
      </c>
      <c r="M14" s="60">
        <f>Model!T22</f>
        <v>333970.97921588155</v>
      </c>
      <c r="N14" s="60">
        <f>Model!U22</f>
        <v>365836.9791365423</v>
      </c>
      <c r="O14" s="60">
        <f>Model!V22</f>
        <v>404463.5820637219</v>
      </c>
      <c r="P14" s="60">
        <f>Model!W22</f>
        <v>451236.71511703415</v>
      </c>
      <c r="Q14" s="60">
        <f>Model!X22</f>
        <v>508007.30418584368</v>
      </c>
      <c r="R14" s="60">
        <f>Model!Y22</f>
        <v>577142.19708450115</v>
      </c>
      <c r="S14" s="69"/>
    </row>
    <row r="15" spans="1:31" x14ac:dyDescent="0.3">
      <c r="C15" s="17"/>
      <c r="D15" s="51" t="s">
        <v>26</v>
      </c>
      <c r="E15" s="51"/>
      <c r="F15" s="51"/>
      <c r="G15" s="51"/>
      <c r="H15" s="70">
        <v>1</v>
      </c>
      <c r="I15" s="61">
        <f t="dataTable" ref="I15:R17" dt2D="0" dtr="0" r1="E11" ca="1"/>
        <v>263641</v>
      </c>
      <c r="J15" s="61">
        <v>268854</v>
      </c>
      <c r="K15" s="56">
        <v>280928.04998496821</v>
      </c>
      <c r="L15" s="56">
        <v>296369.96489058039</v>
      </c>
      <c r="M15" s="56">
        <v>315674.38628895872</v>
      </c>
      <c r="N15" s="56">
        <v>339481.1203622605</v>
      </c>
      <c r="O15" s="56">
        <v>368535.33875114465</v>
      </c>
      <c r="P15" s="56">
        <v>403782.93730364338</v>
      </c>
      <c r="Q15" s="56">
        <v>446507.65547441033</v>
      </c>
      <c r="R15" s="56">
        <v>498342.88641609548</v>
      </c>
    </row>
    <row r="16" spans="1:31" x14ac:dyDescent="0.3">
      <c r="C16" s="17"/>
      <c r="D16" s="51" t="s">
        <v>27</v>
      </c>
      <c r="E16" s="51"/>
      <c r="F16" s="51"/>
      <c r="G16" s="51"/>
      <c r="H16" s="70">
        <v>2</v>
      </c>
      <c r="I16" s="61">
        <v>263641</v>
      </c>
      <c r="J16" s="61">
        <v>268854</v>
      </c>
      <c r="K16" s="56">
        <v>283616.58998496825</v>
      </c>
      <c r="L16" s="56">
        <v>302042.45313506445</v>
      </c>
      <c r="M16" s="56">
        <v>324736.78354844986</v>
      </c>
      <c r="N16" s="56">
        <v>352474.33045940951</v>
      </c>
      <c r="O16" s="56">
        <v>386165.30557894334</v>
      </c>
      <c r="P16" s="56">
        <v>426960.72925242857</v>
      </c>
      <c r="Q16" s="56">
        <v>476407.52245852555</v>
      </c>
      <c r="R16" s="56">
        <v>536477.91471088014</v>
      </c>
    </row>
    <row r="17" spans="3:18" x14ac:dyDescent="0.3">
      <c r="D17" s="51" t="s">
        <v>28</v>
      </c>
      <c r="E17" s="51"/>
      <c r="F17" s="51"/>
      <c r="G17" s="51"/>
      <c r="H17" s="70">
        <v>3</v>
      </c>
      <c r="I17" s="61">
        <v>263641</v>
      </c>
      <c r="J17" s="61">
        <v>268854</v>
      </c>
      <c r="K17" s="56">
        <v>286305.12998496817</v>
      </c>
      <c r="L17" s="56">
        <v>307768.71217954846</v>
      </c>
      <c r="M17" s="56">
        <v>333970.97921588155</v>
      </c>
      <c r="N17" s="56">
        <v>365836.9791365423</v>
      </c>
      <c r="O17" s="56">
        <v>404463.5820637219</v>
      </c>
      <c r="P17" s="56">
        <v>451236.71511703415</v>
      </c>
      <c r="Q17" s="56">
        <v>508007.30418584368</v>
      </c>
      <c r="R17" s="56">
        <v>577142.19708450115</v>
      </c>
    </row>
    <row r="18" spans="3:18" x14ac:dyDescent="0.3">
      <c r="H18" s="69"/>
      <c r="I18" s="21"/>
      <c r="J18" s="21"/>
      <c r="K18" s="17"/>
      <c r="L18" s="17"/>
      <c r="M18" s="17"/>
      <c r="N18" s="17"/>
      <c r="O18" s="17"/>
      <c r="P18" s="17"/>
      <c r="Q18" s="17"/>
      <c r="R18" s="17"/>
    </row>
    <row r="19" spans="3:18" x14ac:dyDescent="0.3">
      <c r="H19" s="69"/>
      <c r="I19" s="21"/>
      <c r="J19" s="21"/>
      <c r="K19" s="17"/>
      <c r="L19" s="17"/>
      <c r="M19" s="17"/>
      <c r="N19" s="17"/>
      <c r="O19" s="17"/>
      <c r="P19" s="17"/>
      <c r="Q19" s="17"/>
      <c r="R19" s="17"/>
    </row>
    <row r="20" spans="3:18" x14ac:dyDescent="0.3">
      <c r="C20" s="71" t="s">
        <v>33</v>
      </c>
      <c r="H20" s="69"/>
      <c r="I20" s="60">
        <f>Model!P31</f>
        <v>27249</v>
      </c>
      <c r="J20" s="60">
        <f>Model!Q31</f>
        <v>40142</v>
      </c>
      <c r="K20" s="60">
        <f>Model!R31</f>
        <v>27998.890765543591</v>
      </c>
      <c r="L20" s="60">
        <f>Model!S31</f>
        <v>30540.595725275518</v>
      </c>
      <c r="M20" s="60">
        <f>Model!T31</f>
        <v>46371.361925956538</v>
      </c>
      <c r="N20" s="60">
        <f>Model!U31</f>
        <v>47071.879131875612</v>
      </c>
      <c r="O20" s="60">
        <f>Model!V31</f>
        <v>29906.294721380338</v>
      </c>
      <c r="P20" s="60">
        <f>Model!W31</f>
        <v>34013.793784478854</v>
      </c>
      <c r="Q20" s="60">
        <f>Model!X31</f>
        <v>58418.41654346494</v>
      </c>
      <c r="R20" s="60">
        <f>Model!Y31</f>
        <v>60493.594889188957</v>
      </c>
    </row>
    <row r="21" spans="3:18" x14ac:dyDescent="0.3">
      <c r="D21" s="51" t="s">
        <v>26</v>
      </c>
      <c r="E21" s="51"/>
      <c r="F21" s="51"/>
      <c r="G21" s="51"/>
      <c r="H21" s="70">
        <v>1</v>
      </c>
      <c r="I21" s="61">
        <f t="dataTable" ref="I21:R23" dt2D="0" dtr="0" r1="E11" ca="1"/>
        <v>27249</v>
      </c>
      <c r="J21" s="61">
        <v>40142</v>
      </c>
      <c r="K21" s="56">
        <v>16235.923226578394</v>
      </c>
      <c r="L21" s="56">
        <v>17554.673272839136</v>
      </c>
      <c r="M21" s="56">
        <v>31203.932406747579</v>
      </c>
      <c r="N21" s="56">
        <v>30101.45226255872</v>
      </c>
      <c r="O21" s="56">
        <v>12508.32399047535</v>
      </c>
      <c r="P21" s="56">
        <v>14285.455720280317</v>
      </c>
      <c r="Q21" s="56">
        <v>33485.94410542374</v>
      </c>
      <c r="R21" s="56">
        <v>32300.470224204106</v>
      </c>
    </row>
    <row r="22" spans="3:18" x14ac:dyDescent="0.3">
      <c r="D22" s="51" t="s">
        <v>27</v>
      </c>
      <c r="E22" s="51"/>
      <c r="F22" s="51"/>
      <c r="G22" s="51"/>
      <c r="H22" s="70">
        <v>2</v>
      </c>
      <c r="I22" s="61">
        <v>27249</v>
      </c>
      <c r="J22" s="61">
        <v>40142</v>
      </c>
      <c r="K22" s="56">
        <v>22063.636196060965</v>
      </c>
      <c r="L22" s="56">
        <v>23931.51683421612</v>
      </c>
      <c r="M22" s="56">
        <v>38594.472247489786</v>
      </c>
      <c r="N22" s="56">
        <v>38303.033848514286</v>
      </c>
      <c r="O22" s="56">
        <v>20830.002398645167</v>
      </c>
      <c r="P22" s="56">
        <v>23644.678507729073</v>
      </c>
      <c r="Q22" s="56">
        <v>45256.441941731224</v>
      </c>
      <c r="R22" s="56">
        <v>45501.779153398005</v>
      </c>
    </row>
    <row r="23" spans="3:18" x14ac:dyDescent="0.3">
      <c r="D23" s="51" t="s">
        <v>28</v>
      </c>
      <c r="E23" s="51"/>
      <c r="F23" s="51"/>
      <c r="G23" s="51"/>
      <c r="H23" s="70">
        <v>3</v>
      </c>
      <c r="I23" s="61">
        <v>27249</v>
      </c>
      <c r="J23" s="61">
        <v>40142</v>
      </c>
      <c r="K23" s="56">
        <v>27998.890765543591</v>
      </c>
      <c r="L23" s="56">
        <v>30540.595725275518</v>
      </c>
      <c r="M23" s="56">
        <v>46371.361925956538</v>
      </c>
      <c r="N23" s="56">
        <v>47071.879131875612</v>
      </c>
      <c r="O23" s="56">
        <v>29906.294721380338</v>
      </c>
      <c r="P23" s="56">
        <v>34013.793784478854</v>
      </c>
      <c r="Q23" s="56">
        <v>58418.41654346494</v>
      </c>
      <c r="R23" s="56">
        <v>60493.594889188957</v>
      </c>
    </row>
    <row r="24" spans="3:18" x14ac:dyDescent="0.3">
      <c r="H24" s="69"/>
      <c r="I24" s="21"/>
      <c r="J24" s="21"/>
      <c r="K24" s="17"/>
      <c r="L24" s="17"/>
      <c r="M24" s="17"/>
      <c r="N24" s="17"/>
      <c r="O24" s="17"/>
      <c r="P24" s="17"/>
      <c r="Q24" s="17"/>
      <c r="R24" s="17"/>
    </row>
    <row r="25" spans="3:18" x14ac:dyDescent="0.3">
      <c r="H25" s="69"/>
      <c r="I25" s="21"/>
      <c r="J25" s="21"/>
      <c r="K25" s="17"/>
      <c r="L25" s="17"/>
      <c r="M25" s="17"/>
      <c r="N25" s="17"/>
      <c r="O25" s="17"/>
      <c r="P25" s="17"/>
      <c r="Q25" s="17"/>
      <c r="R25" s="17"/>
    </row>
    <row r="26" spans="3:18" x14ac:dyDescent="0.3">
      <c r="C26" s="71" t="s">
        <v>34</v>
      </c>
      <c r="H26" s="69"/>
      <c r="I26" s="59">
        <f>Model!P31/Model!P22</f>
        <v>0.10335645821401072</v>
      </c>
      <c r="J26" s="59">
        <f>Model!Q31/Model!Q22</f>
        <v>0.14930780274795985</v>
      </c>
      <c r="K26" s="59">
        <f>Model!R31/Model!R22</f>
        <v>9.779388433247288E-2</v>
      </c>
      <c r="L26" s="59">
        <f>Model!S31/Model!S22</f>
        <v>9.9232295281069735E-2</v>
      </c>
      <c r="M26" s="59">
        <f>Model!T31/Model!T22</f>
        <v>0.1388484772983275</v>
      </c>
      <c r="N26" s="59">
        <f>Model!U31/Model!U22</f>
        <v>0.12866900235994691</v>
      </c>
      <c r="O26" s="59">
        <f>Model!V31/Model!V22</f>
        <v>7.3940636555675607E-2</v>
      </c>
      <c r="P26" s="59">
        <f>Model!W31/Model!W22</f>
        <v>7.5379047504272628E-2</v>
      </c>
      <c r="Q26" s="59">
        <f>Model!X31/Model!X22</f>
        <v>0.11499522952153027</v>
      </c>
      <c r="R26" s="59">
        <f>Model!Y31/Model!Y22</f>
        <v>0.10481575458314982</v>
      </c>
    </row>
    <row r="27" spans="3:18" x14ac:dyDescent="0.3">
      <c r="D27" s="51" t="s">
        <v>26</v>
      </c>
      <c r="E27" s="51"/>
      <c r="F27" s="51"/>
      <c r="G27" s="51"/>
      <c r="H27" s="70">
        <v>1</v>
      </c>
      <c r="I27" s="62">
        <f t="dataTable" ref="I27:R29" dt2D="0" dtr="0" r1="E11"/>
        <v>0.10335645821401072</v>
      </c>
      <c r="J27" s="62">
        <v>0.14930780274795985</v>
      </c>
      <c r="K27" s="58">
        <v>5.7793884332472817E-2</v>
      </c>
      <c r="L27" s="58">
        <v>5.9232295281069762E-2</v>
      </c>
      <c r="M27" s="58">
        <v>9.8848477298327422E-2</v>
      </c>
      <c r="N27" s="58">
        <v>8.8669002359946972E-2</v>
      </c>
      <c r="O27" s="58">
        <v>3.3940636555675488E-2</v>
      </c>
      <c r="P27" s="58">
        <v>3.5379047504272586E-2</v>
      </c>
      <c r="Q27" s="58">
        <v>7.4995229521530218E-2</v>
      </c>
      <c r="R27" s="58">
        <v>6.4815754583149726E-2</v>
      </c>
    </row>
    <row r="28" spans="3:18" x14ac:dyDescent="0.3">
      <c r="D28" s="51" t="s">
        <v>27</v>
      </c>
      <c r="E28" s="51"/>
      <c r="F28" s="51"/>
      <c r="G28" s="51"/>
      <c r="H28" s="70">
        <v>2</v>
      </c>
      <c r="I28" s="62">
        <v>0.10335645821401072</v>
      </c>
      <c r="J28" s="62">
        <v>0.14930780274795985</v>
      </c>
      <c r="K28" s="58">
        <v>7.7793884332472737E-2</v>
      </c>
      <c r="L28" s="58">
        <v>7.9232295281069814E-2</v>
      </c>
      <c r="M28" s="58">
        <v>0.11884847729832736</v>
      </c>
      <c r="N28" s="58">
        <v>0.10866900235994693</v>
      </c>
      <c r="O28" s="58">
        <v>5.394063655567554E-2</v>
      </c>
      <c r="P28" s="58">
        <v>5.5379047504272506E-2</v>
      </c>
      <c r="Q28" s="58">
        <v>9.4995229521530278E-2</v>
      </c>
      <c r="R28" s="58">
        <v>8.4815754583149841E-2</v>
      </c>
    </row>
    <row r="29" spans="3:18" x14ac:dyDescent="0.3">
      <c r="D29" s="51" t="s">
        <v>28</v>
      </c>
      <c r="E29" s="51"/>
      <c r="F29" s="51"/>
      <c r="G29" s="51"/>
      <c r="H29" s="70">
        <v>3</v>
      </c>
      <c r="I29" s="62">
        <v>0.10335645821401072</v>
      </c>
      <c r="J29" s="62">
        <v>0.14930780274795985</v>
      </c>
      <c r="K29" s="58">
        <v>9.779388433247288E-2</v>
      </c>
      <c r="L29" s="58">
        <v>9.9232295281069735E-2</v>
      </c>
      <c r="M29" s="58">
        <v>0.1388484772983275</v>
      </c>
      <c r="N29" s="58">
        <v>0.12866900235994691</v>
      </c>
      <c r="O29" s="58">
        <v>7.3940636555675607E-2</v>
      </c>
      <c r="P29" s="58">
        <v>7.5379047504272628E-2</v>
      </c>
      <c r="Q29" s="58">
        <v>0.11499522952153027</v>
      </c>
      <c r="R29" s="58">
        <v>0.10481575458314982</v>
      </c>
    </row>
    <row r="31" spans="3:18" x14ac:dyDescent="0.3">
      <c r="R31" s="65" t="s">
        <v>35</v>
      </c>
    </row>
    <row r="32" spans="3:18" x14ac:dyDescent="0.3">
      <c r="Q32" s="72"/>
    </row>
    <row r="33" spans="2:31" x14ac:dyDescent="0.3">
      <c r="Q33" s="72"/>
    </row>
    <row r="35" spans="2:31" s="17" customFormat="1" ht="18" x14ac:dyDescent="0.3">
      <c r="B35" s="83" t="s">
        <v>42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63"/>
      <c r="T35" s="63"/>
      <c r="U35" s="63"/>
      <c r="V35" s="63"/>
      <c r="W35" s="57"/>
      <c r="X35" s="57"/>
      <c r="Y35" s="57"/>
      <c r="Z35" s="57"/>
      <c r="AA35" s="57"/>
      <c r="AB35" s="57"/>
      <c r="AC35" s="57"/>
      <c r="AD35" s="57"/>
      <c r="AE35" s="26"/>
    </row>
    <row r="38" spans="2:31" x14ac:dyDescent="0.3">
      <c r="C38" s="18" t="s">
        <v>13</v>
      </c>
      <c r="K38" s="65" t="s">
        <v>37</v>
      </c>
    </row>
    <row r="40" spans="2:31" x14ac:dyDescent="0.3">
      <c r="C40" s="23" t="s">
        <v>15</v>
      </c>
      <c r="D40" s="23"/>
      <c r="E40" s="23"/>
      <c r="F40" s="23"/>
      <c r="G40" s="23"/>
      <c r="H40" s="23"/>
      <c r="I40" s="23"/>
      <c r="J40" s="23"/>
      <c r="K40" s="73" t="s">
        <v>36</v>
      </c>
    </row>
    <row r="41" spans="2:31" x14ac:dyDescent="0.3">
      <c r="K41" s="74"/>
    </row>
    <row r="66" spans="2:31" s="17" customFormat="1" ht="18" x14ac:dyDescent="0.3">
      <c r="B66" s="83" t="s">
        <v>43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63"/>
      <c r="T66" s="63"/>
      <c r="U66" s="63"/>
      <c r="V66" s="63"/>
      <c r="W66" s="57"/>
      <c r="X66" s="57"/>
      <c r="Y66" s="57"/>
      <c r="Z66" s="57"/>
      <c r="AA66" s="57"/>
      <c r="AB66" s="57"/>
      <c r="AC66" s="57"/>
      <c r="AD66" s="57"/>
      <c r="AE66" s="26"/>
    </row>
    <row r="69" spans="2:31" ht="15.75" thickBot="1" x14ac:dyDescent="0.35">
      <c r="B69" s="75" t="str" cm="1">
        <f t="array" ref="B69">CONCATENATE("Model Running: ",INDEX(D15:D17,E11)," Scenario  ")</f>
        <v xml:space="preserve">Model Running: Best Case Scenario  </v>
      </c>
      <c r="I69" s="95" t="s">
        <v>39</v>
      </c>
      <c r="J69" s="95"/>
      <c r="K69" s="95"/>
      <c r="L69" s="95"/>
      <c r="M69" s="95"/>
    </row>
    <row r="70" spans="2:31" x14ac:dyDescent="0.3">
      <c r="B70" s="75"/>
    </row>
    <row r="71" spans="2:31" x14ac:dyDescent="0.3">
      <c r="B71" s="28" t="s">
        <v>15</v>
      </c>
      <c r="E71" s="15">
        <f>SUM(Model!R22:U22)</f>
        <v>1293881.8005169407</v>
      </c>
      <c r="F71" s="15"/>
      <c r="I71" s="78" t="s">
        <v>20</v>
      </c>
      <c r="J71" s="78"/>
      <c r="K71" s="78"/>
      <c r="L71" s="78"/>
      <c r="M71" s="78"/>
    </row>
    <row r="72" spans="2:31" x14ac:dyDescent="0.3">
      <c r="B72" s="28" t="s">
        <v>38</v>
      </c>
      <c r="E72" s="16">
        <f>SUM(Model!R23:U23)/E71</f>
        <v>-0.32284920497433756</v>
      </c>
      <c r="F72" s="16"/>
      <c r="G72" s="79" t="s">
        <v>18</v>
      </c>
      <c r="H72" s="77">
        <f>E81</f>
        <v>0.11746260553933918</v>
      </c>
      <c r="I72" s="81">
        <f>J72+0.01</f>
        <v>-0.2069181444231612</v>
      </c>
      <c r="J72" s="81">
        <f>K72+0.01</f>
        <v>-0.21691814442316121</v>
      </c>
      <c r="K72" s="81">
        <f>E78</f>
        <v>-0.22691814442316122</v>
      </c>
      <c r="L72" s="81">
        <f>K72-0.01</f>
        <v>-0.23691814442316123</v>
      </c>
      <c r="M72" s="81">
        <f>L72-0.01</f>
        <v>-0.24691814442316123</v>
      </c>
    </row>
    <row r="73" spans="2:31" x14ac:dyDescent="0.3">
      <c r="G73" s="79"/>
      <c r="H73" s="81">
        <f>H74-0.01</f>
        <v>0.65715079502566243</v>
      </c>
      <c r="I73" s="96">
        <f t="dataTable" ref="I73:M77" dt2D="1" dtr="1" r1="E78" r2="E74" ca="1"/>
        <v>0.11746260553933918</v>
      </c>
      <c r="J73" s="97">
        <v>0.12746260553933919</v>
      </c>
      <c r="K73" s="97">
        <v>0.12746260553933919</v>
      </c>
      <c r="L73" s="97">
        <v>0.11746260553933918</v>
      </c>
      <c r="M73" s="98">
        <v>9.7462605539339164E-2</v>
      </c>
    </row>
    <row r="74" spans="2:31" x14ac:dyDescent="0.3">
      <c r="B74" s="28" t="s">
        <v>18</v>
      </c>
      <c r="E74" s="16">
        <f>SUM(Model!R24:U24)/E71</f>
        <v>0.67715079502566244</v>
      </c>
      <c r="F74" s="16"/>
      <c r="G74" s="79"/>
      <c r="H74" s="81">
        <f>H75-0.01</f>
        <v>0.66715079502566244</v>
      </c>
      <c r="I74" s="99">
        <v>0.10746260553933917</v>
      </c>
      <c r="J74" s="80">
        <v>0.11746260553933918</v>
      </c>
      <c r="K74" s="80">
        <v>0.11746260553933918</v>
      </c>
      <c r="L74" s="80">
        <v>0.10746260553933917</v>
      </c>
      <c r="M74" s="100">
        <v>8.7462605539339155E-2</v>
      </c>
    </row>
    <row r="75" spans="2:31" x14ac:dyDescent="0.3">
      <c r="G75" s="79"/>
      <c r="H75" s="81">
        <f>E74</f>
        <v>0.67715079502566244</v>
      </c>
      <c r="I75" s="99">
        <v>0.10746260553933917</v>
      </c>
      <c r="J75" s="80">
        <v>0.11746260553933918</v>
      </c>
      <c r="K75" s="80">
        <v>0.11746260553933918</v>
      </c>
      <c r="L75" s="80">
        <v>0.10746260553933917</v>
      </c>
      <c r="M75" s="100">
        <v>8.7462605539339155E-2</v>
      </c>
    </row>
    <row r="76" spans="2:31" x14ac:dyDescent="0.3">
      <c r="B76" s="3" t="s">
        <v>3</v>
      </c>
      <c r="E76" s="16">
        <f>SUM(Model!R26:U26)/E71</f>
        <v>-0.22071915646243187</v>
      </c>
      <c r="F76" s="16"/>
      <c r="G76" s="79"/>
      <c r="H76" s="81">
        <f>H75+0.01</f>
        <v>0.68715079502566245</v>
      </c>
      <c r="I76" s="99">
        <v>0.11746260553933918</v>
      </c>
      <c r="J76" s="80">
        <v>0.12746260553933919</v>
      </c>
      <c r="K76" s="80">
        <v>0.12746260553933919</v>
      </c>
      <c r="L76" s="80">
        <v>0.11746260553933918</v>
      </c>
      <c r="M76" s="100">
        <v>9.7462605539339164E-2</v>
      </c>
    </row>
    <row r="77" spans="2:31" x14ac:dyDescent="0.3">
      <c r="B77" s="3" t="s">
        <v>4</v>
      </c>
      <c r="E77" s="16">
        <f>SUM(Model!R27:U27)/E71</f>
        <v>-9.4906573521662499E-2</v>
      </c>
      <c r="F77" s="16"/>
      <c r="G77" s="79"/>
      <c r="H77" s="81">
        <f>H76+0.01</f>
        <v>0.69715079502566246</v>
      </c>
      <c r="I77" s="101">
        <v>0.1374626055393392</v>
      </c>
      <c r="J77" s="102">
        <v>0.14746260553933921</v>
      </c>
      <c r="K77" s="102">
        <v>0.14746260553933921</v>
      </c>
      <c r="L77" s="102">
        <v>0.1374626055393392</v>
      </c>
      <c r="M77" s="103">
        <v>0.11746260553933918</v>
      </c>
    </row>
    <row r="78" spans="2:31" x14ac:dyDescent="0.3">
      <c r="B78" s="3" t="s">
        <v>5</v>
      </c>
      <c r="E78" s="16">
        <f>SUM(Model!R28:U28)/E71</f>
        <v>-0.22691814442316122</v>
      </c>
      <c r="F78" s="16"/>
    </row>
    <row r="79" spans="2:31" x14ac:dyDescent="0.3">
      <c r="B79" s="3" t="s">
        <v>6</v>
      </c>
      <c r="E79" s="16">
        <f>SUM(Model!R29:U29)/E71</f>
        <v>-1.7144315079067669E-2</v>
      </c>
      <c r="F79" s="16"/>
      <c r="G79" s="16"/>
    </row>
    <row r="80" spans="2:31" ht="15.75" thickBot="1" x14ac:dyDescent="0.35">
      <c r="B80" s="3"/>
      <c r="E80" s="16"/>
      <c r="F80" s="16"/>
      <c r="I80" s="95" t="s">
        <v>39</v>
      </c>
      <c r="J80" s="95"/>
      <c r="K80" s="95"/>
      <c r="L80" s="95"/>
      <c r="M80" s="95"/>
    </row>
    <row r="81" spans="2:13" x14ac:dyDescent="0.3">
      <c r="B81" s="8" t="s">
        <v>7</v>
      </c>
      <c r="E81" s="76">
        <f>SUM(E74:E79)</f>
        <v>0.11746260553933918</v>
      </c>
      <c r="F81" s="76"/>
    </row>
    <row r="82" spans="2:13" ht="15" customHeight="1" x14ac:dyDescent="0.3">
      <c r="E82" s="15"/>
      <c r="F82" s="15"/>
      <c r="I82" s="78" t="s">
        <v>19</v>
      </c>
      <c r="J82" s="78"/>
      <c r="K82" s="78"/>
      <c r="L82" s="78"/>
      <c r="M82" s="78"/>
    </row>
    <row r="83" spans="2:13" x14ac:dyDescent="0.3">
      <c r="G83" s="79" t="s">
        <v>18</v>
      </c>
      <c r="H83" s="77">
        <f>E81</f>
        <v>0.11746260553933918</v>
      </c>
      <c r="I83" s="81">
        <f>J83+0.01</f>
        <v>-0.20071915646243185</v>
      </c>
      <c r="J83" s="81">
        <f>K83+0.01</f>
        <v>-0.21071915646243186</v>
      </c>
      <c r="K83" s="81">
        <f>E76</f>
        <v>-0.22071915646243187</v>
      </c>
      <c r="L83" s="81">
        <f>K83-0.01</f>
        <v>-0.23071915646243188</v>
      </c>
      <c r="M83" s="81">
        <f>L83-0.01</f>
        <v>-0.24071915646243189</v>
      </c>
    </row>
    <row r="84" spans="2:13" x14ac:dyDescent="0.3">
      <c r="G84" s="79"/>
      <c r="H84" s="81">
        <f>H85-0.01</f>
        <v>0.65715079502566243</v>
      </c>
      <c r="I84" s="96">
        <f t="dataTable" ref="I84:M88" dt2D="1" dtr="1" r1="E76" r2="E74" ca="1"/>
        <v>0.11746260553933918</v>
      </c>
      <c r="J84" s="97">
        <v>0.12746260553933919</v>
      </c>
      <c r="K84" s="97">
        <v>0.12746260553933919</v>
      </c>
      <c r="L84" s="97">
        <v>0.11746260553933918</v>
      </c>
      <c r="M84" s="98">
        <v>9.7462605539339164E-2</v>
      </c>
    </row>
    <row r="85" spans="2:13" x14ac:dyDescent="0.3">
      <c r="G85" s="79"/>
      <c r="H85" s="81">
        <f>H86-0.01</f>
        <v>0.66715079502566244</v>
      </c>
      <c r="I85" s="99">
        <v>0.10746260553933917</v>
      </c>
      <c r="J85" s="80">
        <v>0.11746260553933918</v>
      </c>
      <c r="K85" s="80">
        <v>0.11746260553933918</v>
      </c>
      <c r="L85" s="80">
        <v>0.10746260553933917</v>
      </c>
      <c r="M85" s="100">
        <v>8.7462605539339155E-2</v>
      </c>
    </row>
    <row r="86" spans="2:13" x14ac:dyDescent="0.3">
      <c r="G86" s="79"/>
      <c r="H86" s="81">
        <f>E74</f>
        <v>0.67715079502566244</v>
      </c>
      <c r="I86" s="99">
        <v>0.10746260553933917</v>
      </c>
      <c r="J86" s="80">
        <v>0.11746260553933918</v>
      </c>
      <c r="K86" s="80">
        <v>0.11746260553933918</v>
      </c>
      <c r="L86" s="80">
        <v>0.10746260553933917</v>
      </c>
      <c r="M86" s="100">
        <v>8.7462605539339155E-2</v>
      </c>
    </row>
    <row r="87" spans="2:13" x14ac:dyDescent="0.3">
      <c r="G87" s="79"/>
      <c r="H87" s="81">
        <f>H86+0.01</f>
        <v>0.68715079502566245</v>
      </c>
      <c r="I87" s="99">
        <v>0.11746260553933918</v>
      </c>
      <c r="J87" s="80">
        <v>0.12746260553933919</v>
      </c>
      <c r="K87" s="80">
        <v>0.12746260553933919</v>
      </c>
      <c r="L87" s="80">
        <v>0.11746260553933918</v>
      </c>
      <c r="M87" s="100">
        <v>9.7462605539339164E-2</v>
      </c>
    </row>
    <row r="88" spans="2:13" x14ac:dyDescent="0.3">
      <c r="G88" s="79"/>
      <c r="H88" s="81">
        <f>H87+0.01</f>
        <v>0.69715079502566246</v>
      </c>
      <c r="I88" s="101">
        <v>0.1374626055393392</v>
      </c>
      <c r="J88" s="102">
        <v>0.14746260553933921</v>
      </c>
      <c r="K88" s="102">
        <v>0.14746260553933921</v>
      </c>
      <c r="L88" s="102">
        <v>0.1374626055393392</v>
      </c>
      <c r="M88" s="103">
        <v>0.11746260553933918</v>
      </c>
    </row>
    <row r="90" spans="2:13" x14ac:dyDescent="0.3">
      <c r="M90" s="65" t="s">
        <v>40</v>
      </c>
    </row>
  </sheetData>
  <mergeCells count="6">
    <mergeCell ref="I71:M71"/>
    <mergeCell ref="I69:M69"/>
    <mergeCell ref="G72:G77"/>
    <mergeCell ref="I80:M80"/>
    <mergeCell ref="I82:M82"/>
    <mergeCell ref="G83:G88"/>
  </mergeCells>
  <phoneticPr fontId="26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3" name="Drop Down 2">
              <controlPr defaultSize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5289-D22F-4AE6-8A05-3E4C30B06F31}">
  <dimension ref="A1:AT12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3"/>
  <cols>
    <col min="1" max="1" width="9.140625" style="3" customWidth="1"/>
    <col min="2" max="2" width="3.7109375" style="3" customWidth="1"/>
    <col min="3" max="3" width="16.5703125" style="3" customWidth="1"/>
    <col min="4" max="4" width="13.28515625" style="3" customWidth="1"/>
    <col min="5" max="5" width="4" style="3" customWidth="1"/>
    <col min="6" max="13" width="14" style="3" customWidth="1"/>
    <col min="14" max="14" width="14" style="21" customWidth="1"/>
    <col min="15" max="17" width="14" style="3" customWidth="1"/>
    <col min="18" max="18" width="13.28515625" style="3" customWidth="1"/>
    <col min="19" max="26" width="13.28515625" style="21" customWidth="1"/>
    <col min="27" max="27" width="26.28515625" style="4" customWidth="1"/>
    <col min="28" max="16384" width="9.140625" style="3"/>
  </cols>
  <sheetData>
    <row r="1" spans="1:27" ht="65.25" customHeight="1" x14ac:dyDescent="0.3">
      <c r="A1" s="5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spans="1:27" x14ac:dyDescent="0.3">
      <c r="M2" s="12"/>
    </row>
    <row r="3" spans="1:27" ht="18" x14ac:dyDescent="0.3">
      <c r="B3" s="83" t="s">
        <v>44</v>
      </c>
      <c r="C3" s="83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5"/>
    </row>
    <row r="4" spans="1:27" x14ac:dyDescent="0.3">
      <c r="M4" s="12"/>
    </row>
    <row r="5" spans="1:27" x14ac:dyDescent="0.3">
      <c r="C5" s="13"/>
      <c r="E5" s="21"/>
      <c r="S5" s="3"/>
      <c r="T5" s="3"/>
    </row>
    <row r="6" spans="1:27" x14ac:dyDescent="0.3">
      <c r="B6" s="17"/>
      <c r="C6" s="116" t="s">
        <v>1</v>
      </c>
      <c r="D6" s="117"/>
      <c r="E6" s="117"/>
      <c r="F6" s="118">
        <f>AVERAGE(F23:Q23)/AVERAGE(F22:Q22)</f>
        <v>-0.32284920497433756</v>
      </c>
      <c r="S6" s="3"/>
      <c r="T6" s="3"/>
    </row>
    <row r="7" spans="1:27" x14ac:dyDescent="0.3">
      <c r="C7" s="119" t="s">
        <v>4</v>
      </c>
      <c r="F7" s="120">
        <f>AVERAGE(F27:Q27)/AVERAGE(F22:Q22)</f>
        <v>-9.4906573521662513E-2</v>
      </c>
      <c r="S7" s="3"/>
      <c r="T7" s="3"/>
    </row>
    <row r="8" spans="1:27" x14ac:dyDescent="0.3">
      <c r="C8" s="119" t="s">
        <v>32</v>
      </c>
      <c r="F8" s="120">
        <f>AVERAGE(F29:Q29)/AVERAGE(F22:Q22)</f>
        <v>-1.7144315079067669E-2</v>
      </c>
      <c r="S8" s="3"/>
      <c r="T8" s="3"/>
    </row>
    <row r="9" spans="1:27" x14ac:dyDescent="0.3">
      <c r="C9" s="119" t="s">
        <v>31</v>
      </c>
      <c r="D9" s="4"/>
      <c r="E9" s="4"/>
      <c r="F9" s="120">
        <v>0.02</v>
      </c>
      <c r="S9" s="3"/>
      <c r="T9" s="3"/>
    </row>
    <row r="10" spans="1:27" s="4" customFormat="1" x14ac:dyDescent="0.3">
      <c r="C10" s="121" t="str">
        <f>C36</f>
        <v>Taxes</v>
      </c>
      <c r="D10" s="122"/>
      <c r="E10" s="122"/>
      <c r="F10" s="123">
        <f>AVERAGE(F36:Q36)/AVERAGE(F34:Q34)</f>
        <v>-0.17864658912196196</v>
      </c>
      <c r="G10" s="5"/>
      <c r="H10" s="5"/>
      <c r="I10" s="5"/>
      <c r="J10" s="5"/>
      <c r="K10" s="5"/>
      <c r="L10" s="5"/>
      <c r="M10" s="5"/>
      <c r="N10" s="22"/>
      <c r="O10" s="5"/>
      <c r="P10" s="5"/>
      <c r="Q10" s="5"/>
      <c r="U10" s="22"/>
      <c r="V10" s="22"/>
      <c r="W10" s="22"/>
      <c r="X10" s="22"/>
      <c r="Y10" s="22"/>
      <c r="Z10" s="22"/>
      <c r="AA10" s="5"/>
    </row>
    <row r="11" spans="1:27" s="33" customFormat="1" x14ac:dyDescent="0.3">
      <c r="Z11" s="40"/>
    </row>
    <row r="12" spans="1:27" s="33" customFormat="1" x14ac:dyDescent="0.3">
      <c r="C12" s="17"/>
      <c r="F12" s="55"/>
      <c r="Z12" s="40"/>
    </row>
    <row r="13" spans="1:27" s="33" customFormat="1" x14ac:dyDescent="0.3">
      <c r="C13" s="17"/>
      <c r="F13" s="55"/>
      <c r="Z13" s="40"/>
    </row>
    <row r="14" spans="1:27" ht="18" x14ac:dyDescent="0.3">
      <c r="B14" s="83" t="s">
        <v>12</v>
      </c>
      <c r="C14" s="83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5"/>
    </row>
    <row r="15" spans="1:27" s="2" customFormat="1" ht="15" customHeight="1" x14ac:dyDescent="0.3"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40"/>
      <c r="S15" s="40"/>
      <c r="T15" s="40"/>
      <c r="U15" s="40"/>
      <c r="V15" s="40"/>
      <c r="W15" s="40"/>
      <c r="X15" s="40"/>
      <c r="Y15" s="40"/>
      <c r="Z15" s="37"/>
    </row>
    <row r="16" spans="1:27" s="2" customFormat="1" ht="15" customHeight="1" x14ac:dyDescent="0.3"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40"/>
      <c r="S16" s="40"/>
      <c r="T16" s="40"/>
      <c r="U16" s="40"/>
      <c r="V16" s="40"/>
      <c r="W16" s="40"/>
      <c r="X16" s="40"/>
      <c r="Y16" s="40"/>
      <c r="Z16" s="37"/>
    </row>
    <row r="17" spans="2:35" s="2" customFormat="1" ht="15" customHeight="1" x14ac:dyDescent="0.3">
      <c r="F17" s="38">
        <f>YEAR(F19)</f>
        <v>2023</v>
      </c>
      <c r="G17" s="38"/>
      <c r="H17" s="38"/>
      <c r="I17" s="105"/>
      <c r="J17" s="38">
        <f>YEAR(J19)</f>
        <v>2024</v>
      </c>
      <c r="K17" s="38"/>
      <c r="L17" s="38"/>
      <c r="M17" s="105"/>
      <c r="N17" s="38">
        <f>YEAR(N19)</f>
        <v>2025</v>
      </c>
      <c r="O17" s="38"/>
      <c r="P17" s="38"/>
      <c r="Q17" s="105"/>
      <c r="R17" s="40">
        <f>YEAR(R19)</f>
        <v>2026</v>
      </c>
      <c r="S17" s="40"/>
      <c r="T17" s="40"/>
      <c r="U17" s="109"/>
      <c r="V17" s="40">
        <f>YEAR(V19)</f>
        <v>2027</v>
      </c>
      <c r="W17" s="40"/>
      <c r="X17" s="40"/>
      <c r="Y17" s="40"/>
      <c r="Z17" s="37"/>
    </row>
    <row r="18" spans="2:35" s="2" customFormat="1" ht="15" customHeight="1" x14ac:dyDescent="0.3">
      <c r="B18" s="17"/>
      <c r="C18" s="3"/>
      <c r="D18" s="42"/>
      <c r="F18" s="30">
        <v>1</v>
      </c>
      <c r="G18" s="30">
        <f>F18+1</f>
        <v>2</v>
      </c>
      <c r="H18" s="30">
        <f t="shared" ref="H18:I18" si="0">G18+1</f>
        <v>3</v>
      </c>
      <c r="I18" s="90">
        <f t="shared" si="0"/>
        <v>4</v>
      </c>
      <c r="J18" s="30">
        <v>1</v>
      </c>
      <c r="K18" s="30">
        <f>J18+1</f>
        <v>2</v>
      </c>
      <c r="L18" s="30">
        <f t="shared" ref="L18:M18" si="1">K18+1</f>
        <v>3</v>
      </c>
      <c r="M18" s="90">
        <f t="shared" si="1"/>
        <v>4</v>
      </c>
      <c r="N18" s="30">
        <v>1</v>
      </c>
      <c r="O18" s="30">
        <f>N18+1</f>
        <v>2</v>
      </c>
      <c r="P18" s="30">
        <f t="shared" ref="P18:Q18" si="2">O18+1</f>
        <v>3</v>
      </c>
      <c r="Q18" s="90">
        <f t="shared" si="2"/>
        <v>4</v>
      </c>
      <c r="R18" s="37">
        <v>1</v>
      </c>
      <c r="S18" s="37">
        <f t="shared" ref="S18:U18" si="3">R18+1</f>
        <v>2</v>
      </c>
      <c r="T18" s="37">
        <f t="shared" si="3"/>
        <v>3</v>
      </c>
      <c r="U18" s="93">
        <f t="shared" si="3"/>
        <v>4</v>
      </c>
      <c r="V18" s="37">
        <v>2</v>
      </c>
      <c r="W18" s="37">
        <f t="shared" ref="W18:Y18" si="4">V18+1</f>
        <v>3</v>
      </c>
      <c r="X18" s="37">
        <f t="shared" si="4"/>
        <v>4</v>
      </c>
      <c r="Y18" s="37">
        <f t="shared" si="4"/>
        <v>5</v>
      </c>
      <c r="Z18" s="37"/>
    </row>
    <row r="19" spans="2:35" s="2" customFormat="1" ht="15" customHeight="1" thickBot="1" x14ac:dyDescent="0.35">
      <c r="C19" s="6" t="s">
        <v>13</v>
      </c>
      <c r="F19" s="87">
        <v>45016</v>
      </c>
      <c r="G19" s="87">
        <f>EOMONTH(F19,3)</f>
        <v>45107</v>
      </c>
      <c r="H19" s="87">
        <f t="shared" ref="H19:I19" si="5">EOMONTH(G19,3)</f>
        <v>45199</v>
      </c>
      <c r="I19" s="91">
        <f t="shared" si="5"/>
        <v>45291</v>
      </c>
      <c r="J19" s="87">
        <v>45382</v>
      </c>
      <c r="K19" s="87">
        <f>EOMONTH(J19,3)</f>
        <v>45473</v>
      </c>
      <c r="L19" s="87">
        <f t="shared" ref="L19:Q19" si="6">EOMONTH(K19,3)</f>
        <v>45565</v>
      </c>
      <c r="M19" s="91">
        <f t="shared" si="6"/>
        <v>45657</v>
      </c>
      <c r="N19" s="87">
        <f t="shared" si="6"/>
        <v>45747</v>
      </c>
      <c r="O19" s="87">
        <f t="shared" si="6"/>
        <v>45838</v>
      </c>
      <c r="P19" s="87">
        <f t="shared" si="6"/>
        <v>45930</v>
      </c>
      <c r="Q19" s="91">
        <f t="shared" si="6"/>
        <v>46022</v>
      </c>
      <c r="R19" s="88">
        <f t="shared" ref="R19:U19" si="7">EOMONTH(Q19,3)</f>
        <v>46112</v>
      </c>
      <c r="S19" s="88">
        <f t="shared" si="7"/>
        <v>46203</v>
      </c>
      <c r="T19" s="88">
        <f t="shared" si="7"/>
        <v>46295</v>
      </c>
      <c r="U19" s="94">
        <f t="shared" si="7"/>
        <v>46387</v>
      </c>
      <c r="V19" s="88">
        <f t="shared" ref="V19:Y19" si="8">EOMONTH(U19,3)</f>
        <v>46477</v>
      </c>
      <c r="W19" s="88">
        <f t="shared" si="8"/>
        <v>46568</v>
      </c>
      <c r="X19" s="88">
        <f t="shared" si="8"/>
        <v>46660</v>
      </c>
      <c r="Y19" s="88">
        <f t="shared" si="8"/>
        <v>46752</v>
      </c>
      <c r="Z19" s="41"/>
    </row>
    <row r="20" spans="2:35" s="2" customFormat="1" ht="15" customHeight="1" x14ac:dyDescent="0.3">
      <c r="C20" s="6"/>
      <c r="F20" s="32"/>
      <c r="G20" s="32"/>
      <c r="H20" s="32"/>
      <c r="I20" s="106"/>
      <c r="J20" s="32"/>
      <c r="K20" s="32"/>
      <c r="L20" s="32"/>
      <c r="M20" s="106"/>
      <c r="N20" s="32"/>
      <c r="O20" s="32"/>
      <c r="P20" s="32"/>
      <c r="Q20" s="106"/>
      <c r="U20" s="110"/>
    </row>
    <row r="21" spans="2:35" x14ac:dyDescent="0.3">
      <c r="I21" s="107"/>
      <c r="M21" s="107"/>
      <c r="N21" s="3"/>
      <c r="Q21" s="107"/>
      <c r="T21" s="3"/>
      <c r="U21" s="107"/>
      <c r="V21" s="3"/>
      <c r="W21" s="3"/>
      <c r="X21" s="3"/>
      <c r="Y21" s="3"/>
      <c r="Z21" s="3"/>
    </row>
    <row r="22" spans="2:35" x14ac:dyDescent="0.3">
      <c r="C22" s="3" t="s">
        <v>0</v>
      </c>
      <c r="F22" s="19">
        <v>229077</v>
      </c>
      <c r="G22" s="19">
        <v>216237</v>
      </c>
      <c r="H22" s="19">
        <v>210246</v>
      </c>
      <c r="I22" s="108">
        <v>227293</v>
      </c>
      <c r="J22" s="19">
        <v>188243</v>
      </c>
      <c r="K22" s="19">
        <v>212466</v>
      </c>
      <c r="L22" s="19">
        <v>231828</v>
      </c>
      <c r="M22" s="108">
        <v>251549</v>
      </c>
      <c r="N22" s="19">
        <v>250691</v>
      </c>
      <c r="O22" s="19">
        <v>209157</v>
      </c>
      <c r="P22" s="19">
        <v>263641</v>
      </c>
      <c r="Q22" s="108">
        <v>268854</v>
      </c>
      <c r="R22" s="15">
        <f>Q22*(1+R54)</f>
        <v>286305.12998496817</v>
      </c>
      <c r="S22" s="15">
        <f>R22*(1+S54)</f>
        <v>307768.71217954846</v>
      </c>
      <c r="T22" s="15">
        <f t="shared" ref="S22:Y22" si="9">S22*(1+T54)</f>
        <v>333970.97921588155</v>
      </c>
      <c r="U22" s="111">
        <f t="shared" si="9"/>
        <v>365836.9791365423</v>
      </c>
      <c r="V22" s="15">
        <f t="shared" si="9"/>
        <v>404463.5820637219</v>
      </c>
      <c r="W22" s="15">
        <f t="shared" si="9"/>
        <v>451236.71511703415</v>
      </c>
      <c r="X22" s="15">
        <f t="shared" si="9"/>
        <v>508007.30418584368</v>
      </c>
      <c r="Y22" s="15">
        <f t="shared" si="9"/>
        <v>577142.19708450115</v>
      </c>
      <c r="Z22" s="15"/>
    </row>
    <row r="23" spans="2:35" x14ac:dyDescent="0.3">
      <c r="C23" s="3" t="s">
        <v>1</v>
      </c>
      <c r="F23" s="112">
        <v>-70392</v>
      </c>
      <c r="G23" s="112">
        <v>-69498</v>
      </c>
      <c r="H23" s="112">
        <v>-65221</v>
      </c>
      <c r="I23" s="113">
        <v>-64864</v>
      </c>
      <c r="J23" s="112">
        <v>-64918</v>
      </c>
      <c r="K23" s="112">
        <v>-68982</v>
      </c>
      <c r="L23" s="112">
        <v>-70816</v>
      </c>
      <c r="M23" s="113">
        <v>-81474</v>
      </c>
      <c r="N23" s="112">
        <v>-78092</v>
      </c>
      <c r="O23" s="112">
        <v>-72763</v>
      </c>
      <c r="P23" s="112">
        <v>-93211</v>
      </c>
      <c r="Q23" s="113">
        <v>-90601</v>
      </c>
      <c r="R23" s="114">
        <f>R22*$F$6</f>
        <v>-92433.383595721345</v>
      </c>
      <c r="S23" s="114">
        <f>S22*$F$6</f>
        <v>-99362.884043142942</v>
      </c>
      <c r="T23" s="114">
        <f>T22*$F$6</f>
        <v>-107822.26512434837</v>
      </c>
      <c r="U23" s="115">
        <f>U22*$F$6</f>
        <v>-118110.177864446</v>
      </c>
      <c r="V23" s="114">
        <f>V22*$F$6</f>
        <v>-130580.74591034534</v>
      </c>
      <c r="W23" s="114">
        <f>W22*$F$6</f>
        <v>-145681.41473076612</v>
      </c>
      <c r="X23" s="114">
        <f>X22*$F$6</f>
        <v>-164009.75427755609</v>
      </c>
      <c r="Y23" s="114">
        <f>Y22*$F$6</f>
        <v>-186329.89948587364</v>
      </c>
      <c r="Z23" s="15"/>
      <c r="AB23" s="7"/>
      <c r="AC23" s="7"/>
      <c r="AD23" s="7"/>
      <c r="AE23" s="7"/>
      <c r="AF23" s="7"/>
    </row>
    <row r="24" spans="2:35" x14ac:dyDescent="0.3">
      <c r="C24" s="8" t="s">
        <v>2</v>
      </c>
      <c r="F24" s="19">
        <v>158685</v>
      </c>
      <c r="G24" s="19">
        <v>146740</v>
      </c>
      <c r="H24" s="19">
        <v>145025</v>
      </c>
      <c r="I24" s="108">
        <v>162429</v>
      </c>
      <c r="J24" s="19">
        <f t="shared" ref="J24:M24" si="10">SUM(J22:J23)</f>
        <v>123325</v>
      </c>
      <c r="K24" s="19">
        <f t="shared" si="10"/>
        <v>143484</v>
      </c>
      <c r="L24" s="19">
        <f t="shared" si="10"/>
        <v>161012</v>
      </c>
      <c r="M24" s="108">
        <f t="shared" si="10"/>
        <v>170075</v>
      </c>
      <c r="N24" s="19">
        <f>SUM(N22:N23)</f>
        <v>172599</v>
      </c>
      <c r="O24" s="19">
        <f>SUM(O22:O23)</f>
        <v>136394</v>
      </c>
      <c r="P24" s="19">
        <f>SUM(P22:P23)</f>
        <v>170430</v>
      </c>
      <c r="Q24" s="108">
        <f>SUM(Q22:Q23)</f>
        <v>178253</v>
      </c>
      <c r="R24" s="15">
        <f>R22+R23</f>
        <v>193871.74638924684</v>
      </c>
      <c r="S24" s="15">
        <f t="shared" ref="S24:Y24" si="11">S22+S23</f>
        <v>208405.8281364055</v>
      </c>
      <c r="T24" s="15">
        <f t="shared" si="11"/>
        <v>226148.71409153318</v>
      </c>
      <c r="U24" s="111">
        <f t="shared" si="11"/>
        <v>247726.80127209629</v>
      </c>
      <c r="V24" s="15">
        <f t="shared" si="11"/>
        <v>273882.83615337656</v>
      </c>
      <c r="W24" s="15">
        <f t="shared" si="11"/>
        <v>305555.30038626806</v>
      </c>
      <c r="X24" s="15">
        <f t="shared" si="11"/>
        <v>343997.54990828759</v>
      </c>
      <c r="Y24" s="15">
        <f t="shared" si="11"/>
        <v>390812.29759862751</v>
      </c>
      <c r="Z24" s="15"/>
      <c r="AB24" s="7"/>
      <c r="AC24" s="7"/>
      <c r="AD24" s="7"/>
      <c r="AE24" s="7"/>
      <c r="AF24" s="7"/>
    </row>
    <row r="25" spans="2:35" x14ac:dyDescent="0.3">
      <c r="F25" s="19"/>
      <c r="G25" s="19"/>
      <c r="H25" s="19"/>
      <c r="I25" s="108"/>
      <c r="J25" s="19"/>
      <c r="K25" s="19"/>
      <c r="L25" s="19"/>
      <c r="M25" s="108"/>
      <c r="N25" s="19"/>
      <c r="O25" s="19"/>
      <c r="P25" s="19"/>
      <c r="Q25" s="108"/>
      <c r="R25" s="15"/>
      <c r="S25" s="15"/>
      <c r="T25" s="15"/>
      <c r="U25" s="111"/>
      <c r="V25" s="15"/>
      <c r="W25" s="15"/>
      <c r="X25" s="15"/>
      <c r="Y25" s="15"/>
      <c r="Z25" s="15"/>
      <c r="AB25" s="7"/>
      <c r="AC25" s="7"/>
      <c r="AF25" s="7"/>
    </row>
    <row r="26" spans="2:35" x14ac:dyDescent="0.3">
      <c r="C26" s="3" t="s">
        <v>3</v>
      </c>
      <c r="F26" s="19">
        <v>-46949</v>
      </c>
      <c r="G26" s="19">
        <v>-41022</v>
      </c>
      <c r="H26" s="19">
        <v>-37042</v>
      </c>
      <c r="I26" s="108">
        <v>-42502</v>
      </c>
      <c r="J26" s="19">
        <v>-40456</v>
      </c>
      <c r="K26" s="19">
        <v>-42290</v>
      </c>
      <c r="L26" s="19">
        <v>-42617</v>
      </c>
      <c r="M26" s="108">
        <v>-49898</v>
      </c>
      <c r="N26" s="19">
        <v>-53122</v>
      </c>
      <c r="O26" s="19">
        <v>-57783</v>
      </c>
      <c r="P26" s="19">
        <v>-56466</v>
      </c>
      <c r="Q26" s="108">
        <v>-46981</v>
      </c>
      <c r="R26" s="15">
        <f>R66*R22</f>
        <v>-66341.852319422876</v>
      </c>
      <c r="S26" s="15">
        <f t="shared" ref="S26:Y26" si="12">S66*S22</f>
        <v>-68880.684664029162</v>
      </c>
      <c r="T26" s="15">
        <f t="shared" si="12"/>
        <v>-70244.530650046814</v>
      </c>
      <c r="U26" s="111">
        <f t="shared" si="12"/>
        <v>-80117.431938692796</v>
      </c>
      <c r="V26" s="15">
        <f t="shared" si="12"/>
        <v>-99377.12204657789</v>
      </c>
      <c r="W26" s="15">
        <f t="shared" si="12"/>
        <v>-107299.75301445562</v>
      </c>
      <c r="X26" s="15">
        <f t="shared" si="12"/>
        <v>-113953.64699379595</v>
      </c>
      <c r="Y26" s="15">
        <f t="shared" si="12"/>
        <v>-134463.37834840672</v>
      </c>
      <c r="Z26" s="15"/>
      <c r="AB26" s="7"/>
      <c r="AC26" s="7"/>
      <c r="AF26" s="7"/>
    </row>
    <row r="27" spans="2:35" x14ac:dyDescent="0.3">
      <c r="C27" s="3" t="s">
        <v>4</v>
      </c>
      <c r="F27" s="19">
        <v>-16665</v>
      </c>
      <c r="G27" s="19">
        <v>-15444</v>
      </c>
      <c r="H27" s="19">
        <v>-20649</v>
      </c>
      <c r="I27" s="108">
        <v>-19750</v>
      </c>
      <c r="J27" s="19">
        <v>-15744</v>
      </c>
      <c r="K27" s="19">
        <v>-20998</v>
      </c>
      <c r="L27" s="19">
        <v>-18040</v>
      </c>
      <c r="M27" s="108">
        <v>-22338</v>
      </c>
      <c r="N27" s="19">
        <v>-43752</v>
      </c>
      <c r="O27" s="19">
        <v>-23493</v>
      </c>
      <c r="P27" s="19">
        <v>-20484</v>
      </c>
      <c r="Q27" s="108">
        <v>-24517</v>
      </c>
      <c r="R27" s="15">
        <f>$F$7*R22</f>
        <v>-27172.238868547523</v>
      </c>
      <c r="S27" s="15">
        <f>$F$7*S22</f>
        <v>-29209.273910135704</v>
      </c>
      <c r="T27" s="15">
        <f>$F$7*T22</f>
        <v>-31696.041293053684</v>
      </c>
      <c r="U27" s="111">
        <f>$F$7*U22</f>
        <v>-34720.334157365163</v>
      </c>
      <c r="V27" s="15">
        <f>$F$7*V22</f>
        <v>-38386.2526879656</v>
      </c>
      <c r="W27" s="15">
        <f>$F$7*W22</f>
        <v>-42825.330478928285</v>
      </c>
      <c r="X27" s="15">
        <f>$F$7*X22</f>
        <v>-48213.232564255348</v>
      </c>
      <c r="Y27" s="15">
        <f>$F$7*Y22</f>
        <v>-54774.588360054047</v>
      </c>
      <c r="Z27" s="15"/>
      <c r="AC27" s="7"/>
      <c r="AD27" s="7"/>
      <c r="AE27" s="7"/>
      <c r="AF27" s="7"/>
    </row>
    <row r="28" spans="2:35" x14ac:dyDescent="0.3">
      <c r="C28" s="3" t="s">
        <v>5</v>
      </c>
      <c r="F28" s="19">
        <v>-46059</v>
      </c>
      <c r="G28" s="19">
        <v>-48452</v>
      </c>
      <c r="H28" s="19">
        <v>-40810</v>
      </c>
      <c r="I28" s="108">
        <v>-46247</v>
      </c>
      <c r="J28" s="19">
        <v>-45039</v>
      </c>
      <c r="K28" s="19">
        <v>-48841</v>
      </c>
      <c r="L28" s="19">
        <v>-50575</v>
      </c>
      <c r="M28" s="108">
        <v>-51656</v>
      </c>
      <c r="N28" s="19">
        <v>-55206</v>
      </c>
      <c r="O28" s="19">
        <v>-52123</v>
      </c>
      <c r="P28" s="19">
        <v>-55027</v>
      </c>
      <c r="Q28" s="108">
        <v>-59753</v>
      </c>
      <c r="R28" s="15">
        <f>R60*R22</f>
        <v>-67450.259078517134</v>
      </c>
      <c r="S28" s="15">
        <f t="shared" ref="S28:Y28" si="13">S60*S22</f>
        <v>-74498.790063880049</v>
      </c>
      <c r="T28" s="15">
        <f t="shared" si="13"/>
        <v>-72111.076527534329</v>
      </c>
      <c r="U28" s="111">
        <f t="shared" si="13"/>
        <v>-79545.131606271505</v>
      </c>
      <c r="V28" s="15">
        <f t="shared" si="13"/>
        <v>-99278.915608543932</v>
      </c>
      <c r="W28" s="15">
        <f t="shared" si="13"/>
        <v>-113680.27868919539</v>
      </c>
      <c r="X28" s="15">
        <f t="shared" si="13"/>
        <v>-114702.81652134148</v>
      </c>
      <c r="Y28" s="15">
        <f t="shared" si="13"/>
        <v>-131186.02832873573</v>
      </c>
      <c r="Z28" s="15"/>
    </row>
    <row r="29" spans="2:35" x14ac:dyDescent="0.3">
      <c r="C29" s="3" t="s">
        <v>6</v>
      </c>
      <c r="F29" s="19">
        <v>4255</v>
      </c>
      <c r="G29" s="19">
        <v>5716</v>
      </c>
      <c r="H29" s="19">
        <v>4169</v>
      </c>
      <c r="I29" s="108">
        <v>-16275</v>
      </c>
      <c r="J29" s="19">
        <v>3890</v>
      </c>
      <c r="K29" s="19">
        <v>2075</v>
      </c>
      <c r="L29" s="19">
        <v>-3995</v>
      </c>
      <c r="M29" s="108">
        <v>-7056</v>
      </c>
      <c r="N29" s="19">
        <v>3419</v>
      </c>
      <c r="O29" s="19">
        <v>-25440</v>
      </c>
      <c r="P29" s="19">
        <v>-11204</v>
      </c>
      <c r="Q29" s="108">
        <v>-6860</v>
      </c>
      <c r="R29" s="15">
        <f>$F$8*R22</f>
        <v>-4908.5053572157185</v>
      </c>
      <c r="S29" s="15">
        <f>$F$8*S22</f>
        <v>-5276.4837730850704</v>
      </c>
      <c r="T29" s="15">
        <f>$F$8*T22</f>
        <v>-5725.7036949418334</v>
      </c>
      <c r="U29" s="111">
        <f>$F$8*U22</f>
        <v>-6272.0244378911866</v>
      </c>
      <c r="V29" s="15">
        <f>$F$8*V22</f>
        <v>-6934.2510889087907</v>
      </c>
      <c r="W29" s="15">
        <f>$F$8*W22</f>
        <v>-7736.1444192099307</v>
      </c>
      <c r="X29" s="15">
        <f>$F$8*X22</f>
        <v>-8709.4372854298763</v>
      </c>
      <c r="Y29" s="15">
        <f>$F$8*Y22</f>
        <v>-9894.707672242057</v>
      </c>
      <c r="Z29" s="15"/>
      <c r="AD29" s="7"/>
      <c r="AE29" s="7"/>
      <c r="AG29" s="10"/>
      <c r="AH29" s="11"/>
      <c r="AI29" s="11"/>
    </row>
    <row r="30" spans="2:35" x14ac:dyDescent="0.3">
      <c r="F30" s="112"/>
      <c r="G30" s="112"/>
      <c r="H30" s="112"/>
      <c r="I30" s="113"/>
      <c r="J30" s="112"/>
      <c r="K30" s="112"/>
      <c r="L30" s="112"/>
      <c r="M30" s="113"/>
      <c r="N30" s="112"/>
      <c r="O30" s="112"/>
      <c r="P30" s="112"/>
      <c r="Q30" s="113"/>
      <c r="R30" s="114"/>
      <c r="S30" s="114"/>
      <c r="T30" s="114"/>
      <c r="U30" s="115"/>
      <c r="V30" s="114"/>
      <c r="W30" s="114"/>
      <c r="X30" s="114"/>
      <c r="Y30" s="114"/>
      <c r="Z30" s="15"/>
    </row>
    <row r="31" spans="2:35" x14ac:dyDescent="0.3">
      <c r="C31" s="8" t="s">
        <v>7</v>
      </c>
      <c r="F31" s="19">
        <v>53267</v>
      </c>
      <c r="G31" s="19">
        <v>47538</v>
      </c>
      <c r="H31" s="19">
        <v>50693</v>
      </c>
      <c r="I31" s="108">
        <v>37655</v>
      </c>
      <c r="J31" s="19">
        <f>SUM(J24:J29)</f>
        <v>25976</v>
      </c>
      <c r="K31" s="19">
        <f t="shared" ref="K31:M31" si="14">SUM(K24:K29)</f>
        <v>33430</v>
      </c>
      <c r="L31" s="19">
        <f t="shared" si="14"/>
        <v>45785</v>
      </c>
      <c r="M31" s="108">
        <f t="shared" si="14"/>
        <v>39127</v>
      </c>
      <c r="N31" s="19">
        <f>SUM(N24:N29)</f>
        <v>23938</v>
      </c>
      <c r="O31" s="19">
        <f>SUM(O24:O29)</f>
        <v>-22445</v>
      </c>
      <c r="P31" s="19">
        <f>SUM(P24:P29)</f>
        <v>27249</v>
      </c>
      <c r="Q31" s="108">
        <f>SUM(Q24:Q29)</f>
        <v>40142</v>
      </c>
      <c r="R31" s="15">
        <f>SUM(R24:R29)</f>
        <v>27998.890765543591</v>
      </c>
      <c r="S31" s="15">
        <f t="shared" ref="S31:Y31" si="15">SUM(S24:S29)</f>
        <v>30540.595725275518</v>
      </c>
      <c r="T31" s="15">
        <f t="shared" si="15"/>
        <v>46371.361925956538</v>
      </c>
      <c r="U31" s="111">
        <f t="shared" si="15"/>
        <v>47071.879131875612</v>
      </c>
      <c r="V31" s="15">
        <f t="shared" si="15"/>
        <v>29906.294721380338</v>
      </c>
      <c r="W31" s="15">
        <f t="shared" si="15"/>
        <v>34013.793784478854</v>
      </c>
      <c r="X31" s="15">
        <f t="shared" si="15"/>
        <v>58418.41654346494</v>
      </c>
      <c r="Y31" s="15">
        <f t="shared" si="15"/>
        <v>60493.594889188957</v>
      </c>
      <c r="Z31" s="15"/>
    </row>
    <row r="32" spans="2:35" x14ac:dyDescent="0.3">
      <c r="F32" s="19"/>
      <c r="G32" s="19"/>
      <c r="H32" s="19"/>
      <c r="I32" s="108"/>
      <c r="J32" s="19"/>
      <c r="K32" s="19"/>
      <c r="L32" s="19"/>
      <c r="M32" s="108"/>
      <c r="N32" s="19"/>
      <c r="O32" s="19"/>
      <c r="P32" s="19"/>
      <c r="Q32" s="108"/>
      <c r="R32" s="15"/>
      <c r="S32" s="15"/>
      <c r="T32" s="15"/>
      <c r="U32" s="111"/>
      <c r="V32" s="15"/>
      <c r="W32" s="15"/>
      <c r="X32" s="15"/>
      <c r="Y32" s="15"/>
      <c r="Z32" s="15"/>
    </row>
    <row r="33" spans="1:46" x14ac:dyDescent="0.3">
      <c r="C33" s="3" t="s">
        <v>8</v>
      </c>
      <c r="F33" s="112">
        <v>1761</v>
      </c>
      <c r="G33" s="112">
        <v>-5176</v>
      </c>
      <c r="H33" s="112">
        <v>1741</v>
      </c>
      <c r="I33" s="113">
        <v>80784</v>
      </c>
      <c r="J33" s="112">
        <v>1862</v>
      </c>
      <c r="K33" s="112">
        <v>4376</v>
      </c>
      <c r="L33" s="112">
        <v>7239</v>
      </c>
      <c r="M33" s="113">
        <v>295</v>
      </c>
      <c r="N33" s="112">
        <v>22273</v>
      </c>
      <c r="O33" s="112">
        <v>3728</v>
      </c>
      <c r="P33" s="112">
        <v>2900</v>
      </c>
      <c r="Q33" s="113">
        <v>2353</v>
      </c>
      <c r="R33" s="114">
        <f>$F$9*R22</f>
        <v>5726.1025996993631</v>
      </c>
      <c r="S33" s="114">
        <f>$F$9*S22</f>
        <v>6155.3742435909689</v>
      </c>
      <c r="T33" s="114">
        <f>$F$9*T22</f>
        <v>6679.4195843176312</v>
      </c>
      <c r="U33" s="115">
        <f>$F$9*U22</f>
        <v>7316.7395827308465</v>
      </c>
      <c r="V33" s="114">
        <f>$F$9*V22</f>
        <v>8089.2716412744385</v>
      </c>
      <c r="W33" s="114">
        <f>$F$9*W22</f>
        <v>9024.7343023406829</v>
      </c>
      <c r="X33" s="114">
        <f>$F$9*X22</f>
        <v>10160.146083716874</v>
      </c>
      <c r="Y33" s="114">
        <f>$F$9*Y22</f>
        <v>11542.843941690024</v>
      </c>
      <c r="Z33" s="15"/>
      <c r="AD33" s="7"/>
      <c r="AE33" s="7"/>
    </row>
    <row r="34" spans="1:46" x14ac:dyDescent="0.3">
      <c r="C34" s="8" t="s">
        <v>9</v>
      </c>
      <c r="F34" s="19">
        <v>55029</v>
      </c>
      <c r="G34" s="19">
        <v>42362</v>
      </c>
      <c r="H34" s="19">
        <v>52434</v>
      </c>
      <c r="I34" s="108">
        <v>118439</v>
      </c>
      <c r="J34" s="19">
        <f>J31+J33</f>
        <v>27838</v>
      </c>
      <c r="K34" s="19">
        <f t="shared" ref="K34:M34" si="16">K31+K33</f>
        <v>37806</v>
      </c>
      <c r="L34" s="19">
        <f t="shared" si="16"/>
        <v>53024</v>
      </c>
      <c r="M34" s="108">
        <f t="shared" si="16"/>
        <v>39422</v>
      </c>
      <c r="N34" s="19">
        <f>N31+N33</f>
        <v>46211</v>
      </c>
      <c r="O34" s="19">
        <f>O31+O33</f>
        <v>-18717</v>
      </c>
      <c r="P34" s="19">
        <f>P31+P33</f>
        <v>30149</v>
      </c>
      <c r="Q34" s="108">
        <f>Q31+Q33</f>
        <v>42495</v>
      </c>
      <c r="R34" s="15">
        <f>R31+R33</f>
        <v>33724.993365242954</v>
      </c>
      <c r="S34" s="15">
        <f t="shared" ref="S34:Y34" si="17">S31+S33</f>
        <v>36695.969968866484</v>
      </c>
      <c r="T34" s="15">
        <f t="shared" si="17"/>
        <v>53050.781510274173</v>
      </c>
      <c r="U34" s="111">
        <f t="shared" si="17"/>
        <v>54388.618714606462</v>
      </c>
      <c r="V34" s="15">
        <f t="shared" si="17"/>
        <v>37995.566362654776</v>
      </c>
      <c r="W34" s="15">
        <f t="shared" si="17"/>
        <v>43038.52808681954</v>
      </c>
      <c r="X34" s="15">
        <f t="shared" si="17"/>
        <v>68578.562627181818</v>
      </c>
      <c r="Y34" s="15">
        <f t="shared" si="17"/>
        <v>72036.438830878978</v>
      </c>
      <c r="Z34" s="15"/>
      <c r="AD34" s="7"/>
    </row>
    <row r="35" spans="1:46" x14ac:dyDescent="0.3">
      <c r="F35" s="19"/>
      <c r="G35" s="19"/>
      <c r="H35" s="19"/>
      <c r="I35" s="108"/>
      <c r="J35" s="19"/>
      <c r="K35" s="19"/>
      <c r="L35" s="19"/>
      <c r="M35" s="108"/>
      <c r="N35" s="19"/>
      <c r="O35" s="19"/>
      <c r="P35" s="19"/>
      <c r="Q35" s="108"/>
      <c r="R35" s="15"/>
      <c r="S35" s="15"/>
      <c r="T35" s="15"/>
      <c r="U35" s="111"/>
      <c r="V35" s="15"/>
      <c r="W35" s="15"/>
      <c r="X35" s="15"/>
      <c r="Y35" s="15"/>
      <c r="Z35" s="15"/>
    </row>
    <row r="36" spans="1:46" x14ac:dyDescent="0.3">
      <c r="C36" s="3" t="s">
        <v>10</v>
      </c>
      <c r="F36" s="19">
        <v>-5210</v>
      </c>
      <c r="G36" s="19">
        <v>-3573</v>
      </c>
      <c r="H36" s="19">
        <v>-5031</v>
      </c>
      <c r="I36" s="108">
        <v>-20478</v>
      </c>
      <c r="J36" s="19">
        <v>-4046</v>
      </c>
      <c r="K36" s="19">
        <v>-9238</v>
      </c>
      <c r="L36" s="19">
        <v>-10002</v>
      </c>
      <c r="M36" s="108">
        <v>-3159</v>
      </c>
      <c r="N36" s="19">
        <v>-12974</v>
      </c>
      <c r="O36" s="19">
        <v>-1359</v>
      </c>
      <c r="P36" s="19">
        <v>-9746</v>
      </c>
      <c r="Q36" s="108">
        <v>-9240</v>
      </c>
      <c r="R36" s="15">
        <f>$F$10*R34</f>
        <v>-6024.855032861451</v>
      </c>
      <c r="S36" s="15">
        <f>$F$10*S34</f>
        <v>-6555.6098694599459</v>
      </c>
      <c r="T36" s="15">
        <f>$F$10*T34</f>
        <v>-9477.3411670649275</v>
      </c>
      <c r="U36" s="111">
        <f>$F$10*U34</f>
        <v>-9716.3412204193519</v>
      </c>
      <c r="V36" s="15">
        <f>$F$10*V34</f>
        <v>-6787.7783324454267</v>
      </c>
      <c r="W36" s="15">
        <f>$F$10*W34</f>
        <v>-7688.6862435400699</v>
      </c>
      <c r="X36" s="15">
        <f>$F$10*X34</f>
        <v>-12251.326300232886</v>
      </c>
      <c r="Y36" s="15">
        <f>$F$10*Y34</f>
        <v>-12869.064089629383</v>
      </c>
      <c r="Z36" s="15"/>
    </row>
    <row r="37" spans="1:46" x14ac:dyDescent="0.3">
      <c r="F37" s="112"/>
      <c r="G37" s="112"/>
      <c r="H37" s="112"/>
      <c r="I37" s="113"/>
      <c r="J37" s="112"/>
      <c r="K37" s="112"/>
      <c r="L37" s="112"/>
      <c r="M37" s="113"/>
      <c r="N37" s="112"/>
      <c r="O37" s="112"/>
      <c r="P37" s="112"/>
      <c r="Q37" s="113"/>
      <c r="R37" s="114"/>
      <c r="S37" s="114"/>
      <c r="T37" s="114"/>
      <c r="U37" s="115"/>
      <c r="V37" s="114"/>
      <c r="W37" s="114"/>
      <c r="X37" s="114"/>
      <c r="Y37" s="114"/>
      <c r="Z37" s="15"/>
    </row>
    <row r="38" spans="1:46" x14ac:dyDescent="0.3">
      <c r="C38" s="8" t="s">
        <v>11</v>
      </c>
      <c r="F38" s="19">
        <v>49819</v>
      </c>
      <c r="G38" s="19">
        <v>38789</v>
      </c>
      <c r="H38" s="19">
        <v>47403</v>
      </c>
      <c r="I38" s="108">
        <v>97962</v>
      </c>
      <c r="J38" s="19">
        <f>J34+J36</f>
        <v>23792</v>
      </c>
      <c r="K38" s="19">
        <f t="shared" ref="K38:M38" si="18">K34+K36</f>
        <v>28568</v>
      </c>
      <c r="L38" s="19">
        <f t="shared" si="18"/>
        <v>43022</v>
      </c>
      <c r="M38" s="108">
        <f t="shared" si="18"/>
        <v>36263</v>
      </c>
      <c r="N38" s="19">
        <f>N34+N36</f>
        <v>33237</v>
      </c>
      <c r="O38" s="19">
        <f>O34+O36</f>
        <v>-20076</v>
      </c>
      <c r="P38" s="19">
        <f>P34+P36</f>
        <v>20403</v>
      </c>
      <c r="Q38" s="108">
        <f>Q34+Q36</f>
        <v>33255</v>
      </c>
      <c r="R38" s="15">
        <f>R34+R36</f>
        <v>27700.138332381503</v>
      </c>
      <c r="S38" s="15">
        <f t="shared" ref="S38:Y38" si="19">S34+S36</f>
        <v>30140.360099406538</v>
      </c>
      <c r="T38" s="15">
        <f t="shared" si="19"/>
        <v>43573.440343209244</v>
      </c>
      <c r="U38" s="111">
        <f t="shared" si="19"/>
        <v>44672.27749418711</v>
      </c>
      <c r="V38" s="15">
        <f t="shared" si="19"/>
        <v>31207.788030209347</v>
      </c>
      <c r="W38" s="15">
        <f t="shared" si="19"/>
        <v>35349.841843279472</v>
      </c>
      <c r="X38" s="15">
        <f t="shared" si="19"/>
        <v>56327.236326948929</v>
      </c>
      <c r="Y38" s="15">
        <f t="shared" si="19"/>
        <v>59167.374741249594</v>
      </c>
      <c r="Z38" s="15"/>
    </row>
    <row r="39" spans="1:46" x14ac:dyDescent="0.3">
      <c r="C39" s="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5"/>
      <c r="S39" s="15"/>
      <c r="T39" s="15"/>
      <c r="U39" s="15"/>
      <c r="V39" s="15"/>
      <c r="W39" s="15"/>
      <c r="X39" s="15"/>
      <c r="Y39" s="15"/>
      <c r="Z39" s="15"/>
    </row>
    <row r="40" spans="1:46" x14ac:dyDescent="0.3">
      <c r="AA40" s="3"/>
      <c r="AB40" s="4"/>
    </row>
    <row r="41" spans="1:46" x14ac:dyDescent="0.3">
      <c r="S41" s="3"/>
      <c r="T41" s="3"/>
      <c r="U41" s="3"/>
      <c r="V41" s="3"/>
      <c r="W41" s="3"/>
      <c r="X41" s="3"/>
      <c r="Y41" s="3"/>
      <c r="AA41" s="3"/>
      <c r="AB41" s="4"/>
    </row>
    <row r="42" spans="1:46" ht="18" x14ac:dyDescent="0.3">
      <c r="B42" s="83" t="s">
        <v>25</v>
      </c>
      <c r="C42" s="83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5"/>
    </row>
    <row r="43" spans="1:46" s="4" customFormat="1" x14ac:dyDescent="0.3">
      <c r="A43" s="3"/>
      <c r="B43" s="3"/>
      <c r="C43" s="3"/>
      <c r="D43" s="17"/>
      <c r="E43" s="3"/>
      <c r="F43" s="3"/>
      <c r="G43" s="3"/>
      <c r="H43" s="3"/>
      <c r="I43" s="3"/>
      <c r="J43" s="3"/>
      <c r="K43" s="3"/>
      <c r="L43" s="3"/>
      <c r="M43" s="3"/>
      <c r="N43" s="20"/>
      <c r="O43" s="1"/>
      <c r="P43" s="1"/>
      <c r="Q43" s="1"/>
      <c r="R43" s="1"/>
      <c r="S43" s="19"/>
      <c r="T43" s="19"/>
      <c r="U43" s="19"/>
      <c r="V43" s="19"/>
      <c r="W43" s="19"/>
      <c r="X43" s="19"/>
      <c r="Y43" s="19"/>
      <c r="Z43" s="19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s="4" customFormat="1" x14ac:dyDescent="0.3">
      <c r="A44" s="3"/>
      <c r="B44" s="3"/>
      <c r="C44" s="3"/>
      <c r="D44" s="17"/>
      <c r="E44" s="3"/>
      <c r="F44" s="3"/>
      <c r="G44" s="3"/>
      <c r="H44" s="3"/>
      <c r="I44" s="3"/>
      <c r="J44" s="3"/>
      <c r="K44" s="3"/>
      <c r="L44" s="3"/>
      <c r="M44" s="3"/>
      <c r="N44" s="20"/>
      <c r="O44" s="1"/>
      <c r="P44" s="1"/>
      <c r="Q44" s="1"/>
      <c r="R44" s="1"/>
      <c r="S44" s="19"/>
      <c r="T44" s="19"/>
      <c r="U44" s="19"/>
      <c r="V44" s="19"/>
      <c r="W44" s="19"/>
      <c r="X44" s="19"/>
      <c r="Y44" s="19"/>
      <c r="Z44" s="19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s="2" customFormat="1" ht="15" customHeight="1" x14ac:dyDescent="0.3">
      <c r="F45" s="38">
        <f>YEAR(F47)</f>
        <v>2023</v>
      </c>
      <c r="G45" s="38"/>
      <c r="H45" s="38"/>
      <c r="I45" s="105"/>
      <c r="J45" s="38">
        <f>YEAR(J47)</f>
        <v>2024</v>
      </c>
      <c r="K45" s="38"/>
      <c r="L45" s="38"/>
      <c r="M45" s="105"/>
      <c r="N45" s="38">
        <f t="shared" ref="N45" si="20">YEAR(N47)</f>
        <v>2025</v>
      </c>
      <c r="O45" s="38"/>
      <c r="P45" s="38"/>
      <c r="Q45" s="105"/>
      <c r="R45" s="40">
        <f>YEAR(R47)</f>
        <v>2026</v>
      </c>
      <c r="S45" s="40"/>
      <c r="T45" s="40"/>
      <c r="U45" s="109"/>
      <c r="V45" s="40">
        <f>YEAR(V47)</f>
        <v>2027</v>
      </c>
      <c r="W45" s="40"/>
      <c r="X45" s="40"/>
      <c r="Y45" s="40"/>
      <c r="Z45" s="37"/>
    </row>
    <row r="46" spans="1:46" s="2" customFormat="1" ht="15" customHeight="1" x14ac:dyDescent="0.3">
      <c r="B46" s="17"/>
      <c r="C46" s="3"/>
      <c r="D46" s="42"/>
      <c r="F46" s="30">
        <v>1</v>
      </c>
      <c r="G46" s="30">
        <f>F46+1</f>
        <v>2</v>
      </c>
      <c r="H46" s="30">
        <f t="shared" ref="H46:I46" si="21">G46+1</f>
        <v>3</v>
      </c>
      <c r="I46" s="90">
        <f t="shared" si="21"/>
        <v>4</v>
      </c>
      <c r="J46" s="30">
        <v>1</v>
      </c>
      <c r="K46" s="30">
        <f>J46+1</f>
        <v>2</v>
      </c>
      <c r="L46" s="30">
        <f t="shared" ref="L46:M46" si="22">K46+1</f>
        <v>3</v>
      </c>
      <c r="M46" s="90">
        <f t="shared" si="22"/>
        <v>4</v>
      </c>
      <c r="N46" s="30">
        <v>1</v>
      </c>
      <c r="O46" s="30">
        <f>N46+1</f>
        <v>2</v>
      </c>
      <c r="P46" s="30">
        <f t="shared" ref="P46:Q46" si="23">O46+1</f>
        <v>3</v>
      </c>
      <c r="Q46" s="90">
        <f t="shared" si="23"/>
        <v>4</v>
      </c>
      <c r="R46" s="37">
        <v>1</v>
      </c>
      <c r="S46" s="37">
        <f t="shared" ref="S46:U46" si="24">R46+1</f>
        <v>2</v>
      </c>
      <c r="T46" s="37">
        <f t="shared" si="24"/>
        <v>3</v>
      </c>
      <c r="U46" s="93">
        <f t="shared" si="24"/>
        <v>4</v>
      </c>
      <c r="V46" s="37">
        <v>2</v>
      </c>
      <c r="W46" s="37">
        <f t="shared" ref="W46:Y46" si="25">V46+1</f>
        <v>3</v>
      </c>
      <c r="X46" s="37">
        <f t="shared" si="25"/>
        <v>4</v>
      </c>
      <c r="Y46" s="37">
        <f t="shared" si="25"/>
        <v>5</v>
      </c>
      <c r="Z46" s="37"/>
    </row>
    <row r="47" spans="1:46" s="2" customFormat="1" ht="15" customHeight="1" thickBot="1" x14ac:dyDescent="0.35">
      <c r="C47" s="6" t="s">
        <v>13</v>
      </c>
      <c r="F47" s="87">
        <v>45016</v>
      </c>
      <c r="G47" s="87">
        <f>EOMONTH(F47,3)</f>
        <v>45107</v>
      </c>
      <c r="H47" s="87">
        <f t="shared" ref="H47:I47" si="26">EOMONTH(G47,3)</f>
        <v>45199</v>
      </c>
      <c r="I47" s="91">
        <f t="shared" si="26"/>
        <v>45291</v>
      </c>
      <c r="J47" s="87">
        <v>45382</v>
      </c>
      <c r="K47" s="87">
        <f>EOMONTH(J47,3)</f>
        <v>45473</v>
      </c>
      <c r="L47" s="87">
        <f t="shared" ref="L47:Y47" si="27">EOMONTH(K47,3)</f>
        <v>45565</v>
      </c>
      <c r="M47" s="91">
        <f t="shared" si="27"/>
        <v>45657</v>
      </c>
      <c r="N47" s="87">
        <f t="shared" si="27"/>
        <v>45747</v>
      </c>
      <c r="O47" s="87">
        <f t="shared" si="27"/>
        <v>45838</v>
      </c>
      <c r="P47" s="87">
        <f t="shared" si="27"/>
        <v>45930</v>
      </c>
      <c r="Q47" s="91">
        <f t="shared" si="27"/>
        <v>46022</v>
      </c>
      <c r="R47" s="88">
        <f t="shared" si="27"/>
        <v>46112</v>
      </c>
      <c r="S47" s="88">
        <f t="shared" si="27"/>
        <v>46203</v>
      </c>
      <c r="T47" s="88">
        <f t="shared" si="27"/>
        <v>46295</v>
      </c>
      <c r="U47" s="94">
        <f t="shared" si="27"/>
        <v>46387</v>
      </c>
      <c r="V47" s="88">
        <f t="shared" si="27"/>
        <v>46477</v>
      </c>
      <c r="W47" s="88">
        <f t="shared" si="27"/>
        <v>46568</v>
      </c>
      <c r="X47" s="88">
        <f t="shared" si="27"/>
        <v>46660</v>
      </c>
      <c r="Y47" s="88">
        <f t="shared" si="27"/>
        <v>46752</v>
      </c>
      <c r="Z47" s="41"/>
    </row>
    <row r="48" spans="1:46" s="2" customFormat="1" ht="15" customHeight="1" x14ac:dyDescent="0.3">
      <c r="C48" s="6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41"/>
      <c r="S48" s="41"/>
      <c r="T48" s="41"/>
      <c r="U48" s="41"/>
      <c r="V48" s="41"/>
      <c r="W48" s="41"/>
      <c r="X48" s="41"/>
      <c r="Y48" s="41"/>
      <c r="Z48" s="41"/>
    </row>
    <row r="49" spans="1:46" s="4" customForma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T49" s="25"/>
      <c r="U49" s="25"/>
      <c r="V49" s="25"/>
      <c r="W49" s="25"/>
      <c r="X49" s="25"/>
      <c r="Y49" s="25"/>
      <c r="Z49" s="25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4" customFormat="1" x14ac:dyDescent="0.3">
      <c r="A50" s="3"/>
      <c r="B50" s="3"/>
      <c r="F50" s="3"/>
      <c r="G50" s="3"/>
      <c r="H50" s="3"/>
      <c r="I50" s="3"/>
      <c r="J50" s="3"/>
      <c r="K50" s="3"/>
      <c r="L50" s="3"/>
      <c r="M50" s="3"/>
      <c r="W50" s="25"/>
      <c r="X50" s="25"/>
      <c r="Y50" s="25"/>
      <c r="Z50" s="25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4" customFormat="1" x14ac:dyDescent="0.3">
      <c r="A51" s="3"/>
      <c r="B51" s="3"/>
      <c r="C51" s="14" t="s">
        <v>16</v>
      </c>
      <c r="D51" s="36">
        <f>Outputs!E11</f>
        <v>3</v>
      </c>
      <c r="F51" s="3"/>
      <c r="G51" s="3"/>
      <c r="H51" s="3"/>
      <c r="I51" s="3"/>
      <c r="J51" s="3"/>
      <c r="K51" s="3"/>
      <c r="L51" s="3"/>
      <c r="M51" s="3"/>
      <c r="R51" s="14"/>
      <c r="T51" s="36"/>
      <c r="W51" s="25"/>
      <c r="X51" s="25"/>
      <c r="Y51" s="25"/>
      <c r="Z51" s="25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x14ac:dyDescent="0.3">
      <c r="G52" s="21"/>
      <c r="N52" s="3"/>
      <c r="R52" s="13"/>
      <c r="S52" s="3"/>
      <c r="T52" s="3"/>
      <c r="U52" s="3"/>
      <c r="V52" s="3"/>
    </row>
    <row r="53" spans="1:46" x14ac:dyDescent="0.3">
      <c r="G53" s="21"/>
      <c r="N53" s="3"/>
      <c r="S53" s="3"/>
      <c r="T53" s="3"/>
      <c r="U53" s="3"/>
      <c r="V53" s="3"/>
    </row>
    <row r="54" spans="1:46" x14ac:dyDescent="0.3">
      <c r="C54" s="17" t="s">
        <v>17</v>
      </c>
      <c r="G54" s="49">
        <f t="shared" ref="G54:O54" si="28">G22/F22-1</f>
        <v>-5.6051022145392149E-2</v>
      </c>
      <c r="H54" s="49">
        <f t="shared" si="28"/>
        <v>-2.7705711788454379E-2</v>
      </c>
      <c r="I54" s="49">
        <f t="shared" si="28"/>
        <v>8.1081209630623263E-2</v>
      </c>
      <c r="J54" s="49">
        <f t="shared" si="28"/>
        <v>-0.17180467502298791</v>
      </c>
      <c r="K54" s="49">
        <f t="shared" si="28"/>
        <v>0.12867941968625662</v>
      </c>
      <c r="L54" s="49">
        <f t="shared" si="28"/>
        <v>9.1129874897630581E-2</v>
      </c>
      <c r="M54" s="49">
        <f t="shared" si="28"/>
        <v>8.5067377538520006E-2</v>
      </c>
      <c r="N54" s="49">
        <f t="shared" si="28"/>
        <v>-3.4108662725751415E-3</v>
      </c>
      <c r="O54" s="49">
        <f t="shared" si="28"/>
        <v>-0.16567806582605682</v>
      </c>
      <c r="P54" s="49">
        <f>P22/O22-1</f>
        <v>0.26049331363521189</v>
      </c>
      <c r="Q54" s="49">
        <f>Q22/P22-1</f>
        <v>1.9773100542024968E-2</v>
      </c>
      <c r="R54" s="48" cm="1">
        <f t="array" ref="R54">INDEX(R56:R58,$D$51)</f>
        <v>6.4909318756530276E-2</v>
      </c>
      <c r="S54" s="46" cm="1">
        <f t="array" ref="S54">INDEX(S56:S58,$D$51)</f>
        <v>7.4967508251448919E-2</v>
      </c>
      <c r="T54" s="46" cm="1">
        <f t="array" ref="T54">INDEX(T56:T58,$D$51)</f>
        <v>8.5136227301256792E-2</v>
      </c>
      <c r="U54" s="46" cm="1">
        <f t="array" ref="U54">INDEX(U56:U58,$D$51)</f>
        <v>9.5415475905953881E-2</v>
      </c>
      <c r="V54" s="46" cm="1">
        <f t="array" ref="V54">INDEX(V56:V58,$D$51)</f>
        <v>0.10558419495576175</v>
      </c>
      <c r="W54" s="46" cm="1">
        <f t="array" ref="W54">INDEX(W56:W58,$D$51)</f>
        <v>0.11564238445068041</v>
      </c>
      <c r="X54" s="46" cm="1">
        <f t="array" ref="X54">INDEX(X56:X58,$D$51)</f>
        <v>0.1258111035004883</v>
      </c>
      <c r="Y54" s="47" cm="1">
        <f t="array" ref="Y54">INDEX(Y56:Y58,$D$51)</f>
        <v>0.13609035210518539</v>
      </c>
      <c r="AC54" s="7"/>
    </row>
    <row r="55" spans="1:46" x14ac:dyDescent="0.3">
      <c r="G55" s="7"/>
      <c r="N55" s="3"/>
      <c r="S55" s="3"/>
      <c r="T55" s="3"/>
      <c r="U55" s="3"/>
      <c r="V55" s="3"/>
    </row>
    <row r="56" spans="1:46" x14ac:dyDescent="0.3">
      <c r="D56" s="51" t="s">
        <v>26</v>
      </c>
      <c r="G56" s="7"/>
      <c r="N56" s="3"/>
      <c r="R56" s="16">
        <f>R57-0.01</f>
        <v>4.490931875653028E-2</v>
      </c>
      <c r="S56" s="16">
        <f t="shared" ref="S56:Y56" si="29">S57-0.01</f>
        <v>5.4967508251448922E-2</v>
      </c>
      <c r="T56" s="16">
        <f t="shared" si="29"/>
        <v>6.5136227301256802E-2</v>
      </c>
      <c r="U56" s="16">
        <f t="shared" si="29"/>
        <v>7.5415475905953891E-2</v>
      </c>
      <c r="V56" s="16">
        <f t="shared" si="29"/>
        <v>8.5584194955761764E-2</v>
      </c>
      <c r="W56" s="16">
        <f t="shared" si="29"/>
        <v>9.564238445068042E-2</v>
      </c>
      <c r="X56" s="16">
        <f t="shared" si="29"/>
        <v>0.10581110350048829</v>
      </c>
      <c r="Y56" s="16">
        <f t="shared" si="29"/>
        <v>0.11609035210518538</v>
      </c>
    </row>
    <row r="57" spans="1:46" x14ac:dyDescent="0.3">
      <c r="D57" s="51" t="s">
        <v>27</v>
      </c>
      <c r="G57" s="7"/>
      <c r="N57" s="3"/>
      <c r="R57" s="50">
        <f>_xlfn.FORECAST.ETS(R47,$G$54:$Q$54,$G$47:$Q$47)</f>
        <v>5.4909318756530281E-2</v>
      </c>
      <c r="S57" s="50">
        <f t="shared" ref="S57:Y57" si="30">_xlfn.FORECAST.ETS(S47,$G$54:$Q$54,$G$47:$Q$47)</f>
        <v>6.4967508251448924E-2</v>
      </c>
      <c r="T57" s="50">
        <f t="shared" si="30"/>
        <v>7.5136227301256797E-2</v>
      </c>
      <c r="U57" s="50">
        <f t="shared" si="30"/>
        <v>8.5415475905953886E-2</v>
      </c>
      <c r="V57" s="50">
        <f t="shared" si="30"/>
        <v>9.5584194955761759E-2</v>
      </c>
      <c r="W57" s="50">
        <f t="shared" si="30"/>
        <v>0.10564238445068042</v>
      </c>
      <c r="X57" s="50">
        <f t="shared" si="30"/>
        <v>0.11581110350048829</v>
      </c>
      <c r="Y57" s="50">
        <f t="shared" si="30"/>
        <v>0.12609035210518538</v>
      </c>
    </row>
    <row r="58" spans="1:46" x14ac:dyDescent="0.3">
      <c r="D58" s="51" t="s">
        <v>28</v>
      </c>
      <c r="G58" s="7"/>
      <c r="N58" s="3"/>
      <c r="R58" s="16">
        <f>R57+0.01</f>
        <v>6.4909318756530276E-2</v>
      </c>
      <c r="S58" s="16">
        <f t="shared" ref="S58:Y58" si="31">S57+0.01</f>
        <v>7.4967508251448919E-2</v>
      </c>
      <c r="T58" s="16">
        <f t="shared" si="31"/>
        <v>8.5136227301256792E-2</v>
      </c>
      <c r="U58" s="16">
        <f t="shared" si="31"/>
        <v>9.5415475905953881E-2</v>
      </c>
      <c r="V58" s="16">
        <f t="shared" si="31"/>
        <v>0.10558419495576175</v>
      </c>
      <c r="W58" s="16">
        <f t="shared" si="31"/>
        <v>0.11564238445068041</v>
      </c>
      <c r="X58" s="16">
        <f t="shared" si="31"/>
        <v>0.1258111035004883</v>
      </c>
      <c r="Y58" s="16">
        <f t="shared" si="31"/>
        <v>0.13609035210518539</v>
      </c>
    </row>
    <row r="59" spans="1:46" x14ac:dyDescent="0.3">
      <c r="G59" s="7"/>
      <c r="N59" s="3"/>
      <c r="S59" s="3"/>
      <c r="T59" s="3"/>
      <c r="U59" s="3"/>
      <c r="V59" s="3"/>
    </row>
    <row r="60" spans="1:46" x14ac:dyDescent="0.3">
      <c r="C60" s="17" t="s">
        <v>29</v>
      </c>
      <c r="F60" s="49">
        <f>F28/F22</f>
        <v>-0.20106339789677707</v>
      </c>
      <c r="G60" s="49">
        <f>G28/G22</f>
        <v>-0.2240689613710882</v>
      </c>
      <c r="H60" s="49">
        <f t="shared" ref="H60:Q60" si="32">H28/H22</f>
        <v>-0.1941059520751881</v>
      </c>
      <c r="I60" s="49">
        <f t="shared" si="32"/>
        <v>-0.20346865059636682</v>
      </c>
      <c r="J60" s="49">
        <f t="shared" si="32"/>
        <v>-0.23925989279813858</v>
      </c>
      <c r="K60" s="49">
        <f t="shared" si="32"/>
        <v>-0.22987678028484557</v>
      </c>
      <c r="L60" s="49">
        <f t="shared" si="32"/>
        <v>-0.21815742705799127</v>
      </c>
      <c r="M60" s="49">
        <f t="shared" si="32"/>
        <v>-0.20535164123093314</v>
      </c>
      <c r="N60" s="49">
        <f t="shared" si="32"/>
        <v>-0.22021532484213632</v>
      </c>
      <c r="O60" s="49">
        <f t="shared" si="32"/>
        <v>-0.24920514254842058</v>
      </c>
      <c r="P60" s="49">
        <f t="shared" si="32"/>
        <v>-0.20871943286514616</v>
      </c>
      <c r="Q60" s="49">
        <f t="shared" si="32"/>
        <v>-0.22225073831893891</v>
      </c>
      <c r="R60" s="48" cm="1">
        <f t="array" ref="R60">INDEX(R62:R64,$D$51)</f>
        <v>-0.2355887199159109</v>
      </c>
      <c r="S60" s="46" cm="1">
        <f t="array" ref="S60">INDEX(S62:S64,$D$51)</f>
        <v>-0.24206096044102876</v>
      </c>
      <c r="T60" s="46" cm="1">
        <f t="array" ref="T60">INDEX(T62:T64,$D$51)</f>
        <v>-0.21592018772661423</v>
      </c>
      <c r="U60" s="46" cm="1">
        <f t="array" ref="U60">INDEX(U62:U64,$D$51)</f>
        <v>-0.2174332725850075</v>
      </c>
      <c r="V60" s="46" cm="1">
        <f t="array" ref="V60">INDEX(V62:V64,$D$51)</f>
        <v>-0.24545823162121644</v>
      </c>
      <c r="W60" s="46" cm="1">
        <f t="array" ref="W60">INDEX(W62:W64,$D$51)</f>
        <v>-0.25193047214633435</v>
      </c>
      <c r="X60" s="46" cm="1">
        <f t="array" ref="X60">INDEX(X62:X64,$D$51)</f>
        <v>-0.22578969943191976</v>
      </c>
      <c r="Y60" s="47" cm="1">
        <f t="array" ref="Y60">INDEX(Y62:Y64,$D$51)</f>
        <v>-0.22730278429031309</v>
      </c>
    </row>
    <row r="61" spans="1:46" x14ac:dyDescent="0.3">
      <c r="G61" s="7"/>
      <c r="N61" s="3"/>
      <c r="S61" s="3"/>
      <c r="T61" s="3"/>
      <c r="U61" s="3"/>
      <c r="V61" s="3"/>
    </row>
    <row r="62" spans="1:46" x14ac:dyDescent="0.3">
      <c r="D62" s="51" t="s">
        <v>26</v>
      </c>
      <c r="G62" s="7"/>
      <c r="N62" s="3"/>
      <c r="R62" s="16">
        <f>R63-0.01</f>
        <v>-0.25558871991591092</v>
      </c>
      <c r="S62" s="16">
        <f t="shared" ref="S62:Y62" si="33">S63-0.01</f>
        <v>-0.26206096044102878</v>
      </c>
      <c r="T62" s="16">
        <f t="shared" si="33"/>
        <v>-0.23592018772661424</v>
      </c>
      <c r="U62" s="16">
        <f t="shared" si="33"/>
        <v>-0.23743327258500752</v>
      </c>
      <c r="V62" s="16">
        <f t="shared" si="33"/>
        <v>-0.26545823162121646</v>
      </c>
      <c r="W62" s="16">
        <f t="shared" si="33"/>
        <v>-0.27193047214633437</v>
      </c>
      <c r="X62" s="16">
        <f t="shared" si="33"/>
        <v>-0.24578969943191978</v>
      </c>
      <c r="Y62" s="16">
        <f t="shared" si="33"/>
        <v>-0.2473027842903131</v>
      </c>
    </row>
    <row r="63" spans="1:46" x14ac:dyDescent="0.3">
      <c r="D63" s="51" t="s">
        <v>27</v>
      </c>
      <c r="N63" s="3"/>
      <c r="R63" s="50">
        <f>_xlfn.FORECAST.ETS(R47,$F$60:$Q$60,$F$47:$Q$47)</f>
        <v>-0.24558871991591091</v>
      </c>
      <c r="S63" s="50">
        <f t="shared" ref="S63:Y63" si="34">_xlfn.FORECAST.ETS(S47,$F$60:$Q$60,$F$47:$Q$47)</f>
        <v>-0.25206096044102877</v>
      </c>
      <c r="T63" s="50">
        <f t="shared" si="34"/>
        <v>-0.22592018772661424</v>
      </c>
      <c r="U63" s="50">
        <f t="shared" si="34"/>
        <v>-0.22743327258500751</v>
      </c>
      <c r="V63" s="50">
        <f t="shared" si="34"/>
        <v>-0.25545823162121645</v>
      </c>
      <c r="W63" s="50">
        <f t="shared" si="34"/>
        <v>-0.26193047214633436</v>
      </c>
      <c r="X63" s="50">
        <f t="shared" si="34"/>
        <v>-0.23578969943191977</v>
      </c>
      <c r="Y63" s="50">
        <f t="shared" si="34"/>
        <v>-0.2373027842903131</v>
      </c>
    </row>
    <row r="64" spans="1:46" x14ac:dyDescent="0.3">
      <c r="D64" s="51" t="s">
        <v>28</v>
      </c>
      <c r="N64" s="3"/>
      <c r="R64" s="16">
        <f>R63+0.01</f>
        <v>-0.2355887199159109</v>
      </c>
      <c r="S64" s="16">
        <f t="shared" ref="S64:Y64" si="35">S63+0.01</f>
        <v>-0.24206096044102876</v>
      </c>
      <c r="T64" s="16">
        <f t="shared" si="35"/>
        <v>-0.21592018772661423</v>
      </c>
      <c r="U64" s="16">
        <f t="shared" si="35"/>
        <v>-0.2174332725850075</v>
      </c>
      <c r="V64" s="16">
        <f t="shared" si="35"/>
        <v>-0.24545823162121644</v>
      </c>
      <c r="W64" s="16">
        <f t="shared" si="35"/>
        <v>-0.25193047214633435</v>
      </c>
      <c r="X64" s="16">
        <f t="shared" si="35"/>
        <v>-0.22578969943191976</v>
      </c>
      <c r="Y64" s="16">
        <f t="shared" si="35"/>
        <v>-0.22730278429031309</v>
      </c>
      <c r="Z64" s="7"/>
    </row>
    <row r="65" spans="3:26" x14ac:dyDescent="0.3">
      <c r="N65" s="3"/>
      <c r="S65" s="3"/>
      <c r="T65" s="3"/>
      <c r="U65" s="3"/>
      <c r="V65" s="3"/>
      <c r="W65" s="7"/>
      <c r="X65" s="7"/>
      <c r="Y65" s="7"/>
      <c r="Z65" s="7"/>
    </row>
    <row r="66" spans="3:26" x14ac:dyDescent="0.3">
      <c r="C66" s="17" t="s">
        <v>30</v>
      </c>
      <c r="F66" s="49">
        <f>F26/F22</f>
        <v>-0.20494855441620066</v>
      </c>
      <c r="G66" s="49">
        <f t="shared" ref="G66:Q66" si="36">G26/G22</f>
        <v>-0.18970851426906588</v>
      </c>
      <c r="H66" s="49">
        <f t="shared" si="36"/>
        <v>-0.17618408911465616</v>
      </c>
      <c r="I66" s="49">
        <f t="shared" si="36"/>
        <v>-0.18699212030286899</v>
      </c>
      <c r="J66" s="49">
        <f t="shared" si="36"/>
        <v>-0.21491370197032558</v>
      </c>
      <c r="K66" s="49">
        <f t="shared" si="36"/>
        <v>-0.19904361168375176</v>
      </c>
      <c r="L66" s="49">
        <f t="shared" si="36"/>
        <v>-0.18383025346377488</v>
      </c>
      <c r="M66" s="49">
        <f t="shared" si="36"/>
        <v>-0.19836294320390857</v>
      </c>
      <c r="N66" s="49">
        <f t="shared" si="36"/>
        <v>-0.21190230203716925</v>
      </c>
      <c r="O66" s="49">
        <f t="shared" si="36"/>
        <v>-0.27626615413301969</v>
      </c>
      <c r="P66" s="49">
        <f t="shared" si="36"/>
        <v>-0.21417761273853461</v>
      </c>
      <c r="Q66" s="49">
        <f t="shared" si="36"/>
        <v>-0.17474540084953172</v>
      </c>
      <c r="R66" s="48" cm="1">
        <f t="array" ref="R66">INDEX(R68:R70,$D$51)</f>
        <v>-0.23171730217654854</v>
      </c>
      <c r="S66" s="46" cm="1">
        <f t="array" ref="S66">INDEX(S68:S70,$D$51)</f>
        <v>-0.2238066507028337</v>
      </c>
      <c r="T66" s="46" cm="1">
        <f t="array" ref="T66">INDEX(T68:T70,$D$51)</f>
        <v>-0.21033124139999057</v>
      </c>
      <c r="U66" s="46" cm="1">
        <f t="array" ref="U66">INDEX(U68:U70,$D$51)</f>
        <v>-0.21899763147997772</v>
      </c>
      <c r="V66" s="46" cm="1">
        <f t="array" ref="V66">INDEX(V68:V70,$D$51)</f>
        <v>-0.24570103824804024</v>
      </c>
      <c r="W66" s="46" cm="1">
        <f t="array" ref="W66">INDEX(W68:W70,$D$51)</f>
        <v>-0.23779038677432537</v>
      </c>
      <c r="X66" s="46" cm="1">
        <f t="array" ref="X66">INDEX(X68:X70,$D$51)</f>
        <v>-0.22431497747148224</v>
      </c>
      <c r="Y66" s="47" cm="1">
        <f t="array" ref="Y66">INDEX(Y68:Y70,$D$51)</f>
        <v>-0.23298136755146936</v>
      </c>
      <c r="Z66" s="7"/>
    </row>
    <row r="67" spans="3:26" x14ac:dyDescent="0.3">
      <c r="N67" s="3"/>
      <c r="S67" s="3"/>
      <c r="T67" s="3"/>
      <c r="U67" s="3"/>
      <c r="V67" s="3"/>
    </row>
    <row r="68" spans="3:26" x14ac:dyDescent="0.3">
      <c r="D68" s="51" t="s">
        <v>26</v>
      </c>
      <c r="N68" s="3"/>
      <c r="R68" s="16">
        <f>R69-0.01</f>
        <v>-0.25171730217654853</v>
      </c>
      <c r="S68" s="16">
        <f t="shared" ref="S68:Y68" si="37">S69-0.01</f>
        <v>-0.24380665070283372</v>
      </c>
      <c r="T68" s="16">
        <f t="shared" si="37"/>
        <v>-0.23033124139999059</v>
      </c>
      <c r="U68" s="16">
        <f t="shared" si="37"/>
        <v>-0.23899763147997774</v>
      </c>
      <c r="V68" s="16">
        <f t="shared" si="37"/>
        <v>-0.26570103824804026</v>
      </c>
      <c r="W68" s="16">
        <f t="shared" si="37"/>
        <v>-0.25779038677432536</v>
      </c>
      <c r="X68" s="16">
        <f t="shared" si="37"/>
        <v>-0.24431497747148226</v>
      </c>
      <c r="Y68" s="16">
        <f t="shared" si="37"/>
        <v>-0.25298136755146938</v>
      </c>
    </row>
    <row r="69" spans="3:26" x14ac:dyDescent="0.3">
      <c r="D69" s="51" t="s">
        <v>27</v>
      </c>
      <c r="N69" s="3"/>
      <c r="R69" s="50">
        <f>_xlfn.FORECAST.ETS(R47,$F$66:$Q$66,$F$47:$Q$47)</f>
        <v>-0.24171730217654855</v>
      </c>
      <c r="S69" s="50">
        <f>_xlfn.FORECAST.ETS(S47,$F$66:$Q$66,$F$47:$Q$47)</f>
        <v>-0.23380665070283371</v>
      </c>
      <c r="T69" s="50">
        <f t="shared" ref="S69:Y69" si="38">_xlfn.FORECAST.ETS(T47,$F$66:$Q$66,$F$47:$Q$47)</f>
        <v>-0.22033124139999058</v>
      </c>
      <c r="U69" s="50">
        <f t="shared" si="38"/>
        <v>-0.22899763147997773</v>
      </c>
      <c r="V69" s="50">
        <f t="shared" si="38"/>
        <v>-0.25570103824804025</v>
      </c>
      <c r="W69" s="50">
        <f t="shared" si="38"/>
        <v>-0.24779038677432538</v>
      </c>
      <c r="X69" s="50">
        <f t="shared" si="38"/>
        <v>-0.23431497747148225</v>
      </c>
      <c r="Y69" s="50">
        <f t="shared" si="38"/>
        <v>-0.24298136755146937</v>
      </c>
    </row>
    <row r="70" spans="3:26" x14ac:dyDescent="0.3">
      <c r="D70" s="51" t="s">
        <v>28</v>
      </c>
      <c r="N70" s="3"/>
      <c r="R70" s="16">
        <f>R69+0.01</f>
        <v>-0.23171730217654854</v>
      </c>
      <c r="S70" s="16">
        <f t="shared" ref="S70:Y70" si="39">S69+0.01</f>
        <v>-0.2238066507028337</v>
      </c>
      <c r="T70" s="16">
        <f t="shared" si="39"/>
        <v>-0.21033124139999057</v>
      </c>
      <c r="U70" s="16">
        <f t="shared" si="39"/>
        <v>-0.21899763147997772</v>
      </c>
      <c r="V70" s="16">
        <f t="shared" si="39"/>
        <v>-0.24570103824804024</v>
      </c>
      <c r="W70" s="16">
        <f t="shared" si="39"/>
        <v>-0.23779038677432537</v>
      </c>
      <c r="X70" s="16">
        <f t="shared" si="39"/>
        <v>-0.22431497747148224</v>
      </c>
      <c r="Y70" s="16">
        <f t="shared" si="39"/>
        <v>-0.23298136755146936</v>
      </c>
    </row>
    <row r="71" spans="3:26" x14ac:dyDescent="0.3">
      <c r="N71" s="3"/>
      <c r="S71" s="3"/>
      <c r="T71" s="3"/>
      <c r="U71" s="3"/>
      <c r="V71" s="3"/>
    </row>
    <row r="72" spans="3:26" x14ac:dyDescent="0.3">
      <c r="N72" s="3"/>
      <c r="S72" s="3"/>
      <c r="T72" s="3"/>
      <c r="U72" s="7"/>
      <c r="V72" s="3"/>
    </row>
    <row r="73" spans="3:26" x14ac:dyDescent="0.3">
      <c r="N73" s="3"/>
      <c r="S73" s="3"/>
      <c r="T73" s="3"/>
      <c r="U73" s="3"/>
      <c r="V73" s="3"/>
    </row>
    <row r="74" spans="3:26" x14ac:dyDescent="0.3">
      <c r="N74" s="3"/>
      <c r="S74" s="3"/>
      <c r="T74" s="3"/>
      <c r="U74" s="7"/>
      <c r="V74" s="3"/>
    </row>
    <row r="75" spans="3:26" x14ac:dyDescent="0.3">
      <c r="N75" s="3"/>
      <c r="S75" s="3"/>
      <c r="T75" s="3"/>
      <c r="U75" s="3"/>
      <c r="V75" s="3"/>
    </row>
    <row r="76" spans="3:26" ht="15.75" x14ac:dyDescent="0.3">
      <c r="N76"/>
      <c r="O76"/>
      <c r="P76"/>
      <c r="Q76" s="13"/>
      <c r="S76" s="39"/>
      <c r="T76" s="24"/>
      <c r="U76" s="7"/>
      <c r="V76" s="3"/>
      <c r="W76" s="3"/>
      <c r="X76" s="3"/>
      <c r="Y76" s="3"/>
      <c r="Z76" s="3"/>
    </row>
    <row r="77" spans="3:26" ht="15.75" x14ac:dyDescent="0.3">
      <c r="N77" s="52"/>
      <c r="O77" s="52"/>
      <c r="P77" s="52"/>
      <c r="Q77" s="13"/>
      <c r="S77" s="9"/>
      <c r="T77" s="9"/>
      <c r="V77" s="3"/>
      <c r="W77" s="3"/>
      <c r="X77" s="3"/>
      <c r="Y77" s="3"/>
      <c r="Z77" s="3"/>
    </row>
    <row r="78" spans="3:26" ht="15.75" x14ac:dyDescent="0.3">
      <c r="N78" s="53"/>
      <c r="O78" s="53"/>
      <c r="P78" s="52"/>
      <c r="S78" s="3"/>
      <c r="T78" s="3"/>
      <c r="V78" s="3"/>
      <c r="W78" s="3"/>
      <c r="X78" s="3"/>
      <c r="Y78" s="3"/>
      <c r="Z78" s="3"/>
    </row>
    <row r="79" spans="3:26" ht="15.75" x14ac:dyDescent="0.3">
      <c r="N79" s="43"/>
      <c r="O79" s="43"/>
      <c r="P79" s="52"/>
      <c r="S79" s="9"/>
      <c r="T79" s="9"/>
      <c r="V79" s="3"/>
      <c r="W79" s="3"/>
      <c r="X79" s="3"/>
      <c r="Y79" s="3"/>
      <c r="Z79" s="3"/>
    </row>
    <row r="80" spans="3:26" ht="15.75" x14ac:dyDescent="0.3">
      <c r="N80" s="43"/>
      <c r="O80" s="43"/>
      <c r="P80" s="52"/>
      <c r="S80" s="9"/>
      <c r="T80" s="9"/>
      <c r="U80" s="3"/>
      <c r="V80" s="3"/>
      <c r="W80" s="3"/>
      <c r="X80" s="3"/>
      <c r="Y80" s="3"/>
      <c r="Z80" s="3"/>
    </row>
    <row r="81" spans="14:26" ht="15.75" x14ac:dyDescent="0.3">
      <c r="N81" s="43"/>
      <c r="O81" s="43"/>
      <c r="P81" s="52"/>
      <c r="S81" s="9"/>
      <c r="T81" s="9"/>
      <c r="U81" s="3"/>
      <c r="V81" s="3"/>
      <c r="W81" s="3"/>
      <c r="X81" s="3"/>
      <c r="Y81" s="3"/>
      <c r="Z81" s="3"/>
    </row>
    <row r="82" spans="14:26" ht="15.75" x14ac:dyDescent="0.3">
      <c r="N82" s="43"/>
      <c r="O82" s="43"/>
      <c r="P82" s="52"/>
      <c r="S82" s="3"/>
      <c r="T82" s="3"/>
      <c r="U82" s="3"/>
      <c r="V82" s="3"/>
      <c r="W82" s="3"/>
      <c r="X82" s="3"/>
      <c r="Y82" s="3"/>
      <c r="Z82" s="3"/>
    </row>
    <row r="83" spans="14:26" ht="15.75" x14ac:dyDescent="0.3">
      <c r="N83" s="43"/>
      <c r="O83" s="43"/>
      <c r="P83" s="52"/>
      <c r="S83" s="3"/>
      <c r="T83" s="3"/>
      <c r="U83" s="3"/>
      <c r="V83" s="3"/>
      <c r="W83" s="3"/>
      <c r="X83" s="3"/>
      <c r="Y83" s="3"/>
      <c r="Z83" s="3"/>
    </row>
    <row r="84" spans="14:26" ht="15.75" x14ac:dyDescent="0.3">
      <c r="N84" s="52"/>
      <c r="O84" s="52"/>
      <c r="P84" s="52"/>
      <c r="S84" s="3"/>
      <c r="T84" s="3"/>
      <c r="U84" s="3"/>
      <c r="V84" s="3"/>
      <c r="W84" s="3"/>
      <c r="X84" s="3"/>
      <c r="Y84" s="3"/>
      <c r="Z84" s="3"/>
    </row>
    <row r="85" spans="14:26" ht="15.75" x14ac:dyDescent="0.3">
      <c r="N85" s="52"/>
      <c r="O85" s="52"/>
      <c r="P85" s="52"/>
      <c r="S85" s="3"/>
      <c r="T85" s="3"/>
      <c r="U85" s="3"/>
      <c r="V85" s="3"/>
      <c r="W85" s="3"/>
      <c r="X85" s="3"/>
      <c r="Y85" s="3"/>
      <c r="Z85" s="3"/>
    </row>
    <row r="86" spans="14:26" ht="15.75" x14ac:dyDescent="0.3">
      <c r="N86" s="54"/>
      <c r="O86" s="54"/>
      <c r="P86" s="54"/>
      <c r="Q86" s="54"/>
      <c r="R86" s="54"/>
      <c r="S86" s="54"/>
      <c r="T86" s="52"/>
      <c r="U86" s="52"/>
      <c r="V86" s="52"/>
    </row>
    <row r="87" spans="14:26" ht="15.75" x14ac:dyDescent="0.3">
      <c r="N87" s="43"/>
      <c r="O87" s="43"/>
      <c r="P87" s="43"/>
      <c r="Q87" s="43"/>
      <c r="R87" s="43"/>
      <c r="S87" s="43"/>
      <c r="T87" s="52"/>
      <c r="U87" s="52"/>
      <c r="V87" s="52"/>
    </row>
    <row r="88" spans="14:26" ht="15.75" x14ac:dyDescent="0.3">
      <c r="N88" s="43"/>
      <c r="O88" s="43"/>
      <c r="P88" s="43"/>
      <c r="Q88" s="43"/>
      <c r="R88" s="43"/>
      <c r="S88" s="43"/>
      <c r="T88" s="52"/>
      <c r="U88" s="52"/>
      <c r="V88" s="52"/>
    </row>
    <row r="89" spans="14:26" ht="15.75" x14ac:dyDescent="0.3">
      <c r="N89" s="43"/>
      <c r="O89" s="43"/>
      <c r="P89" s="43"/>
      <c r="Q89" s="43"/>
      <c r="R89" s="43"/>
      <c r="S89" s="43"/>
      <c r="T89" s="52"/>
      <c r="U89" s="52"/>
      <c r="V89" s="52"/>
    </row>
    <row r="90" spans="14:26" ht="15.75" x14ac:dyDescent="0.3">
      <c r="N90" s="52"/>
      <c r="O90" s="52"/>
      <c r="P90" s="52"/>
      <c r="Q90" s="52"/>
      <c r="R90" s="52"/>
      <c r="S90" s="52"/>
      <c r="T90" s="52"/>
      <c r="U90" s="52"/>
      <c r="V90" s="52"/>
    </row>
    <row r="91" spans="14:26" x14ac:dyDescent="0.3">
      <c r="N91" s="3"/>
      <c r="P91" s="51"/>
      <c r="Q91" s="51"/>
      <c r="R91" s="51"/>
      <c r="S91" s="51"/>
      <c r="T91" s="51"/>
      <c r="U91" s="51"/>
      <c r="V91" s="51"/>
    </row>
    <row r="92" spans="14:26" x14ac:dyDescent="0.3">
      <c r="N92" s="3"/>
      <c r="P92" s="51"/>
      <c r="Q92" s="51"/>
      <c r="R92" s="51"/>
      <c r="S92" s="51"/>
      <c r="T92" s="51"/>
      <c r="U92" s="51"/>
      <c r="V92" s="51"/>
    </row>
    <row r="93" spans="14:26" x14ac:dyDescent="0.3">
      <c r="N93" s="3"/>
      <c r="P93" s="51"/>
      <c r="Q93" s="51"/>
      <c r="R93" s="51"/>
      <c r="S93" s="51"/>
      <c r="T93" s="51"/>
      <c r="U93" s="51"/>
      <c r="V93" s="51"/>
    </row>
    <row r="94" spans="14:26" x14ac:dyDescent="0.3">
      <c r="N94" s="3"/>
      <c r="P94" s="51"/>
      <c r="Q94" s="51"/>
      <c r="R94" s="51"/>
      <c r="S94" s="51"/>
      <c r="T94" s="51"/>
      <c r="U94" s="51"/>
      <c r="V94" s="51"/>
    </row>
    <row r="95" spans="14:26" x14ac:dyDescent="0.3">
      <c r="N95" s="51"/>
      <c r="O95" s="51"/>
      <c r="P95" s="51"/>
      <c r="Q95" s="51"/>
      <c r="R95" s="51"/>
      <c r="S95" s="51"/>
      <c r="T95" s="51"/>
      <c r="U95" s="51"/>
      <c r="V95" s="51"/>
    </row>
    <row r="96" spans="14:26" ht="15.75" x14ac:dyDescent="0.3">
      <c r="N96" s="3"/>
      <c r="Q96"/>
      <c r="R96"/>
      <c r="S96"/>
      <c r="T96"/>
      <c r="U96"/>
      <c r="V96"/>
    </row>
    <row r="97" spans="7:22" ht="15.75" x14ac:dyDescent="0.3">
      <c r="N97" s="3"/>
      <c r="Q97"/>
      <c r="R97"/>
      <c r="S97"/>
      <c r="T97"/>
      <c r="U97"/>
      <c r="V97"/>
    </row>
    <row r="98" spans="7:22" x14ac:dyDescent="0.3">
      <c r="N98" s="3"/>
      <c r="T98" s="3"/>
      <c r="U98" s="3"/>
      <c r="V98" s="3"/>
    </row>
    <row r="102" spans="7:22" ht="45.75" thickBot="1" x14ac:dyDescent="0.35">
      <c r="G102" s="51"/>
      <c r="H102" s="51" t="s">
        <v>24</v>
      </c>
      <c r="L102" s="44" t="s">
        <v>22</v>
      </c>
      <c r="M102" s="44" t="s">
        <v>21</v>
      </c>
      <c r="N102" s="45" t="s">
        <v>14</v>
      </c>
    </row>
    <row r="103" spans="7:22" x14ac:dyDescent="0.3">
      <c r="G103" s="51" t="s">
        <v>23</v>
      </c>
      <c r="H103" s="16">
        <v>46770.968248736237</v>
      </c>
      <c r="J103" s="21">
        <f>YEAR(K103)</f>
        <v>2023</v>
      </c>
      <c r="K103" s="34">
        <v>45016</v>
      </c>
      <c r="L103" s="19">
        <f>-HLOOKUP(K103,$F$19:$Y$38,10)</f>
        <v>46059</v>
      </c>
      <c r="M103" s="19">
        <f>-HLOOKUP(K103,$F$19:$Y$38,8)</f>
        <v>46949</v>
      </c>
      <c r="N103" s="19">
        <f>HLOOKUP(K103,$F$19:$Y$38,4)</f>
        <v>229077</v>
      </c>
    </row>
    <row r="104" spans="7:22" x14ac:dyDescent="0.3">
      <c r="G104" s="51" t="s">
        <v>22</v>
      </c>
      <c r="H104" s="16">
        <v>3.7874518674690583</v>
      </c>
      <c r="J104" s="21"/>
      <c r="K104" s="34">
        <f>EOMONTH(K103,3)</f>
        <v>45107</v>
      </c>
      <c r="L104" s="19">
        <f t="shared" ref="L104:L122" si="40">-HLOOKUP(K104,$F$19:$Y$38,10)</f>
        <v>48452</v>
      </c>
      <c r="M104" s="19">
        <f t="shared" ref="M104:M122" si="41">-HLOOKUP(K104,$F$19:$Y$38,8)</f>
        <v>41022</v>
      </c>
      <c r="N104" s="19">
        <f t="shared" ref="N104:N114" si="42">HLOOKUP(K104,$F$19:$Y$38,4)</f>
        <v>216237</v>
      </c>
    </row>
    <row r="105" spans="7:22" x14ac:dyDescent="0.3">
      <c r="G105" s="51" t="s">
        <v>21</v>
      </c>
      <c r="H105" s="16">
        <v>-0.13217393430300833</v>
      </c>
      <c r="J105" s="21"/>
      <c r="K105" s="34">
        <f t="shared" ref="K105:K122" si="43">EOMONTH(K104,3)</f>
        <v>45199</v>
      </c>
      <c r="L105" s="19">
        <f t="shared" si="40"/>
        <v>40810</v>
      </c>
      <c r="M105" s="19">
        <f t="shared" si="41"/>
        <v>37042</v>
      </c>
      <c r="N105" s="19">
        <f t="shared" si="42"/>
        <v>210246</v>
      </c>
    </row>
    <row r="106" spans="7:22" x14ac:dyDescent="0.3">
      <c r="J106" s="21"/>
      <c r="K106" s="34">
        <f t="shared" si="43"/>
        <v>45291</v>
      </c>
      <c r="L106" s="19">
        <f t="shared" si="40"/>
        <v>46247</v>
      </c>
      <c r="M106" s="19">
        <f t="shared" si="41"/>
        <v>42502</v>
      </c>
      <c r="N106" s="19">
        <f t="shared" si="42"/>
        <v>227293</v>
      </c>
    </row>
    <row r="107" spans="7:22" x14ac:dyDescent="0.3">
      <c r="J107" s="21">
        <f>YEAR(K107)</f>
        <v>2024</v>
      </c>
      <c r="K107" s="34">
        <f t="shared" si="43"/>
        <v>45382</v>
      </c>
      <c r="L107" s="19">
        <f t="shared" si="40"/>
        <v>45039</v>
      </c>
      <c r="M107" s="19">
        <f t="shared" si="41"/>
        <v>40456</v>
      </c>
      <c r="N107" s="19">
        <f t="shared" si="42"/>
        <v>188243</v>
      </c>
    </row>
    <row r="108" spans="7:22" x14ac:dyDescent="0.3">
      <c r="J108" s="21"/>
      <c r="K108" s="34">
        <f t="shared" si="43"/>
        <v>45473</v>
      </c>
      <c r="L108" s="19">
        <f t="shared" si="40"/>
        <v>48841</v>
      </c>
      <c r="M108" s="19">
        <f t="shared" si="41"/>
        <v>42290</v>
      </c>
      <c r="N108" s="19">
        <f t="shared" si="42"/>
        <v>212466</v>
      </c>
    </row>
    <row r="109" spans="7:22" x14ac:dyDescent="0.3">
      <c r="J109" s="21"/>
      <c r="K109" s="34">
        <f t="shared" si="43"/>
        <v>45565</v>
      </c>
      <c r="L109" s="19">
        <f t="shared" si="40"/>
        <v>50575</v>
      </c>
      <c r="M109" s="19">
        <f t="shared" si="41"/>
        <v>42617</v>
      </c>
      <c r="N109" s="19">
        <f t="shared" si="42"/>
        <v>231828</v>
      </c>
    </row>
    <row r="110" spans="7:22" x14ac:dyDescent="0.3">
      <c r="J110" s="21"/>
      <c r="K110" s="34">
        <f t="shared" si="43"/>
        <v>45657</v>
      </c>
      <c r="L110" s="19">
        <f t="shared" si="40"/>
        <v>51656</v>
      </c>
      <c r="M110" s="19">
        <f t="shared" si="41"/>
        <v>49898</v>
      </c>
      <c r="N110" s="19">
        <f t="shared" si="42"/>
        <v>251549</v>
      </c>
    </row>
    <row r="111" spans="7:22" x14ac:dyDescent="0.3">
      <c r="J111" s="21">
        <f>YEAR(K111)</f>
        <v>2025</v>
      </c>
      <c r="K111" s="34">
        <f t="shared" si="43"/>
        <v>45747</v>
      </c>
      <c r="L111" s="19">
        <f t="shared" si="40"/>
        <v>55206</v>
      </c>
      <c r="M111" s="19">
        <f t="shared" si="41"/>
        <v>53122</v>
      </c>
      <c r="N111" s="19">
        <f t="shared" si="42"/>
        <v>250691</v>
      </c>
    </row>
    <row r="112" spans="7:22" x14ac:dyDescent="0.3">
      <c r="K112" s="34">
        <f t="shared" si="43"/>
        <v>45838</v>
      </c>
      <c r="L112" s="19">
        <f t="shared" si="40"/>
        <v>52123</v>
      </c>
      <c r="M112" s="19">
        <f t="shared" si="41"/>
        <v>57783</v>
      </c>
      <c r="N112" s="19">
        <f t="shared" si="42"/>
        <v>209157</v>
      </c>
    </row>
    <row r="113" spans="10:14" x14ac:dyDescent="0.3">
      <c r="K113" s="34">
        <f t="shared" si="43"/>
        <v>45930</v>
      </c>
      <c r="L113" s="19">
        <f t="shared" si="40"/>
        <v>55027</v>
      </c>
      <c r="M113" s="19">
        <f t="shared" si="41"/>
        <v>56466</v>
      </c>
      <c r="N113" s="19">
        <f t="shared" si="42"/>
        <v>263641</v>
      </c>
    </row>
    <row r="114" spans="10:14" x14ac:dyDescent="0.3">
      <c r="K114" s="34">
        <f t="shared" si="43"/>
        <v>46022</v>
      </c>
      <c r="L114" s="19">
        <f t="shared" si="40"/>
        <v>59753</v>
      </c>
      <c r="M114" s="19">
        <f t="shared" si="41"/>
        <v>46981</v>
      </c>
      <c r="N114" s="19">
        <f t="shared" si="42"/>
        <v>268854</v>
      </c>
    </row>
    <row r="115" spans="10:14" x14ac:dyDescent="0.3">
      <c r="J115" s="17">
        <f>YEAR(K115)</f>
        <v>2026</v>
      </c>
      <c r="K115" s="35">
        <f t="shared" si="43"/>
        <v>46112</v>
      </c>
      <c r="L115" s="19">
        <f t="shared" si="40"/>
        <v>67450.259078517134</v>
      </c>
      <c r="M115" s="19">
        <f t="shared" si="41"/>
        <v>66341.852319422876</v>
      </c>
      <c r="N115" s="15"/>
    </row>
    <row r="116" spans="10:14" x14ac:dyDescent="0.3">
      <c r="J116" s="17"/>
      <c r="K116" s="35">
        <f t="shared" si="43"/>
        <v>46203</v>
      </c>
      <c r="L116" s="19">
        <f t="shared" si="40"/>
        <v>74498.790063880049</v>
      </c>
      <c r="M116" s="19">
        <f t="shared" si="41"/>
        <v>68880.684664029162</v>
      </c>
      <c r="N116" s="15"/>
    </row>
    <row r="117" spans="10:14" x14ac:dyDescent="0.3">
      <c r="J117" s="17"/>
      <c r="K117" s="35">
        <f t="shared" si="43"/>
        <v>46295</v>
      </c>
      <c r="L117" s="19">
        <f t="shared" si="40"/>
        <v>72111.076527534329</v>
      </c>
      <c r="M117" s="19">
        <f t="shared" si="41"/>
        <v>70244.530650046814</v>
      </c>
      <c r="N117" s="15"/>
    </row>
    <row r="118" spans="10:14" x14ac:dyDescent="0.3">
      <c r="J118" s="17"/>
      <c r="K118" s="35">
        <f t="shared" si="43"/>
        <v>46387</v>
      </c>
      <c r="L118" s="19">
        <f t="shared" si="40"/>
        <v>79545.131606271505</v>
      </c>
      <c r="M118" s="19">
        <f t="shared" si="41"/>
        <v>80117.431938692796</v>
      </c>
      <c r="N118" s="15"/>
    </row>
    <row r="119" spans="10:14" x14ac:dyDescent="0.3">
      <c r="J119" s="17">
        <f>YEAR(K119)</f>
        <v>2027</v>
      </c>
      <c r="K119" s="35">
        <f t="shared" si="43"/>
        <v>46477</v>
      </c>
      <c r="L119" s="19">
        <f t="shared" si="40"/>
        <v>99278.915608543932</v>
      </c>
      <c r="M119" s="19">
        <f t="shared" si="41"/>
        <v>99377.12204657789</v>
      </c>
      <c r="N119" s="15"/>
    </row>
    <row r="120" spans="10:14" x14ac:dyDescent="0.3">
      <c r="K120" s="35">
        <f t="shared" si="43"/>
        <v>46568</v>
      </c>
      <c r="L120" s="19">
        <f t="shared" si="40"/>
        <v>113680.27868919539</v>
      </c>
      <c r="M120" s="19">
        <f t="shared" si="41"/>
        <v>107299.75301445562</v>
      </c>
      <c r="N120" s="15"/>
    </row>
    <row r="121" spans="10:14" x14ac:dyDescent="0.3">
      <c r="K121" s="35">
        <f t="shared" si="43"/>
        <v>46660</v>
      </c>
      <c r="L121" s="19">
        <f t="shared" si="40"/>
        <v>114702.81652134148</v>
      </c>
      <c r="M121" s="19">
        <f t="shared" si="41"/>
        <v>113953.64699379595</v>
      </c>
      <c r="N121" s="15"/>
    </row>
    <row r="122" spans="10:14" x14ac:dyDescent="0.3">
      <c r="K122" s="35">
        <f t="shared" si="43"/>
        <v>46752</v>
      </c>
      <c r="L122" s="19">
        <f t="shared" si="40"/>
        <v>131186.02832873573</v>
      </c>
      <c r="M122" s="19">
        <f t="shared" si="41"/>
        <v>134463.37834840672</v>
      </c>
      <c r="N122" s="1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Outputs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Nata</dc:creator>
  <cp:lastModifiedBy>Felicia Nata</cp:lastModifiedBy>
  <dcterms:created xsi:type="dcterms:W3CDTF">2026-04-23T16:36:52Z</dcterms:created>
  <dcterms:modified xsi:type="dcterms:W3CDTF">2026-04-26T14:31:42Z</dcterms:modified>
</cp:coreProperties>
</file>